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11.xml" ContentType="application/vnd.openxmlformats-officedocument.drawing+xml"/>
  <Override PartName="/xl/worksheets/sheet14.xml" ContentType="application/vnd.openxmlformats-officedocument.spreadsheetml.worksheet+xml"/>
  <Override PartName="/xl/drawings/drawing12.xml" ContentType="application/vnd.openxmlformats-officedocument.drawing+xml"/>
  <Override PartName="/xl/worksheets/sheet15.xml" ContentType="application/vnd.openxmlformats-officedocument.spreadsheetml.worksheet+xml"/>
  <Override PartName="/xl/drawings/drawing13.xml" ContentType="application/vnd.openxmlformats-officedocument.drawing+xml"/>
  <Override PartName="/xl/worksheets/sheet16.xml" ContentType="application/vnd.openxmlformats-officedocument.spreadsheetml.worksheet+xml"/>
  <Override PartName="/xl/drawings/drawing14.xml" ContentType="application/vnd.openxmlformats-officedocument.drawing+xml"/>
  <Override PartName="/xl/worksheets/sheet17.xml" ContentType="application/vnd.openxmlformats-officedocument.spreadsheetml.worksheet+xml"/>
  <Override PartName="/xl/drawings/drawing1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16.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drawings/drawing22.xml" ContentType="application/vnd.openxmlformats-officedocument.drawing+xml"/>
  <Override PartName="/xl/worksheets/sheet28.xml" ContentType="application/vnd.openxmlformats-officedocument.spreadsheetml.worksheet+xml"/>
  <Override PartName="/xl/drawings/drawing23.xml" ContentType="application/vnd.openxmlformats-officedocument.drawing+xml"/>
  <Override PartName="/xl/worksheets/sheet29.xml" ContentType="application/vnd.openxmlformats-officedocument.spreadsheetml.worksheet+xml"/>
  <Override PartName="/xl/drawings/drawing24.xml" ContentType="application/vnd.openxmlformats-officedocument.drawing+xml"/>
  <Override PartName="/xl/worksheets/sheet30.xml" ContentType="application/vnd.openxmlformats-officedocument.spreadsheetml.worksheet+xml"/>
  <Override PartName="/xl/drawings/drawing25.xml" ContentType="application/vnd.openxmlformats-officedocument.drawing+xml"/>
  <Override PartName="/xl/worksheets/sheet31.xml" ContentType="application/vnd.openxmlformats-officedocument.spreadsheetml.worksheet+xml"/>
  <Override PartName="/xl/drawings/drawing26.xml" ContentType="application/vnd.openxmlformats-officedocument.drawing+xml"/>
  <Override PartName="/xl/worksheets/sheet3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733" firstSheet="0" activeTab="6" autoFilterDateGrouping="1"/>
  </bookViews>
  <sheets>
    <sheet xmlns:r="http://schemas.openxmlformats.org/officeDocument/2006/relationships" name="Дашборды" sheetId="1" state="visible" r:id="rId1"/>
    <sheet xmlns:r="http://schemas.openxmlformats.org/officeDocument/2006/relationships" name="Дашборд" sheetId="2" state="visible" r:id="rId2"/>
    <sheet xmlns:r="http://schemas.openxmlformats.org/officeDocument/2006/relationships" name="Параметры" sheetId="3" state="visible" r:id="rId3"/>
    <sheet xmlns:r="http://schemas.openxmlformats.org/officeDocument/2006/relationships" name="Дорожная карта" sheetId="4" state="visible" r:id="rId4"/>
    <sheet xmlns:r="http://schemas.openxmlformats.org/officeDocument/2006/relationships" name="Кварталы" sheetId="5" state="visible" r:id="rId5"/>
    <sheet xmlns:r="http://schemas.openxmlformats.org/officeDocument/2006/relationships" name="RICE" sheetId="6" state="visible" r:id="rId6"/>
    <sheet xmlns:r="http://schemas.openxmlformats.org/officeDocument/2006/relationships" name="MoSCoW" sheetId="7" state="visible" r:id="rId7"/>
    <sheet xmlns:r="http://schemas.openxmlformats.org/officeDocument/2006/relationships" name="Квартальный roadmap" sheetId="8" state="visible" r:id="rId8"/>
    <sheet xmlns:r="http://schemas.openxmlformats.org/officeDocument/2006/relationships" name="Релизы" sheetId="9" state="visible" r:id="rId9"/>
    <sheet xmlns:r="http://schemas.openxmlformats.org/officeDocument/2006/relationships" name="Вехи" sheetId="10" state="visible" r:id="rId10"/>
    <sheet xmlns:r="http://schemas.openxmlformats.org/officeDocument/2006/relationships" name="Технический долг" sheetId="11" state="visible" r:id="rId11"/>
    <sheet xmlns:r="http://schemas.openxmlformats.org/officeDocument/2006/relationships" name="Ретроспективы" sheetId="12" state="visible" r:id="rId12"/>
    <sheet xmlns:r="http://schemas.openxmlformats.org/officeDocument/2006/relationships" name="Бюджет" sheetId="13" state="visible" r:id="rId13"/>
    <sheet xmlns:r="http://schemas.openxmlformats.org/officeDocument/2006/relationships" name="OKR" sheetId="14" state="visible" r:id="rId14"/>
    <sheet xmlns:r="http://schemas.openxmlformats.org/officeDocument/2006/relationships" name="Ёмкость на горизонт" sheetId="15" state="visible" r:id="rId15"/>
    <sheet xmlns:r="http://schemas.openxmlformats.org/officeDocument/2006/relationships" name="Гант" sheetId="16" state="visible" r:id="rId16"/>
    <sheet xmlns:r="http://schemas.openxmlformats.org/officeDocument/2006/relationships" name="Зависимости" sheetId="17" state="visible" r:id="rId17"/>
    <sheet xmlns:r="http://schemas.openxmlformats.org/officeDocument/2006/relationships" name="Капасити" sheetId="18" state="visible" r:id="rId18"/>
    <sheet xmlns:r="http://schemas.openxmlformats.org/officeDocument/2006/relationships" name="Календарь" sheetId="19" state="visible" r:id="rId19"/>
    <sheet xmlns:r="http://schemas.openxmlformats.org/officeDocument/2006/relationships" name="Загрузка по ролям" sheetId="20" state="visible" r:id="rId20"/>
    <sheet xmlns:r="http://schemas.openxmlformats.org/officeDocument/2006/relationships" name="Бэклог" sheetId="21" state="visible" r:id="rId21"/>
    <sheet xmlns:r="http://schemas.openxmlformats.org/officeDocument/2006/relationships" name="Сгорание" sheetId="22" state="visible" r:id="rId22"/>
    <sheet xmlns:r="http://schemas.openxmlformats.org/officeDocument/2006/relationships" name="Качество" sheetId="23" state="visible" r:id="rId23"/>
    <sheet xmlns:r="http://schemas.openxmlformats.org/officeDocument/2006/relationships" name="Баги" sheetId="24" state="visible" r:id="rId24"/>
    <sheet xmlns:r="http://schemas.openxmlformats.org/officeDocument/2006/relationships" name="CFD" sheetId="25" state="visible" r:id="rId25"/>
    <sheet xmlns:r="http://schemas.openxmlformats.org/officeDocument/2006/relationships" name="Метрики и прогноз" sheetId="26" state="visible" r:id="rId26"/>
    <sheet xmlns:r="http://schemas.openxmlformats.org/officeDocument/2006/relationships" name="Cycle time" sheetId="27" state="visible" r:id="rId27"/>
    <sheet xmlns:r="http://schemas.openxmlformats.org/officeDocument/2006/relationships" name="Риски" sheetId="28" state="visible" r:id="rId28"/>
    <sheet xmlns:r="http://schemas.openxmlformats.org/officeDocument/2006/relationships" name="Матрица рисков" sheetId="29" state="visible" r:id="rId29"/>
    <sheet xmlns:r="http://schemas.openxmlformats.org/officeDocument/2006/relationships" name="Распределение" sheetId="30" state="visible" r:id="rId30"/>
    <sheet xmlns:r="http://schemas.openxmlformats.org/officeDocument/2006/relationships" name="Time to Market" sheetId="31" state="visible" r:id="rId31"/>
    <sheet xmlns:r="http://schemas.openxmlformats.org/officeDocument/2006/relationships" name="FAQ" sheetId="32" state="visible" r:id="rId32"/>
  </sheets>
  <definedNames/>
  <calcPr calcId="191029" fullCalcOnLoad="1"/>
</workbook>
</file>

<file path=xl/styles.xml><?xml version="1.0" encoding="utf-8"?>
<styleSheet xmlns="http://schemas.openxmlformats.org/spreadsheetml/2006/main">
  <numFmts count="7">
    <numFmt numFmtId="164" formatCode="dd\.mm\.yyyy"/>
    <numFmt numFmtId="165" formatCode="#,##0.0"/>
    <numFmt numFmtId="166" formatCode="dd\.mm"/>
    <numFmt numFmtId="167" formatCode="0.0"/>
    <numFmt numFmtId="168" formatCode="dd\.mm\.yy"/>
    <numFmt numFmtId="169" formatCode="#\ ##0"/>
    <numFmt numFmtId="170" formatCode="#\ ##0.0"/>
  </numFmts>
  <fonts count="53">
    <font>
      <name val="Calibri"/>
      <family val="2"/>
      <color theme="1"/>
      <sz val="11"/>
      <scheme val="minor"/>
    </font>
    <font>
      <name val="Arial"/>
      <b val="1"/>
      <color rgb="FF1F4E78"/>
      <sz val="14"/>
    </font>
    <font>
      <name val="Arial"/>
      <i val="1"/>
      <color rgb="FF808080"/>
      <sz val="9"/>
    </font>
    <font>
      <name val="Arial"/>
      <b val="1"/>
      <color rgb="FFFFFFFF"/>
      <sz val="11"/>
    </font>
    <font>
      <name val="Arial"/>
      <b val="1"/>
      <sz val="11"/>
    </font>
    <font>
      <name val="Arial"/>
      <color rgb="FF0000FF"/>
      <sz val="11"/>
    </font>
    <font>
      <name val="Arial"/>
      <sz val="11"/>
    </font>
    <font>
      <name val="Arial"/>
      <b val="1"/>
      <color rgb="FF1F4E78"/>
      <sz val="11"/>
    </font>
    <font>
      <name val="Arial"/>
      <color rgb="FF0000FF"/>
      <sz val="11"/>
    </font>
    <font>
      <name val="Arial"/>
      <i val="1"/>
      <color rgb="FF808080"/>
      <sz val="9"/>
    </font>
    <font>
      <name val="Arial"/>
      <b val="1"/>
      <color rgb="FF1F4E78"/>
      <sz val="14"/>
    </font>
    <font>
      <name val="Arial"/>
      <i val="1"/>
      <color rgb="FF808080"/>
      <sz val="9"/>
    </font>
    <font>
      <name val="Arial"/>
      <b val="1"/>
      <color rgb="FFFFFFFF"/>
      <sz val="11"/>
    </font>
    <font>
      <name val="Arial"/>
      <color rgb="FF0000FF"/>
      <sz val="11"/>
    </font>
    <font>
      <name val="Arial"/>
      <b val="1"/>
      <color rgb="FF1F4E78"/>
      <sz val="12"/>
    </font>
    <font>
      <name val="Arial"/>
      <b val="1"/>
      <color rgb="FF1F4E78"/>
      <sz val="16"/>
    </font>
    <font>
      <name val="Arial"/>
      <b val="1"/>
      <sz val="12"/>
    </font>
    <font>
      <name val="Arial"/>
      <b val="1"/>
      <color rgb="FF1F4E78"/>
      <sz val="12"/>
    </font>
    <font>
      <name val="Arial"/>
      <i val="1"/>
      <color rgb="FF808080"/>
      <sz val="9"/>
    </font>
    <font>
      <name val="Arial"/>
      <b val="1"/>
      <color rgb="FFFFFFFF"/>
      <sz val="11"/>
    </font>
    <font>
      <name val="Arial"/>
      <color rgb="FF0000FF"/>
      <sz val="11"/>
    </font>
    <font>
      <name val="Arial"/>
      <b val="1"/>
      <color rgb="FF1F4E78"/>
      <sz val="14"/>
    </font>
    <font>
      <name val="Arial"/>
      <i val="1"/>
      <color rgb="FF808080"/>
      <sz val="9"/>
    </font>
    <font>
      <name val="Arial"/>
      <b val="1"/>
      <color rgb="FFFFFFFF"/>
      <sz val="11"/>
    </font>
    <font>
      <name val="Arial"/>
      <color rgb="FF0000FF"/>
      <sz val="11"/>
    </font>
    <font>
      <name val="Arial"/>
      <b val="1"/>
      <color rgb="FF1F4E78"/>
      <sz val="12"/>
    </font>
    <font>
      <name val="Arial"/>
      <b val="1"/>
      <color rgb="FF595959"/>
      <sz val="12"/>
    </font>
    <font>
      <name val="Arial"/>
      <b val="1"/>
      <color rgb="FFFFFFFF"/>
      <sz val="11"/>
    </font>
    <font>
      <name val="Arial"/>
      <i val="1"/>
      <color rgb="FF808080"/>
      <sz val="9"/>
    </font>
    <font>
      <name val="Arial"/>
      <b val="1"/>
      <color rgb="FF1F4E78"/>
      <sz val="12"/>
    </font>
    <font>
      <name val="Arial"/>
      <b val="1"/>
      <color rgb="FFFFFFFF"/>
      <sz val="11"/>
    </font>
    <font>
      <name val="Arial"/>
      <b val="1"/>
      <color rgb="FF1F4E78"/>
      <sz val="14"/>
    </font>
    <font>
      <name val="Arial"/>
      <b val="1"/>
      <color rgb="FF1F4E78"/>
      <sz val="12"/>
    </font>
    <font>
      <name val="Arial"/>
      <b val="1"/>
      <color rgb="FFFFFFFF"/>
      <sz val="11"/>
    </font>
    <font>
      <name val="Arial"/>
      <i val="1"/>
      <color rgb="FF808080"/>
      <sz val="9"/>
    </font>
    <font>
      <name val="Arial"/>
      <b val="1"/>
      <color rgb="FFFFFFFF"/>
      <sz val="11"/>
    </font>
    <font>
      <name val="Arial"/>
      <b val="1"/>
      <color rgb="FF1F4E78"/>
      <sz val="14"/>
    </font>
    <font>
      <name val="Arial"/>
      <i val="1"/>
      <color rgb="FF808080"/>
      <sz val="9"/>
    </font>
    <font>
      <name val="Arial"/>
      <color rgb="FF0000FF"/>
      <sz val="11"/>
    </font>
    <font>
      <name val="Arial"/>
      <b val="1"/>
      <color rgb="FF1F4E78"/>
      <sz val="12"/>
    </font>
    <font>
      <name val="Arial"/>
      <b val="1"/>
      <color rgb="FFFFFFFF"/>
      <sz val="11"/>
    </font>
    <font>
      <name val="Arial"/>
      <color rgb="FF0000FF"/>
      <sz val="11"/>
    </font>
    <font>
      <name val="Arial"/>
      <b val="1"/>
      <color rgb="FF1F4E78"/>
      <sz val="14"/>
    </font>
    <font>
      <name val="Arial"/>
      <i val="1"/>
      <color rgb="FF808080"/>
      <sz val="9"/>
    </font>
    <font>
      <name val="Arial"/>
      <b val="1"/>
      <color rgb="FF1F4E78"/>
      <sz val="12"/>
    </font>
    <font>
      <name val="Arial"/>
      <b val="1"/>
      <color rgb="FF1F4E78"/>
      <sz val="14"/>
    </font>
    <font>
      <name val="Arial"/>
      <i val="1"/>
      <color rgb="FF808080"/>
      <sz val="9"/>
    </font>
    <font>
      <name val="Arial"/>
      <color rgb="FF0000FF"/>
      <sz val="11"/>
    </font>
    <font>
      <name val="Arial"/>
      <b val="1"/>
      <color rgb="FFFFFFFF"/>
      <sz val="11"/>
    </font>
    <font>
      <name val="Arial"/>
      <b val="1"/>
      <color rgb="FF1F4E78"/>
      <sz val="11"/>
    </font>
    <font>
      <name val="Arial"/>
      <i val="1"/>
      <color rgb="FF5A6B82"/>
      <sz val="10"/>
    </font>
    <font>
      <name val="Arial"/>
      <b val="1"/>
      <sz val="10"/>
    </font>
    <font>
      <name val="Arial"/>
      <sz val="10"/>
    </font>
  </fonts>
  <fills count="57">
    <fill>
      <patternFill/>
    </fill>
    <fill>
      <patternFill patternType="gray125"/>
    </fill>
    <fill>
      <patternFill patternType="solid">
        <fgColor rgb="FF1F4E78"/>
      </patternFill>
    </fill>
    <fill>
      <patternFill patternType="solid">
        <fgColor rgb="FFFFF2CC"/>
      </patternFill>
    </fill>
    <fill>
      <patternFill patternType="solid">
        <fgColor rgb="FFF2F2F2"/>
      </patternFill>
    </fill>
    <fill>
      <patternFill patternType="solid">
        <fgColor rgb="FFE2EFDA"/>
      </patternFill>
    </fill>
    <fill>
      <patternFill patternType="solid">
        <fgColor rgb="FFFCE4D6"/>
      </patternFill>
    </fill>
    <fill>
      <patternFill patternType="solid">
        <fgColor rgb="FFFFF2CC"/>
      </patternFill>
    </fill>
    <fill>
      <patternFill patternType="solid">
        <fgColor rgb="FF1F4E78"/>
      </patternFill>
    </fill>
    <fill>
      <patternFill patternType="solid">
        <fgColor rgb="FFFFF2CC"/>
      </patternFill>
    </fill>
    <fill>
      <patternFill patternType="solid">
        <fgColor rgb="FFF2F2F2"/>
      </patternFill>
    </fill>
    <fill>
      <patternFill patternType="solid">
        <fgColor rgb="FFEDEDED"/>
      </patternFill>
    </fill>
    <fill>
      <patternFill patternType="solid">
        <fgColor rgb="FFE2EFDA"/>
      </patternFill>
    </fill>
    <fill>
      <patternFill patternType="solid">
        <fgColor rgb="FFD9E1F2"/>
      </patternFill>
    </fill>
    <fill>
      <patternFill patternType="solid">
        <fgColor rgb="FF1F4E78"/>
      </patternFill>
    </fill>
    <fill>
      <patternFill patternType="solid">
        <fgColor rgb="FFFFF2CC"/>
      </patternFill>
    </fill>
    <fill>
      <patternFill patternType="solid">
        <fgColor rgb="FFF2F2F2"/>
      </patternFill>
    </fill>
    <fill>
      <patternFill patternType="solid">
        <fgColor rgb="FFE2EFDA"/>
      </patternFill>
    </fill>
    <fill>
      <patternFill patternType="solid">
        <fgColor rgb="FFD9E1F2"/>
      </patternFill>
    </fill>
    <fill>
      <patternFill patternType="solid">
        <fgColor rgb="FF1F4E78"/>
      </patternFill>
    </fill>
    <fill>
      <patternFill patternType="solid">
        <fgColor rgb="FFF2F2F2"/>
      </patternFill>
    </fill>
    <fill>
      <patternFill patternType="solid">
        <fgColor rgb="FF4472C4"/>
      </patternFill>
    </fill>
    <fill>
      <patternFill patternType="solid">
        <fgColor rgb="FFED7D31"/>
      </patternFill>
    </fill>
    <fill>
      <patternFill patternType="solid">
        <fgColor rgb="FF70AD47"/>
      </patternFill>
    </fill>
    <fill>
      <patternFill patternType="solid">
        <fgColor rgb="FFFFC000"/>
      </patternFill>
    </fill>
    <fill>
      <patternFill patternType="solid">
        <fgColor rgb="FF7030A0"/>
      </patternFill>
    </fill>
    <fill>
      <patternFill patternType="solid">
        <fgColor rgb="FFFFF2CC"/>
      </patternFill>
    </fill>
    <fill>
      <patternFill patternType="solid">
        <fgColor rgb="FF1F4E78"/>
      </patternFill>
    </fill>
    <fill>
      <patternFill patternType="solid">
        <fgColor rgb="FFFFC7CE"/>
      </patternFill>
    </fill>
    <fill>
      <patternFill patternType="solid">
        <fgColor rgb="FF1F4E78"/>
      </patternFill>
    </fill>
    <fill>
      <patternFill patternType="solid">
        <fgColor rgb="FFF2F2F2"/>
      </patternFill>
    </fill>
    <fill>
      <patternFill patternType="solid">
        <fgColor rgb="FFE2EFDA"/>
      </patternFill>
    </fill>
    <fill>
      <patternFill patternType="solid">
        <fgColor rgb="FF1F4E78"/>
      </patternFill>
    </fill>
    <fill>
      <patternFill patternType="solid">
        <fgColor rgb="FFD9E1F2"/>
      </patternFill>
    </fill>
    <fill>
      <patternFill patternType="solid">
        <fgColor rgb="FFC6EFCE"/>
      </patternFill>
    </fill>
    <fill>
      <patternFill patternType="solid">
        <fgColor rgb="FFFFEB9C"/>
      </patternFill>
    </fill>
    <fill>
      <patternFill patternType="solid">
        <fgColor rgb="FFFFC7CE"/>
      </patternFill>
    </fill>
    <fill>
      <patternFill patternType="solid">
        <fgColor rgb="FF1F4E78"/>
      </patternFill>
    </fill>
    <fill>
      <patternFill patternType="solid">
        <fgColor rgb="FFF2F2F2"/>
      </patternFill>
    </fill>
    <fill>
      <patternFill patternType="solid">
        <fgColor rgb="FFFFF2CC"/>
      </patternFill>
    </fill>
    <fill>
      <patternFill patternType="solid">
        <fgColor rgb="FFE2EFDA"/>
      </patternFill>
    </fill>
    <fill>
      <patternFill patternType="solid">
        <fgColor rgb="FF4472C4"/>
      </patternFill>
    </fill>
    <fill>
      <patternFill patternType="solid">
        <fgColor rgb="FFED7D31"/>
      </patternFill>
    </fill>
    <fill>
      <patternFill patternType="solid">
        <fgColor rgb="FF70AD47"/>
      </patternFill>
    </fill>
    <fill>
      <patternFill patternType="solid">
        <fgColor rgb="FF1F4E78"/>
      </patternFill>
    </fill>
    <fill>
      <patternFill patternType="solid">
        <fgColor rgb="FFFFF2CC"/>
      </patternFill>
    </fill>
    <fill>
      <patternFill patternType="solid">
        <fgColor rgb="FFF2F2F2"/>
      </patternFill>
    </fill>
    <fill>
      <patternFill patternType="solid">
        <fgColor rgb="FFFFF2CC"/>
      </patternFill>
    </fill>
    <fill>
      <patternFill patternType="solid">
        <fgColor rgb="FF1F4E78"/>
      </patternFill>
    </fill>
    <fill>
      <patternFill patternType="solid">
        <fgColor rgb="FFF2F2F2"/>
      </patternFill>
    </fill>
    <fill>
      <patternFill patternType="solid">
        <fgColor rgb="FFD9E1F2"/>
      </patternFill>
    </fill>
    <fill>
      <patternFill patternType="solid">
        <fgColor rgb="FFF8D2D2"/>
      </patternFill>
    </fill>
    <fill>
      <patternFill patternType="solid">
        <fgColor rgb="FFFDECC8"/>
      </patternFill>
    </fill>
    <fill>
      <patternFill patternType="solid">
        <fgColor rgb="FFD6E4FB"/>
      </patternFill>
    </fill>
    <fill>
      <patternFill patternType="solid">
        <fgColor rgb="FFE4E9F0"/>
      </patternFill>
    </fill>
    <fill>
      <patternFill patternType="solid">
        <fgColor rgb="FFDDEBF7"/>
      </patternFill>
    </fill>
    <fill>
      <patternFill patternType="solid">
        <fgColor rgb="FFEADAF3"/>
      </patternFill>
    </fill>
  </fills>
  <borders count="21">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1F4E78"/>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BFBFBF"/>
      </top>
      <bottom/>
      <diagonal/>
    </border>
    <border>
      <left/>
      <right style="thin">
        <color rgb="FFBFBFBF"/>
      </right>
      <top style="thin">
        <color rgb="FFBFBFBF"/>
      </top>
      <bottom/>
      <diagonal/>
    </border>
    <border>
      <left style="thin">
        <color rgb="FFD9D9D9"/>
      </left>
      <right style="thin">
        <color rgb="FFD9D9D9"/>
      </right>
      <top style="thin">
        <color rgb="FFD9D9D9"/>
      </top>
      <bottom style="thin">
        <color rgb="FFD9D9D9"/>
      </bottom>
    </border>
  </borders>
  <cellStyleXfs count="1">
    <xf numFmtId="0" fontId="0" fillId="0" borderId="0"/>
  </cellStyleXfs>
  <cellXfs count="26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pivotButton="0" quotePrefix="0" xfId="0"/>
    <xf numFmtId="0" fontId="5" fillId="3" borderId="1" applyAlignment="1" pivotButton="0" quotePrefix="0" xfId="0">
      <alignment horizontal="center" vertical="center" wrapText="1"/>
    </xf>
    <xf numFmtId="0" fontId="2" fillId="0" borderId="1" pivotButton="0" quotePrefix="0" xfId="0"/>
    <xf numFmtId="9" fontId="5" fillId="3" borderId="1" applyAlignment="1" pivotButton="0" quotePrefix="0" xfId="0">
      <alignment horizontal="center" vertical="center" wrapText="1"/>
    </xf>
    <xf numFmtId="9"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wrapText="1"/>
    </xf>
    <xf numFmtId="0" fontId="0" fillId="5" borderId="1" pivotButton="0" quotePrefix="0" xfId="0"/>
    <xf numFmtId="0" fontId="4" fillId="5" borderId="1" pivotButton="0" quotePrefix="0" xfId="0"/>
    <xf numFmtId="0" fontId="5" fillId="3" borderId="1" applyAlignment="1" pivotButton="0" quotePrefix="0" xfId="0">
      <alignment horizontal="left" vertical="center" wrapText="1"/>
    </xf>
    <xf numFmtId="0" fontId="4" fillId="0" borderId="0" pivotButton="0" quotePrefix="0" xfId="0"/>
    <xf numFmtId="0" fontId="6" fillId="4" borderId="0" pivotButton="0" quotePrefix="0" xfId="0"/>
    <xf numFmtId="164" fontId="5" fillId="3" borderId="1" applyAlignment="1" pivotButton="0" quotePrefix="0" xfId="0">
      <alignment horizontal="center" vertical="center" wrapText="1"/>
    </xf>
    <xf numFmtId="164" fontId="6" fillId="4" borderId="0" applyAlignment="1" pivotButton="0" quotePrefix="0" xfId="0">
      <alignment horizontal="center" vertical="center" wrapText="1"/>
    </xf>
    <xf numFmtId="164" fontId="6" fillId="0" borderId="1" applyAlignment="1" pivotButton="0" quotePrefix="0" xfId="0">
      <alignment horizontal="center" vertical="center" wrapText="1"/>
    </xf>
    <xf numFmtId="0" fontId="6" fillId="6" borderId="1" applyAlignment="1" pivotButton="0" quotePrefix="0" xfId="0">
      <alignment horizontal="left" vertical="center" wrapText="1"/>
    </xf>
    <xf numFmtId="9" fontId="4" fillId="5" borderId="1" pivotButton="0" quotePrefix="0" xfId="0"/>
    <xf numFmtId="165" fontId="4" fillId="5" borderId="1" pivotButton="0" quotePrefix="0" xfId="0"/>
    <xf numFmtId="166"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3" borderId="1" applyAlignment="1" pivotButton="0" quotePrefix="0" xfId="0">
      <alignment horizontal="center" vertical="center" wrapText="1"/>
    </xf>
    <xf numFmtId="165" fontId="4" fillId="4" borderId="0" pivotButton="0" quotePrefix="0" xfId="0"/>
    <xf numFmtId="1" fontId="6" fillId="4" borderId="1" applyAlignment="1" pivotButton="0" quotePrefix="0" xfId="0">
      <alignment horizontal="center" vertical="center" wrapText="1"/>
    </xf>
    <xf numFmtId="9" fontId="0" fillId="0" borderId="0" pivotButton="0" quotePrefix="0" xfId="0"/>
    <xf numFmtId="0" fontId="7" fillId="0" borderId="0" pivotButton="0" quotePrefix="0" xfId="0"/>
    <xf numFmtId="0" fontId="4" fillId="0" borderId="2" pivotButton="0" quotePrefix="0" xfId="0"/>
    <xf numFmtId="9" fontId="8" fillId="7" borderId="2" applyAlignment="1" pivotButton="0" quotePrefix="0" xfId="0">
      <alignment horizontal="center" vertical="center"/>
    </xf>
    <xf numFmtId="0" fontId="9" fillId="0" borderId="0" pivotButton="0" quotePrefix="0" xfId="0"/>
    <xf numFmtId="0" fontId="4" fillId="0" borderId="3" pivotButton="0" quotePrefix="0" xfId="0"/>
    <xf numFmtId="1" fontId="13" fillId="9" borderId="3" applyAlignment="1" pivotButton="0" quotePrefix="0" xfId="0">
      <alignment horizontal="center" vertical="center" wrapText="1"/>
    </xf>
    <xf numFmtId="0" fontId="11" fillId="0" borderId="3" pivotButton="0" quotePrefix="0" xfId="0"/>
    <xf numFmtId="165" fontId="6" fillId="10" borderId="3" applyAlignment="1" pivotButton="0" quotePrefix="0" xfId="0">
      <alignment horizontal="center" vertical="center" wrapText="1"/>
    </xf>
    <xf numFmtId="9" fontId="6" fillId="10" borderId="3" applyAlignment="1" pivotButton="0" quotePrefix="0" xfId="0">
      <alignment horizontal="center" vertical="center" wrapText="1"/>
    </xf>
    <xf numFmtId="0" fontId="10" fillId="0" borderId="0" pivotButton="0" quotePrefix="0" xfId="0"/>
    <xf numFmtId="0" fontId="11" fillId="0" borderId="0" pivotButton="0" quotePrefix="0" xfId="0"/>
    <xf numFmtId="0" fontId="12" fillId="8" borderId="3" applyAlignment="1" pivotButton="0" quotePrefix="0" xfId="0">
      <alignment horizontal="center" vertical="center" wrapText="1"/>
    </xf>
    <xf numFmtId="0" fontId="4" fillId="0" borderId="4" applyAlignment="1" pivotButton="0" quotePrefix="0" xfId="0">
      <alignment horizontal="center" vertical="center" wrapText="1"/>
    </xf>
    <xf numFmtId="0" fontId="13" fillId="0" borderId="4" applyAlignment="1" pivotButton="0" quotePrefix="0" xfId="0">
      <alignment horizontal="left" vertical="center" wrapText="1"/>
    </xf>
    <xf numFmtId="0" fontId="6" fillId="0" borderId="4" applyAlignment="1" pivotButton="0" quotePrefix="0" xfId="0">
      <alignment horizontal="center" vertical="center" wrapText="1"/>
    </xf>
    <xf numFmtId="0" fontId="13" fillId="9" borderId="4" applyAlignment="1" pivotButton="0" quotePrefix="0" xfId="0">
      <alignment horizontal="center" vertical="center" wrapText="1"/>
    </xf>
    <xf numFmtId="9" fontId="13" fillId="9" borderId="4" applyAlignment="1" pivotButton="0" quotePrefix="0" xfId="0">
      <alignment horizontal="center" vertical="center" wrapText="1"/>
    </xf>
    <xf numFmtId="9" fontId="6" fillId="0" borderId="4" applyAlignment="1" pivotButton="0" quotePrefix="0" xfId="0">
      <alignment horizontal="center" vertical="center" wrapText="1"/>
    </xf>
    <xf numFmtId="165" fontId="4" fillId="10" borderId="4" applyAlignment="1" pivotButton="0" quotePrefix="0" xfId="0">
      <alignment horizontal="center" vertical="center" wrapText="1"/>
    </xf>
    <xf numFmtId="0" fontId="6" fillId="0" borderId="3" applyAlignment="1" pivotButton="0" quotePrefix="0" xfId="0">
      <alignment horizontal="center" vertical="center" wrapText="1"/>
    </xf>
    <xf numFmtId="165" fontId="4" fillId="10" borderId="3" applyAlignment="1" pivotButton="0" quotePrefix="0" xfId="0">
      <alignment horizontal="center" vertical="center" wrapText="1"/>
    </xf>
    <xf numFmtId="0" fontId="13" fillId="0" borderId="3" applyAlignment="1" pivotButton="0" quotePrefix="0" xfId="0">
      <alignment horizontal="left" vertical="center" wrapText="1"/>
    </xf>
    <xf numFmtId="0" fontId="13" fillId="9" borderId="3" applyAlignment="1" pivotButton="0" quotePrefix="0" xfId="0">
      <alignment horizontal="center" vertical="center" wrapText="1"/>
    </xf>
    <xf numFmtId="9" fontId="13" fillId="9" borderId="3" applyAlignment="1" pivotButton="0" quotePrefix="0" xfId="0">
      <alignment horizontal="center" vertical="center" wrapText="1"/>
    </xf>
    <xf numFmtId="9" fontId="6" fillId="0" borderId="3" applyAlignment="1" pivotButton="0" quotePrefix="0" xfId="0">
      <alignment horizontal="center" vertical="center" wrapText="1"/>
    </xf>
    <xf numFmtId="0" fontId="4" fillId="12" borderId="3" pivotButton="0" quotePrefix="0" xfId="0"/>
    <xf numFmtId="165" fontId="4" fillId="12" borderId="3" pivotButton="0" quotePrefix="0" xfId="0"/>
    <xf numFmtId="0" fontId="4" fillId="11" borderId="4" applyAlignment="1" pivotButton="0" quotePrefix="0" xfId="0">
      <alignment horizontal="center" vertical="center" wrapText="1"/>
    </xf>
    <xf numFmtId="0" fontId="6" fillId="11" borderId="3" applyAlignment="1" pivotButton="0" quotePrefix="0" xfId="0">
      <alignment horizontal="center" vertical="center" wrapText="1"/>
    </xf>
    <xf numFmtId="0" fontId="13" fillId="9" borderId="3" applyAlignment="1" pivotButton="0" quotePrefix="0" xfId="0">
      <alignment horizontal="left" vertical="center" wrapText="1"/>
    </xf>
    <xf numFmtId="0" fontId="14" fillId="0" borderId="0" pivotButton="0" quotePrefix="0" xfId="0"/>
    <xf numFmtId="0" fontId="6" fillId="0" borderId="3" pivotButton="0" quotePrefix="0" xfId="0"/>
    <xf numFmtId="9" fontId="4" fillId="10" borderId="3" applyAlignment="1" pivotButton="0" quotePrefix="0" xfId="0">
      <alignment horizontal="center" vertical="center" wrapText="1"/>
    </xf>
    <xf numFmtId="1" fontId="6" fillId="10" borderId="3" applyAlignment="1" pivotButton="0" quotePrefix="0" xfId="0">
      <alignment horizontal="center" vertical="center" wrapText="1"/>
    </xf>
    <xf numFmtId="164" fontId="6" fillId="10" borderId="3" applyAlignment="1" pivotButton="0" quotePrefix="0" xfId="0">
      <alignment horizontal="center" vertical="center" wrapText="1"/>
    </xf>
    <xf numFmtId="0" fontId="6" fillId="0" borderId="3" applyAlignment="1" pivotButton="0" quotePrefix="0" xfId="0">
      <alignment horizontal="left" vertical="center" wrapText="1"/>
    </xf>
    <xf numFmtId="0" fontId="6" fillId="10" borderId="3" applyAlignment="1" pivotButton="0" quotePrefix="0" xfId="0">
      <alignment horizontal="center" vertical="center" wrapText="1"/>
    </xf>
    <xf numFmtId="0" fontId="0" fillId="12" borderId="3" pivotButton="0" quotePrefix="0" xfId="0"/>
    <xf numFmtId="9" fontId="4" fillId="12" borderId="3" pivotButton="0" quotePrefix="0" xfId="0"/>
    <xf numFmtId="1" fontId="0" fillId="10" borderId="0" applyAlignment="1" pivotButton="0" quotePrefix="0" xfId="0">
      <alignment horizontal="center" vertical="center" wrapText="1"/>
    </xf>
    <xf numFmtId="0" fontId="4" fillId="0" borderId="3" applyAlignment="1" pivotButton="0" quotePrefix="0" xfId="0">
      <alignment horizontal="left" vertical="center" wrapText="1"/>
    </xf>
    <xf numFmtId="165" fontId="6" fillId="0" borderId="3" applyAlignment="1" pivotButton="0" quotePrefix="0" xfId="0">
      <alignment horizontal="center" vertical="center" wrapText="1"/>
    </xf>
    <xf numFmtId="0" fontId="6" fillId="10" borderId="3" applyAlignment="1" pivotButton="0" quotePrefix="0" xfId="0">
      <alignment horizontal="left" vertical="center" wrapText="1"/>
    </xf>
    <xf numFmtId="165" fontId="13" fillId="9" borderId="3" applyAlignment="1" pivotButton="0" quotePrefix="0" xfId="0">
      <alignment horizontal="center" vertical="center" wrapText="1"/>
    </xf>
    <xf numFmtId="2" fontId="6" fillId="10" borderId="3" applyAlignment="1" pivotButton="0" quotePrefix="0" xfId="0">
      <alignment horizontal="center" vertical="center" wrapText="1"/>
    </xf>
    <xf numFmtId="2" fontId="4" fillId="10" borderId="3" applyAlignment="1" pivotButton="0" quotePrefix="0" xfId="0">
      <alignment horizontal="center" vertical="center" wrapText="1"/>
    </xf>
    <xf numFmtId="0" fontId="4" fillId="10" borderId="3" applyAlignment="1" pivotButton="0" quotePrefix="0" xfId="0">
      <alignment horizontal="center" vertical="center" wrapText="1"/>
    </xf>
    <xf numFmtId="0" fontId="15" fillId="0" borderId="0" pivotButton="0" quotePrefix="0" xfId="0"/>
    <xf numFmtId="1" fontId="16" fillId="13" borderId="3" applyAlignment="1" pivotButton="0" quotePrefix="0" xfId="0">
      <alignment horizontal="center" vertical="center" wrapText="1"/>
    </xf>
    <xf numFmtId="165" fontId="16" fillId="13" borderId="3" applyAlignment="1" pivotButton="0" quotePrefix="0" xfId="0">
      <alignment horizontal="center" vertical="center" wrapText="1"/>
    </xf>
    <xf numFmtId="9" fontId="16" fillId="13" borderId="3" applyAlignment="1" pivotButton="0" quotePrefix="0" xfId="0">
      <alignment horizontal="center" vertical="center" wrapText="1"/>
    </xf>
    <xf numFmtId="3" fontId="16" fillId="13" borderId="3" applyAlignment="1" pivotButton="0" quotePrefix="0" xfId="0">
      <alignment horizontal="center" vertical="center" wrapText="1"/>
    </xf>
    <xf numFmtId="164" fontId="16" fillId="13" borderId="3" applyAlignment="1" pivotButton="0" quotePrefix="0" xfId="0">
      <alignment horizontal="center" vertical="center" wrapText="1"/>
    </xf>
    <xf numFmtId="2" fontId="16" fillId="13" borderId="3" applyAlignment="1" pivotButton="0" quotePrefix="0" xfId="0">
      <alignment horizontal="center" vertical="center" wrapText="1"/>
    </xf>
    <xf numFmtId="0" fontId="18" fillId="0" borderId="0" pivotButton="0" quotePrefix="0" xfId="0"/>
    <xf numFmtId="1" fontId="6" fillId="16" borderId="3" applyAlignment="1" pivotButton="0" quotePrefix="0" xfId="0">
      <alignment horizontal="center" vertical="center" wrapText="1"/>
    </xf>
    <xf numFmtId="1" fontId="6" fillId="0" borderId="1" applyAlignment="1" pivotButton="0" quotePrefix="0" xfId="0">
      <alignment horizontal="center" vertical="center" wrapText="1"/>
    </xf>
    <xf numFmtId="165" fontId="6" fillId="16" borderId="1" applyAlignment="1" pivotButton="0" quotePrefix="0" xfId="0">
      <alignment horizontal="center" vertical="center" wrapText="1"/>
    </xf>
    <xf numFmtId="0" fontId="6" fillId="16" borderId="1" applyAlignment="1" pivotButton="0" quotePrefix="0" xfId="0">
      <alignment horizontal="center" vertical="center" wrapText="1"/>
    </xf>
    <xf numFmtId="165" fontId="6" fillId="16" borderId="3" applyAlignment="1" pivotButton="0" quotePrefix="0" xfId="0">
      <alignment horizontal="center" vertical="center" wrapText="1"/>
    </xf>
    <xf numFmtId="0" fontId="4" fillId="0" borderId="7" pivotButton="0" quotePrefix="0" xfId="0"/>
    <xf numFmtId="49" fontId="6" fillId="16" borderId="7" applyAlignment="1" pivotButton="0" quotePrefix="0" xfId="0">
      <alignment horizontal="center" vertical="center" wrapText="1"/>
    </xf>
    <xf numFmtId="1" fontId="6" fillId="16" borderId="7" applyAlignment="1" pivotButton="0" quotePrefix="0" xfId="0">
      <alignment horizontal="center" vertical="center" wrapText="1"/>
    </xf>
    <xf numFmtId="0" fontId="17" fillId="0" borderId="0" pivotButton="0" quotePrefix="0" xfId="0"/>
    <xf numFmtId="0" fontId="19" fillId="14" borderId="7" applyAlignment="1" pivotButton="0" quotePrefix="0" xfId="0">
      <alignment horizontal="center" vertical="center" wrapText="1"/>
    </xf>
    <xf numFmtId="0" fontId="20" fillId="15" borderId="7" applyAlignment="1" pivotButton="0" quotePrefix="0" xfId="0">
      <alignment horizontal="left" vertical="center" wrapText="1"/>
    </xf>
    <xf numFmtId="0" fontId="20" fillId="3" borderId="1" applyAlignment="1" pivotButton="0" quotePrefix="0" xfId="0">
      <alignment horizontal="center" vertical="center" wrapText="1"/>
    </xf>
    <xf numFmtId="0" fontId="20" fillId="3" borderId="1" applyAlignment="1" pivotButton="0" quotePrefix="0" xfId="0">
      <alignment horizontal="left" vertical="center" wrapText="1"/>
    </xf>
    <xf numFmtId="165" fontId="20" fillId="3" borderId="1" applyAlignment="1" pivotButton="0" quotePrefix="0" xfId="0">
      <alignment horizontal="center" vertical="center" wrapText="1"/>
    </xf>
    <xf numFmtId="165" fontId="20" fillId="9" borderId="3" applyAlignment="1" pivotButton="0" quotePrefix="0" xfId="0">
      <alignment horizontal="center" vertical="center" wrapText="1"/>
    </xf>
    <xf numFmtId="1" fontId="20" fillId="15" borderId="7" applyAlignment="1" pivotButton="0" quotePrefix="0" xfId="0">
      <alignment horizontal="center" vertical="center" wrapText="1"/>
    </xf>
    <xf numFmtId="0" fontId="20" fillId="9" borderId="3" applyAlignment="1" pivotButton="0" quotePrefix="0" xfId="0">
      <alignment horizontal="center" vertical="center" wrapText="1"/>
    </xf>
    <xf numFmtId="1" fontId="20" fillId="9" borderId="3" applyAlignment="1" pivotButton="0" quotePrefix="0" xfId="0">
      <alignment horizontal="center" vertical="center" wrapText="1"/>
    </xf>
    <xf numFmtId="1" fontId="0" fillId="15" borderId="7" applyAlignment="1" pivotButton="0" quotePrefix="0" xfId="0">
      <alignment horizontal="center" vertical="center" wrapText="1"/>
    </xf>
    <xf numFmtId="165" fontId="6" fillId="16" borderId="7" applyAlignment="1" pivotButton="0" quotePrefix="0" xfId="0">
      <alignment horizontal="center" vertical="center" wrapText="1"/>
    </xf>
    <xf numFmtId="9" fontId="4" fillId="16" borderId="7" applyAlignment="1" pivotButton="0" quotePrefix="0" xfId="0">
      <alignment horizontal="center" vertical="center" wrapText="1"/>
    </xf>
    <xf numFmtId="165" fontId="4" fillId="17" borderId="7" pivotButton="0" quotePrefix="0" xfId="0"/>
    <xf numFmtId="9" fontId="4" fillId="17" borderId="7" pivotButton="0" quotePrefix="0" xfId="0"/>
    <xf numFmtId="1" fontId="16" fillId="18" borderId="7" applyAlignment="1" pivotButton="0" quotePrefix="0" xfId="0">
      <alignment horizontal="center" vertical="center" wrapText="1"/>
    </xf>
    <xf numFmtId="164" fontId="20" fillId="15" borderId="7" applyAlignment="1" pivotButton="0" quotePrefix="0" xfId="0">
      <alignment horizontal="center" vertical="center" wrapText="1"/>
    </xf>
    <xf numFmtId="9" fontId="6" fillId="16" borderId="7" applyAlignment="1" pivotButton="0" quotePrefix="0" xfId="0">
      <alignment horizontal="center" vertical="center" wrapText="1"/>
    </xf>
    <xf numFmtId="0" fontId="20" fillId="15" borderId="7" applyAlignment="1" pivotButton="0" quotePrefix="0" xfId="0">
      <alignment horizontal="center" vertical="center" wrapText="1"/>
    </xf>
    <xf numFmtId="0" fontId="6" fillId="0" borderId="7" applyAlignment="1" pivotButton="0" quotePrefix="0" xfId="0">
      <alignment horizontal="center" vertical="center" wrapText="1"/>
    </xf>
    <xf numFmtId="2" fontId="6" fillId="16" borderId="7" applyAlignment="1" pivotButton="0" quotePrefix="0" xfId="0">
      <alignment horizontal="center" vertical="center" wrapText="1"/>
    </xf>
    <xf numFmtId="0" fontId="4" fillId="16" borderId="7" applyAlignment="1" pivotButton="0" quotePrefix="0" xfId="0">
      <alignment horizontal="center" vertical="center" wrapText="1"/>
    </xf>
    <xf numFmtId="0" fontId="3" fillId="14" borderId="7" applyAlignment="1" pivotButton="0" quotePrefix="0" xfId="0">
      <alignment horizontal="center" vertical="center" wrapText="1"/>
    </xf>
    <xf numFmtId="167" fontId="16" fillId="18" borderId="7" applyAlignment="1" pivotButton="0" quotePrefix="0" xfId="0">
      <alignment horizontal="center" vertical="center" wrapText="1"/>
    </xf>
    <xf numFmtId="167" fontId="6" fillId="0" borderId="0" pivotButton="0" quotePrefix="0" xfId="0"/>
    <xf numFmtId="0" fontId="21" fillId="0" borderId="0" pivotButton="0" quotePrefix="0" xfId="0"/>
    <xf numFmtId="0" fontId="22" fillId="0" borderId="0" pivotButton="0" quotePrefix="0" xfId="0"/>
    <xf numFmtId="0" fontId="23" fillId="19" borderId="8" applyAlignment="1" pivotButton="0" quotePrefix="0" xfId="0">
      <alignment horizontal="center" vertical="center" wrapText="1"/>
    </xf>
    <xf numFmtId="0" fontId="6" fillId="0" borderId="8" applyAlignment="1" pivotButton="0" quotePrefix="0" xfId="0">
      <alignment horizontal="center" vertical="center" wrapText="1"/>
    </xf>
    <xf numFmtId="0" fontId="6" fillId="0" borderId="8" applyAlignment="1" pivotButton="0" quotePrefix="0" xfId="0">
      <alignment horizontal="left" vertical="center" wrapText="1"/>
    </xf>
    <xf numFmtId="164" fontId="6" fillId="20" borderId="8" applyAlignment="1" pivotButton="0" quotePrefix="0" xfId="0">
      <alignment horizontal="center" vertical="center" wrapText="1"/>
    </xf>
    <xf numFmtId="1" fontId="6" fillId="20" borderId="8" applyAlignment="1" pivotButton="0" quotePrefix="0" xfId="0">
      <alignment horizontal="center" vertical="center" wrapText="1"/>
    </xf>
    <xf numFmtId="0" fontId="6" fillId="21" borderId="8" applyAlignment="1" pivotButton="0" quotePrefix="0" xfId="0">
      <alignment horizontal="center" vertical="center" wrapText="1"/>
    </xf>
    <xf numFmtId="0" fontId="6" fillId="22" borderId="8" applyAlignment="1" pivotButton="0" quotePrefix="0" xfId="0">
      <alignment horizontal="center" vertical="center" wrapText="1"/>
    </xf>
    <xf numFmtId="0" fontId="6" fillId="23" borderId="8" applyAlignment="1" pivotButton="0" quotePrefix="0" xfId="0">
      <alignment horizontal="center" vertical="center" wrapText="1"/>
    </xf>
    <xf numFmtId="0" fontId="6" fillId="24" borderId="8" applyAlignment="1" pivotButton="0" quotePrefix="0" xfId="0">
      <alignment horizontal="center" vertical="center" wrapText="1"/>
    </xf>
    <xf numFmtId="0" fontId="6" fillId="25" borderId="8" applyAlignment="1" pivotButton="0" quotePrefix="0" xfId="0">
      <alignment horizontal="center" vertical="center" wrapText="1"/>
    </xf>
    <xf numFmtId="168" fontId="20" fillId="15" borderId="7" applyAlignment="1" pivotButton="0" quotePrefix="0" xfId="0">
      <alignment horizontal="center" vertical="center" wrapText="1"/>
    </xf>
    <xf numFmtId="168" fontId="0" fillId="15" borderId="7" applyAlignment="1" pivotButton="0" quotePrefix="0" xfId="0">
      <alignment horizontal="center" vertical="center" wrapText="1"/>
    </xf>
    <xf numFmtId="167" fontId="4" fillId="16" borderId="7" applyAlignment="1" pivotButton="0" quotePrefix="0" xfId="0">
      <alignment horizontal="center" vertical="center" wrapText="1"/>
    </xf>
    <xf numFmtId="0" fontId="24" fillId="26" borderId="8" applyAlignment="1" pivotButton="0" quotePrefix="0" xfId="0">
      <alignment horizontal="center" vertical="center" wrapText="1"/>
    </xf>
    <xf numFmtId="0" fontId="25" fillId="0" borderId="0" pivotButton="0" quotePrefix="0" xfId="0"/>
    <xf numFmtId="0" fontId="23" fillId="21" borderId="8" applyAlignment="1" pivotButton="0" quotePrefix="0" xfId="0">
      <alignment horizontal="center" vertical="center"/>
    </xf>
    <xf numFmtId="0" fontId="23" fillId="22" borderId="8" applyAlignment="1" pivotButton="0" quotePrefix="0" xfId="0">
      <alignment horizontal="center" vertical="center"/>
    </xf>
    <xf numFmtId="0" fontId="23" fillId="23" borderId="8" applyAlignment="1" pivotButton="0" quotePrefix="0" xfId="0">
      <alignment horizontal="center" vertical="center"/>
    </xf>
    <xf numFmtId="0" fontId="26" fillId="0" borderId="0" applyAlignment="1" pivotButton="0" quotePrefix="0" xfId="0">
      <alignment horizontal="center" vertical="center"/>
    </xf>
    <xf numFmtId="0" fontId="23" fillId="24" borderId="8" applyAlignment="1" pivotButton="0" quotePrefix="0" xfId="0">
      <alignment horizontal="center" vertical="center"/>
    </xf>
    <xf numFmtId="0" fontId="27" fillId="27" borderId="9" applyAlignment="1" pivotButton="0" quotePrefix="0" xfId="0">
      <alignment horizontal="center" vertical="center" wrapText="1"/>
    </xf>
    <xf numFmtId="0" fontId="4" fillId="28" borderId="9" applyAlignment="1" pivotButton="0" quotePrefix="0" xfId="0">
      <alignment horizontal="center" vertical="center" wrapText="1"/>
    </xf>
    <xf numFmtId="0" fontId="4" fillId="0" borderId="9" applyAlignment="1" pivotButton="0" quotePrefix="0" xfId="0">
      <alignment horizontal="center" vertical="center" wrapText="1"/>
    </xf>
    <xf numFmtId="0" fontId="28" fillId="0" borderId="0" pivotButton="0" quotePrefix="0" xfId="0"/>
    <xf numFmtId="0" fontId="29" fillId="0" borderId="0" pivotButton="0" quotePrefix="0" xfId="0"/>
    <xf numFmtId="0" fontId="30" fillId="29" borderId="10" applyAlignment="1" pivotButton="0" quotePrefix="0" xfId="0">
      <alignment horizontal="center" vertical="center" wrapText="1"/>
    </xf>
    <xf numFmtId="0" fontId="6" fillId="0" borderId="10" applyAlignment="1" pivotButton="0" quotePrefix="0" xfId="0">
      <alignment horizontal="center" vertical="center" wrapText="1"/>
    </xf>
    <xf numFmtId="9" fontId="6" fillId="30" borderId="10" applyAlignment="1" pivotButton="0" quotePrefix="0" xfId="0">
      <alignment horizontal="center" vertical="center" wrapText="1"/>
    </xf>
    <xf numFmtId="0" fontId="4" fillId="31" borderId="10" pivotButton="0" quotePrefix="0" xfId="0"/>
    <xf numFmtId="9" fontId="4" fillId="31" borderId="10" pivotButton="0" quotePrefix="0" xfId="0"/>
    <xf numFmtId="0" fontId="4" fillId="0" borderId="0" applyAlignment="1" pivotButton="0" quotePrefix="0" xfId="0">
      <alignment horizontal="center" vertical="center" wrapText="1"/>
    </xf>
    <xf numFmtId="9" fontId="4" fillId="0" borderId="0" applyAlignment="1" pivotButton="0" quotePrefix="0" xfId="0">
      <alignment horizontal="center" vertical="center" wrapText="1"/>
    </xf>
    <xf numFmtId="0" fontId="31" fillId="0" borderId="0" pivotButton="0" quotePrefix="0" xfId="0"/>
    <xf numFmtId="0" fontId="32" fillId="0" borderId="0" pivotButton="0" quotePrefix="0" xfId="0"/>
    <xf numFmtId="0" fontId="33" fillId="32" borderId="11" applyAlignment="1" pivotButton="0" quotePrefix="0" xfId="0">
      <alignment horizontal="center" vertical="center" wrapText="1"/>
    </xf>
    <xf numFmtId="0" fontId="4"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1" applyAlignment="1" pivotButton="0" quotePrefix="0" xfId="0">
      <alignment horizontal="center" vertical="center" wrapText="1"/>
    </xf>
    <xf numFmtId="0" fontId="4" fillId="33" borderId="11" applyAlignment="1" pivotButton="0" quotePrefix="0" xfId="0">
      <alignment horizontal="center" vertical="center" wrapText="1"/>
    </xf>
    <xf numFmtId="0" fontId="4" fillId="34" borderId="11" applyAlignment="1" pivotButton="0" quotePrefix="0" xfId="0">
      <alignment horizontal="center" vertical="center" wrapText="1"/>
    </xf>
    <xf numFmtId="0" fontId="4" fillId="35" borderId="11" applyAlignment="1" pivotButton="0" quotePrefix="0" xfId="0">
      <alignment horizontal="center" vertical="center" wrapText="1"/>
    </xf>
    <xf numFmtId="0" fontId="4" fillId="36" borderId="11" applyAlignment="1" pivotButton="0" quotePrefix="0" xfId="0">
      <alignment horizontal="center" vertical="center" wrapText="1"/>
    </xf>
    <xf numFmtId="0" fontId="34" fillId="0" borderId="0" pivotButton="0" quotePrefix="0" xfId="0"/>
    <xf numFmtId="0" fontId="35" fillId="37" borderId="12" applyAlignment="1" pivotButton="0" quotePrefix="0" xfId="0">
      <alignment horizontal="center" vertical="center" wrapText="1"/>
    </xf>
    <xf numFmtId="0" fontId="6" fillId="38" borderId="12" applyAlignment="1" pivotButton="0" quotePrefix="0" xfId="0">
      <alignment horizontal="center" vertical="center" wrapText="1"/>
    </xf>
    <xf numFmtId="0" fontId="36" fillId="0" borderId="0" pivotButton="0" quotePrefix="0" xfId="0"/>
    <xf numFmtId="0" fontId="37" fillId="0" borderId="0" pivotButton="0" quotePrefix="0" xfId="0"/>
    <xf numFmtId="0" fontId="4" fillId="0" borderId="12" applyAlignment="1" pivotButton="0" quotePrefix="0" xfId="0">
      <alignment horizontal="left" vertical="center" wrapText="1"/>
    </xf>
    <xf numFmtId="1" fontId="6" fillId="0" borderId="12" applyAlignment="1" pivotButton="0" quotePrefix="0" xfId="0">
      <alignment horizontal="center" vertical="center" wrapText="1"/>
    </xf>
    <xf numFmtId="165" fontId="6" fillId="38" borderId="12" applyAlignment="1" pivotButton="0" quotePrefix="0" xfId="0">
      <alignment horizontal="center" vertical="center" wrapText="1"/>
    </xf>
    <xf numFmtId="9" fontId="4" fillId="38" borderId="12" applyAlignment="1" pivotButton="0" quotePrefix="0" xfId="0">
      <alignment horizontal="center" vertical="center" wrapText="1"/>
    </xf>
    <xf numFmtId="9" fontId="6" fillId="38" borderId="12" applyAlignment="1" pivotButton="0" quotePrefix="0" xfId="0">
      <alignment horizontal="center" vertical="center" wrapText="1"/>
    </xf>
    <xf numFmtId="0" fontId="38" fillId="39" borderId="12" applyAlignment="1" pivotButton="0" quotePrefix="0" xfId="0">
      <alignment horizontal="left" vertical="center" wrapText="1"/>
    </xf>
    <xf numFmtId="0" fontId="4" fillId="40" borderId="12" pivotButton="0" quotePrefix="0" xfId="0"/>
    <xf numFmtId="165" fontId="4" fillId="40" borderId="12" pivotButton="0" quotePrefix="0" xfId="0"/>
    <xf numFmtId="9" fontId="4" fillId="40" borderId="12" pivotButton="0" quotePrefix="0" xfId="0"/>
    <xf numFmtId="0" fontId="0" fillId="40" borderId="12" pivotButton="0" quotePrefix="0" xfId="0"/>
    <xf numFmtId="0" fontId="38" fillId="39" borderId="12" applyAlignment="1" pivotButton="0" quotePrefix="0" xfId="0">
      <alignment horizontal="center" vertical="center" wrapText="1"/>
    </xf>
    <xf numFmtId="0" fontId="39" fillId="0" borderId="0" pivotButton="0" quotePrefix="0" xfId="0"/>
    <xf numFmtId="0" fontId="6" fillId="0" borderId="12" applyAlignment="1" pivotButton="0" quotePrefix="0" xfId="0">
      <alignment horizontal="center" vertical="center" wrapText="1"/>
    </xf>
    <xf numFmtId="0" fontId="4" fillId="38" borderId="12" applyAlignment="1" pivotButton="0" quotePrefix="0" xfId="0">
      <alignment horizontal="center" vertical="center" wrapText="1"/>
    </xf>
    <xf numFmtId="9" fontId="4" fillId="0" borderId="0" pivotButton="0" quotePrefix="0" xfId="0"/>
    <xf numFmtId="3" fontId="38" fillId="39" borderId="12" pivotButton="0" quotePrefix="0" xfId="0"/>
    <xf numFmtId="3" fontId="6" fillId="38" borderId="12" applyAlignment="1" pivotButton="0" quotePrefix="0" xfId="0">
      <alignment horizontal="center" vertical="center" wrapText="1"/>
    </xf>
    <xf numFmtId="3" fontId="4" fillId="0" borderId="0" pivotButton="0" quotePrefix="0" xfId="0"/>
    <xf numFmtId="165" fontId="4" fillId="38" borderId="12" applyAlignment="1" pivotButton="0" quotePrefix="0" xfId="0">
      <alignment horizontal="center" vertical="center" wrapText="1"/>
    </xf>
    <xf numFmtId="1" fontId="4" fillId="0" borderId="12" applyAlignment="1" pivotButton="0" quotePrefix="0" xfId="0">
      <alignment horizontal="center" vertical="center" wrapText="1"/>
    </xf>
    <xf numFmtId="0" fontId="0" fillId="39" borderId="12" applyAlignment="1" pivotButton="0" quotePrefix="0" xfId="0">
      <alignment horizontal="center" vertical="center" wrapText="1"/>
    </xf>
    <xf numFmtId="0" fontId="6" fillId="0" borderId="0" pivotButton="0" quotePrefix="0" xfId="0"/>
    <xf numFmtId="0" fontId="4" fillId="0" borderId="12" pivotButton="0" quotePrefix="0" xfId="0"/>
    <xf numFmtId="165" fontId="6" fillId="0" borderId="0" pivotButton="0" quotePrefix="0" xfId="0"/>
    <xf numFmtId="1" fontId="4" fillId="38" borderId="12" applyAlignment="1" pivotButton="0" quotePrefix="0" xfId="0">
      <alignment horizontal="center" vertical="center" wrapText="1"/>
    </xf>
    <xf numFmtId="0" fontId="6" fillId="0" borderId="12" applyAlignment="1" pivotButton="0" quotePrefix="0" xfId="0">
      <alignment horizontal="left" vertical="center" wrapText="1"/>
    </xf>
    <xf numFmtId="168" fontId="6" fillId="38" borderId="12" applyAlignment="1" pivotButton="0" quotePrefix="0" xfId="0">
      <alignment horizontal="center" vertical="center" wrapText="1"/>
    </xf>
    <xf numFmtId="1" fontId="6" fillId="38" borderId="12" applyAlignment="1" pivotButton="0" quotePrefix="0" xfId="0">
      <alignment horizontal="center" vertical="center" wrapText="1"/>
    </xf>
    <xf numFmtId="0" fontId="6" fillId="41" borderId="12" applyAlignment="1" pivotButton="0" quotePrefix="0" xfId="0">
      <alignment horizontal="center" vertical="center" wrapText="1"/>
    </xf>
    <xf numFmtId="0" fontId="6" fillId="42" borderId="12" applyAlignment="1" pivotButton="0" quotePrefix="0" xfId="0">
      <alignment horizontal="center" vertical="center" wrapText="1"/>
    </xf>
    <xf numFmtId="0" fontId="6" fillId="43" borderId="12" applyAlignment="1" pivotButton="0" quotePrefix="0" xfId="0">
      <alignment horizontal="center" vertical="center" wrapText="1"/>
    </xf>
    <xf numFmtId="168" fontId="6" fillId="0" borderId="12" applyAlignment="1" pivotButton="0" quotePrefix="0" xfId="0">
      <alignment horizontal="center" vertical="center" wrapText="1"/>
    </xf>
    <xf numFmtId="167" fontId="4" fillId="38" borderId="0" pivotButton="0" quotePrefix="0" xfId="0"/>
    <xf numFmtId="0" fontId="42" fillId="0" borderId="0" pivotButton="0" quotePrefix="0" xfId="0"/>
    <xf numFmtId="0" fontId="43" fillId="0" borderId="0" pivotButton="0" quotePrefix="0" xfId="0"/>
    <xf numFmtId="0" fontId="40" fillId="44" borderId="13" applyAlignment="1" pivotButton="0" quotePrefix="0" xfId="0">
      <alignment horizontal="center" vertical="center" wrapText="1"/>
    </xf>
    <xf numFmtId="0" fontId="41" fillId="45" borderId="13" applyAlignment="1" pivotButton="0" quotePrefix="0" xfId="0">
      <alignment horizontal="center" vertical="center" wrapText="1"/>
    </xf>
    <xf numFmtId="0" fontId="41" fillId="45" borderId="13" applyAlignment="1" pivotButton="0" quotePrefix="0" xfId="0">
      <alignment horizontal="left" vertical="center" wrapText="1"/>
    </xf>
    <xf numFmtId="164" fontId="6" fillId="46" borderId="13" applyAlignment="1" pivotButton="0" quotePrefix="0" xfId="0">
      <alignment horizontal="center" vertical="center" wrapText="1"/>
    </xf>
    <xf numFmtId="0" fontId="41" fillId="0" borderId="13" applyAlignment="1" pivotButton="0" quotePrefix="0" xfId="0">
      <alignment horizontal="center" vertical="center" wrapText="1"/>
    </xf>
    <xf numFmtId="0" fontId="6" fillId="46" borderId="13" applyAlignment="1" pivotButton="0" quotePrefix="0" xfId="0">
      <alignment horizontal="center" vertical="center" wrapText="1"/>
    </xf>
    <xf numFmtId="165" fontId="6" fillId="46" borderId="13" applyAlignment="1" pivotButton="0" quotePrefix="0" xfId="0">
      <alignment horizontal="center" vertical="center" wrapText="1"/>
    </xf>
    <xf numFmtId="0" fontId="44" fillId="0" borderId="0" pivotButton="0" quotePrefix="0" xfId="0"/>
    <xf numFmtId="0" fontId="6" fillId="0" borderId="13" applyAlignment="1" pivotButton="0" quotePrefix="0" xfId="0">
      <alignment horizontal="center" vertical="center" wrapText="1"/>
    </xf>
    <xf numFmtId="0" fontId="4" fillId="46" borderId="13" applyAlignment="1" pivotButton="0" quotePrefix="0" xfId="0">
      <alignment horizontal="center" vertical="center" wrapText="1"/>
    </xf>
    <xf numFmtId="165" fontId="41" fillId="45" borderId="13" applyAlignment="1" pivotButton="0" quotePrefix="0" xfId="0">
      <alignment horizontal="center" vertical="center" wrapText="1"/>
    </xf>
    <xf numFmtId="0" fontId="0" fillId="45" borderId="13" applyAlignment="1" pivotButton="0" quotePrefix="0" xfId="0">
      <alignment horizontal="center" vertical="center" wrapText="1"/>
    </xf>
    <xf numFmtId="1" fontId="41" fillId="45" borderId="13" applyAlignment="1" pivotButton="0" quotePrefix="0" xfId="0">
      <alignment horizontal="center" vertical="center" wrapText="1"/>
    </xf>
    <xf numFmtId="0" fontId="45" fillId="0" borderId="0" pivotButton="0" quotePrefix="0" xfId="0"/>
    <xf numFmtId="0" fontId="46" fillId="0" borderId="0" pivotButton="0" quotePrefix="0" xfId="0"/>
    <xf numFmtId="1" fontId="47" fillId="47" borderId="14" applyAlignment="1" pivotButton="0" quotePrefix="0" xfId="0">
      <alignment horizontal="center" vertical="center" wrapText="1"/>
    </xf>
    <xf numFmtId="167" fontId="4" fillId="49" borderId="14" applyAlignment="1" pivotButton="0" quotePrefix="0" xfId="0">
      <alignment horizontal="center" vertical="center" wrapText="1"/>
    </xf>
    <xf numFmtId="0" fontId="48" fillId="48" borderId="14" applyAlignment="1" pivotButton="0" quotePrefix="0" xfId="0">
      <alignment horizontal="center" vertical="center" wrapText="1"/>
    </xf>
    <xf numFmtId="0" fontId="6" fillId="0" borderId="14" applyAlignment="1" pivotButton="0" quotePrefix="0" xfId="0">
      <alignment horizontal="center" vertical="center" wrapText="1"/>
    </xf>
    <xf numFmtId="168" fontId="6" fillId="0" borderId="14" applyAlignment="1" pivotButton="0" quotePrefix="0" xfId="0">
      <alignment horizontal="center" vertical="center" wrapText="1"/>
    </xf>
    <xf numFmtId="1" fontId="6" fillId="49" borderId="14" applyAlignment="1" pivotButton="0" quotePrefix="0" xfId="0">
      <alignment horizontal="center" vertical="center" wrapText="1"/>
    </xf>
    <xf numFmtId="1" fontId="6" fillId="0" borderId="14" applyAlignment="1" pivotButton="0" quotePrefix="0" xfId="0">
      <alignment horizontal="center" vertical="center" wrapText="1"/>
    </xf>
    <xf numFmtId="0" fontId="49" fillId="0" borderId="0" pivotButton="0" quotePrefix="0" xfId="0"/>
    <xf numFmtId="0" fontId="4" fillId="0" borderId="15" pivotButton="0" quotePrefix="0" xfId="0"/>
    <xf numFmtId="167" fontId="16" fillId="50" borderId="15" applyAlignment="1" pivotButton="0" quotePrefix="0" xfId="0">
      <alignment horizontal="center" vertical="center"/>
    </xf>
    <xf numFmtId="0" fontId="50" fillId="0" borderId="0" pivotButton="0" quotePrefix="0" xfId="0"/>
    <xf numFmtId="0" fontId="48" fillId="48" borderId="16" applyAlignment="1" pivotButton="0" quotePrefix="0" xfId="0">
      <alignment horizontal="center" vertical="center" wrapText="1"/>
    </xf>
    <xf numFmtId="0" fontId="4" fillId="0" borderId="16" pivotButton="0" quotePrefix="0" xfId="0"/>
    <xf numFmtId="0" fontId="6" fillId="0" borderId="16" pivotButton="0" quotePrefix="0" xfId="0"/>
    <xf numFmtId="169" fontId="6" fillId="0" borderId="16" applyAlignment="1" pivotButton="0" quotePrefix="0" xfId="0">
      <alignment horizontal="center"/>
    </xf>
    <xf numFmtId="0" fontId="6" fillId="0" borderId="16" applyAlignment="1" pivotButton="0" quotePrefix="0" xfId="0">
      <alignment horizontal="center"/>
    </xf>
    <xf numFmtId="9" fontId="6" fillId="0" borderId="16" pivotButton="0" quotePrefix="0" xfId="0"/>
    <xf numFmtId="170" fontId="4" fillId="0" borderId="16" pivotButton="0" quotePrefix="0" xfId="0"/>
    <xf numFmtId="0" fontId="4" fillId="0" borderId="16" applyAlignment="1" pivotButton="0" quotePrefix="0" xfId="0">
      <alignment horizontal="center"/>
    </xf>
    <xf numFmtId="0" fontId="51" fillId="0" borderId="0" pivotButton="0" quotePrefix="0" xfId="0"/>
    <xf numFmtId="0" fontId="52" fillId="0" borderId="0" pivotButton="0" quotePrefix="0" xfId="0"/>
    <xf numFmtId="0" fontId="52" fillId="0" borderId="0" applyAlignment="1" pivotButton="0" quotePrefix="0" xfId="0">
      <alignment horizontal="left"/>
    </xf>
    <xf numFmtId="0" fontId="4" fillId="0" borderId="16" applyAlignment="1" pivotButton="0" quotePrefix="0" xfId="0">
      <alignment vertical="center"/>
    </xf>
    <xf numFmtId="0" fontId="6" fillId="0" borderId="16" applyAlignment="1" pivotButton="0" quotePrefix="0" xfId="0">
      <alignment vertical="center" wrapText="1"/>
    </xf>
    <xf numFmtId="0" fontId="6" fillId="0" borderId="16" applyAlignment="1" pivotButton="0" quotePrefix="0" xfId="0">
      <alignment vertical="center"/>
    </xf>
    <xf numFmtId="0" fontId="48" fillId="48" borderId="0" pivotButton="0" quotePrefix="0" xfId="0"/>
    <xf numFmtId="0" fontId="5" fillId="39" borderId="12" applyAlignment="1" pivotButton="0" quotePrefix="0" xfId="0">
      <alignment horizontal="left" vertical="center" wrapText="1"/>
    </xf>
    <xf numFmtId="0" fontId="48" fillId="48" borderId="17" applyAlignment="1" pivotButton="0" quotePrefix="0" xfId="0">
      <alignment horizontal="center" vertical="center" wrapText="1"/>
    </xf>
    <xf numFmtId="0" fontId="4" fillId="0" borderId="17" pivotButton="0" quotePrefix="0" xfId="0"/>
    <xf numFmtId="0" fontId="6" fillId="0" borderId="17" pivotButton="0" quotePrefix="0" xfId="0"/>
    <xf numFmtId="0" fontId="4" fillId="0" borderId="17" applyAlignment="1" pivotButton="0" quotePrefix="0" xfId="0">
      <alignment horizontal="center" vertical="center"/>
    </xf>
    <xf numFmtId="0" fontId="6" fillId="0" borderId="17" applyAlignment="1" pivotButton="0" quotePrefix="0" xfId="0">
      <alignment horizontal="center" vertical="center"/>
    </xf>
    <xf numFmtId="0" fontId="6" fillId="0" borderId="17" applyAlignment="1" pivotButton="0" quotePrefix="0" xfId="0">
      <alignment vertical="center" wrapText="1"/>
    </xf>
    <xf numFmtId="0" fontId="48" fillId="48" borderId="17" applyAlignment="1" pivotButton="0" quotePrefix="0" xfId="0">
      <alignment horizontal="center" vertical="center"/>
    </xf>
    <xf numFmtId="0" fontId="4" fillId="51" borderId="17" pivotButton="0" quotePrefix="0" xfId="0"/>
    <xf numFmtId="0" fontId="4" fillId="52" borderId="17" pivotButton="0" quotePrefix="0" xfId="0"/>
    <xf numFmtId="0" fontId="4" fillId="53" borderId="17" pivotButton="0" quotePrefix="0" xfId="0"/>
    <xf numFmtId="0" fontId="4" fillId="54" borderId="17" pivotButton="0" quotePrefix="0" xfId="0"/>
    <xf numFmtId="0" fontId="16" fillId="13" borderId="15" applyAlignment="1" pivotButton="0" quotePrefix="0" xfId="0">
      <alignment horizontal="left" vertical="center" wrapText="1"/>
    </xf>
    <xf numFmtId="0" fontId="0" fillId="0" borderId="5" pivotButton="0" quotePrefix="0" xfId="0"/>
    <xf numFmtId="0" fontId="0" fillId="0" borderId="6" pivotButton="0" quotePrefix="0" xfId="0"/>
    <xf numFmtId="0" fontId="48" fillId="48" borderId="20" applyAlignment="1" pivotButton="0" quotePrefix="0" xfId="0">
      <alignment horizontal="center" vertical="center" wrapText="1"/>
    </xf>
    <xf numFmtId="0" fontId="4" fillId="0" borderId="20" applyAlignment="1" pivotButton="0" quotePrefix="0" xfId="0">
      <alignment vertical="top"/>
    </xf>
    <xf numFmtId="0" fontId="6" fillId="55" borderId="20" applyAlignment="1" pivotButton="0" quotePrefix="0" xfId="0">
      <alignment vertical="top" wrapText="1"/>
    </xf>
    <xf numFmtId="0" fontId="4" fillId="0" borderId="20" applyAlignment="1" pivotButton="0" quotePrefix="0" xfId="0">
      <alignment vertical="top" wrapText="1"/>
    </xf>
    <xf numFmtId="0" fontId="6" fillId="0" borderId="20" applyAlignment="1" pivotButton="0" quotePrefix="0" xfId="0">
      <alignment vertical="top" wrapText="1"/>
    </xf>
    <xf numFmtId="0" fontId="6" fillId="40" borderId="20" applyAlignment="1" pivotButton="0" quotePrefix="0" xfId="0">
      <alignment vertical="top" wrapText="1"/>
    </xf>
    <xf numFmtId="0" fontId="6" fillId="47" borderId="20" applyAlignment="1" pivotButton="0" quotePrefix="0" xfId="0">
      <alignment vertical="top" wrapText="1"/>
    </xf>
    <xf numFmtId="0" fontId="6" fillId="56" borderId="20" applyAlignment="1" pivotButton="0" quotePrefix="0" xfId="0">
      <alignment vertical="top" wrapText="1"/>
    </xf>
  </cellXfs>
  <cellStyles count="1">
    <cellStyle name="Обычный" xfId="0" builtinId="0"/>
  </cellStyles>
  <dxfs count="51">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E2EFDA"/>
        </patternFill>
      </fill>
    </dxf>
    <dxf>
      <fill>
        <patternFill patternType="solid">
          <fgColor rgb="FFE2EFDA"/>
        </patternFill>
      </fill>
    </dxf>
    <dxf>
      <fill>
        <patternFill patternType="solid">
          <fgColor rgb="FFFFF2CC"/>
        </patternFill>
      </fill>
    </dxf>
    <dxf>
      <fill>
        <patternFill patternType="solid">
          <fgColor rgb="FFF8D7DA"/>
        </patternFill>
      </fill>
    </dxf>
    <dxf>
      <fill>
        <patternFill patternType="solid">
          <fgColor rgb="FFF8D7DA"/>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E4E9F0"/>
        </patternFill>
      </fill>
    </dxf>
    <dxf>
      <fill>
        <patternFill patternType="solid">
          <fgColor rgb="FFD6E4FB"/>
        </patternFill>
      </fill>
    </dxf>
    <dxf>
      <fill>
        <patternFill patternType="solid">
          <fgColor rgb="FFFDECC8"/>
        </patternFill>
      </fill>
    </dxf>
    <dxf>
      <fill>
        <patternFill patternType="solid">
          <fgColor rgb="FFF8D2D2"/>
        </patternFill>
      </fill>
    </dxf>
    <dxf>
      <fill>
        <patternFill patternType="solid">
          <fgColor rgb="FFF8D7DA"/>
        </patternFill>
      </fill>
    </dxf>
    <dxf>
      <fill>
        <patternFill patternType="solid">
          <fgColor rgb="FFFFF2CC"/>
        </patternFill>
      </fill>
    </dxf>
    <dxf>
      <fill>
        <patternFill patternType="solid">
          <fgColor rgb="FFE2EFDA"/>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C7CE"/>
        </patternFill>
      </fill>
    </dxf>
    <dxf>
      <fill>
        <patternFill patternType="solid">
          <fgColor rgb="FFC6EF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План </a:t>
            </a:r>
            <a:r>
              <a:rPr lang="en-US"/>
              <a:t xml:space="preserve">vs </a:t>
            </a:r>
            <a:r>
              <a:rPr lang="ru-RU"/>
              <a:t>Факт (</a:t>
            </a:r>
            <a:r>
              <a:rPr lang="en-US"/>
              <a:t>velocity)</a:t>
            </a:r>
          </a:p>
        </rich>
      </tx>
      <overlay val="0"/>
    </title>
    <plotArea>
      <layout/>
      <lineChart>
        <grouping val="standard"/>
        <varyColors val="1"/>
        <ser>
          <idx val="0"/>
          <order val="0"/>
          <tx>
            <strRef>
              <f>'Дорожная карта'!$G$5</f>
              <strCache>
                <ptCount val="1"/>
                <pt idx="0">
                  <v>План трудо-
ёмкости (дн)</v>
                </pt>
              </strCache>
            </strRef>
          </tx>
          <spPr>
            <a:ln xmlns:a="http://schemas.openxmlformats.org/drawingml/2006/main">
              <a:solidFill>
                <a:srgbClr val="8EAADB"/>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mooth val="1"/>
        </ser>
        <ser>
          <idx val="1"/>
          <order val="1"/>
          <tx>
            <strRef>
              <f>'Дорожная карта'!$I$5</f>
              <strCache>
                <ptCount val="1"/>
                <pt idx="0">
                  <v>Факт /
Velocity (дн)</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карта'!$I$6:$I$16</f>
              <numCache>
                <formatCode>#\ ##0.0</formatCode>
                <ptCount val="11"/>
                <pt idx="0">
                  <v>17</v>
                </pt>
                <pt idx="1">
                  <v>21</v>
                </pt>
                <pt idx="2">
                  <v>0</v>
                </pt>
                <pt idx="3">
                  <v>0</v>
                </pt>
                <pt idx="4">
                  <v>0</v>
                </pt>
                <pt idx="5">
                  <v>0</v>
                </pt>
                <pt idx="6">
                  <v>0</v>
                </pt>
                <pt idx="7">
                  <v>0</v>
                </pt>
                <pt idx="8">
                  <v>0</v>
                </pt>
                <pt idx="9">
                  <v>0</v>
                </pt>
                <pt idx="10">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Трудомощность </a:t>
            </a:r>
            <a:r>
              <a:rPr lang="en-US"/>
              <a:t xml:space="preserve">vs </a:t>
            </a:r>
            <a:r>
              <a:rPr lang="ru-RU"/>
              <a:t>План (дн)</a:t>
            </a:r>
          </a:p>
        </rich>
      </tx>
      <overlay val="0"/>
    </title>
    <plotArea>
      <layout/>
      <barChart>
        <barDir val="col"/>
        <grouping val="clustered"/>
        <varyColors val="1"/>
        <ser>
          <idx val="0"/>
          <order val="0"/>
          <tx>
            <strRef>
              <f>'Дорожная карта'!$F$5</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карта'!$F$6:$F$16</f>
              <numCache>
                <formatCode>#\ ##0.0</formatCode>
                <ptCount val="11"/>
                <pt idx="0">
                  <v>92.80000000000001</v>
                </pt>
                <pt idx="1">
                  <v>95.2</v>
                </pt>
                <pt idx="2">
                  <v>95.2</v>
                </pt>
                <pt idx="3">
                  <v>95.2</v>
                </pt>
                <pt idx="4">
                  <v>93.2</v>
                </pt>
                <pt idx="5">
                  <v>95.2</v>
                </pt>
                <pt idx="6">
                  <v>85.68000000000002</v>
                </pt>
                <pt idx="7">
                  <v>91.2</v>
                </pt>
                <pt idx="8">
                  <v>95.2</v>
                </pt>
                <pt idx="9">
                  <v>95.2</v>
                </pt>
                <pt idx="10">
                  <v>85.68000000000002</v>
                </pt>
              </numCache>
            </numRef>
          </val>
        </ser>
        <ser>
          <idx val="1"/>
          <order val="1"/>
          <tx>
            <strRef>
              <f>'Дорожная карта'!$G$5</f>
              <strCache>
                <ptCount val="1"/>
                <pt idx="0">
                  <v>План трудо-
ёмкости (дн)</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Трудомощность </a:t>
            </a:r>
            <a:r>
              <a:rPr lang="en-US"/>
              <a:t xml:space="preserve">vs </a:t>
            </a:r>
            <a:r>
              <a:rPr lang="ru-RU"/>
              <a:t>План (дни)</a:t>
            </a:r>
          </a:p>
        </rich>
      </tx>
      <overlay val="0"/>
    </title>
    <plotArea>
      <layout/>
      <barChart>
        <barDir val="col"/>
        <grouping val="clustered"/>
        <varyColors val="1"/>
        <ser>
          <idx val="0"/>
          <order val="0"/>
          <tx>
            <strRef>
              <f>'Дорожная карта'!$F$5</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карта'!$F$6:$F$16</f>
              <numCache>
                <formatCode>#\ ##0.0</formatCode>
                <ptCount val="11"/>
                <pt idx="0">
                  <v>92.80000000000001</v>
                </pt>
                <pt idx="1">
                  <v>95.2</v>
                </pt>
                <pt idx="2">
                  <v>95.2</v>
                </pt>
                <pt idx="3">
                  <v>95.2</v>
                </pt>
                <pt idx="4">
                  <v>93.2</v>
                </pt>
                <pt idx="5">
                  <v>95.2</v>
                </pt>
                <pt idx="6">
                  <v>85.68000000000002</v>
                </pt>
                <pt idx="7">
                  <v>91.2</v>
                </pt>
                <pt idx="8">
                  <v>95.2</v>
                </pt>
                <pt idx="9">
                  <v>95.2</v>
                </pt>
                <pt idx="10">
                  <v>85.68000000000002</v>
                </pt>
              </numCache>
            </numRef>
          </val>
        </ser>
        <ser>
          <idx val="1"/>
          <order val="1"/>
          <tx>
            <strRef>
              <f>'Дорожная карта'!$G$5</f>
              <strCache>
                <ptCount val="1"/>
                <pt idx="0">
                  <v>План трудо-
ёмкости (дн)</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План </a:t>
            </a:r>
            <a:r>
              <a:rPr lang="en-US"/>
              <a:t xml:space="preserve">vs </a:t>
            </a:r>
            <a:r>
              <a:rPr lang="ru-RU"/>
              <a:t>Факт (</a:t>
            </a:r>
            <a:r>
              <a:rPr lang="en-US"/>
              <a:t xml:space="preserve">velocity) </a:t>
            </a:r>
            <a:r>
              <a:rPr lang="ru-RU"/>
              <a:t>по спринтам</a:t>
            </a:r>
          </a:p>
        </rich>
      </tx>
      <overlay val="0"/>
    </title>
    <plotArea>
      <layout/>
      <lineChart>
        <grouping val="standard"/>
        <varyColors val="1"/>
        <ser>
          <idx val="0"/>
          <order val="0"/>
          <tx>
            <strRef>
              <f>'Дорожная карта'!$G$5</f>
              <strCache>
                <ptCount val="1"/>
                <pt idx="0">
                  <v>План трудо-
ёмкости (дн)</v>
                </pt>
              </strCache>
            </strRef>
          </tx>
          <spPr>
            <a:ln xmlns:a="http://schemas.openxmlformats.org/drawingml/2006/main">
              <a:solidFill>
                <a:srgbClr val="8EAADB"/>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mooth val="1"/>
        </ser>
        <ser>
          <idx val="1"/>
          <order val="1"/>
          <tx>
            <strRef>
              <f>'Дорожная карта'!$I$5</f>
              <strCache>
                <ptCount val="1"/>
                <pt idx="0">
                  <v>Факт /
Velocity (дн)</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карта'!$I$6:$I$16</f>
              <numCache>
                <formatCode>#\ ##0.0</formatCode>
                <ptCount val="11"/>
                <pt idx="0">
                  <v>17</v>
                </pt>
                <pt idx="1">
                  <v>21</v>
                </pt>
                <pt idx="2">
                  <v>0</v>
                </pt>
                <pt idx="3">
                  <v>0</v>
                </pt>
                <pt idx="4">
                  <v>0</v>
                </pt>
                <pt idx="5">
                  <v>0</v>
                </pt>
                <pt idx="6">
                  <v>0</v>
                </pt>
                <pt idx="7">
                  <v>0</v>
                </pt>
                <pt idx="8">
                  <v>0</v>
                </pt>
                <pt idx="9">
                  <v>0</v>
                </pt>
                <pt idx="10">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выполнения по спринтам (цвет по порогам, цель 100%)</a:t>
            </a:r>
          </a:p>
        </rich>
      </tx>
      <overlay val="0"/>
    </title>
    <plotArea>
      <layout/>
      <barChart>
        <barDir val="col"/>
        <grouping val="clustered"/>
        <varyColors val="1"/>
        <ser>
          <idx val="0"/>
          <order val="0"/>
          <tx>
            <strRef>
              <f>'Дорожная карта'!$AB$5</f>
              <strCache>
                <ptCount val="1"/>
                <pt idx="0">
                  <v>≥90%</v>
                </pt>
              </strCache>
            </strRef>
          </tx>
          <spPr>
            <a:solidFill xmlns:a="http://schemas.openxmlformats.org/drawingml/2006/main">
              <a:srgbClr val="70AD47"/>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карта'!$AB$6:$AB$16</f>
              <numCache>
                <formatCode>0%</formatCode>
                <ptCount val="11"/>
                <pt idx="0">
                  <v>#N/A</v>
                </pt>
                <pt idx="1">
                  <v>#N/A</v>
                </pt>
                <pt idx="2">
                  <v>#N/A</v>
                </pt>
                <pt idx="3">
                  <v>#N/A</v>
                </pt>
                <pt idx="4">
                  <v>#N/A</v>
                </pt>
                <pt idx="5">
                  <v>#N/A</v>
                </pt>
                <pt idx="6">
                  <v>#N/A</v>
                </pt>
                <pt idx="7">
                  <v>#N/A</v>
                </pt>
                <pt idx="8">
                  <v>#N/A</v>
                </pt>
                <pt idx="9">
                  <v>#N/A</v>
                </pt>
                <pt idx="10">
                  <v>#N/A</v>
                </pt>
              </numCache>
            </numRef>
          </val>
        </ser>
        <ser>
          <idx val="1"/>
          <order val="1"/>
          <tx>
            <strRef>
              <f>'Дорожная карта'!$AC$5</f>
              <strCache>
                <ptCount val="1"/>
                <pt idx="0">
                  <v>70–90%</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карта'!$AC$6:$AC$16</f>
              <numCache>
                <formatCode>0%</formatCode>
                <ptCount val="11"/>
                <pt idx="0">
                  <v>0.7727272727272727</v>
                </pt>
                <pt idx="1">
                  <v>0.875</v>
                </pt>
                <pt idx="2">
                  <v>#N/A</v>
                </pt>
                <pt idx="3">
                  <v>#N/A</v>
                </pt>
                <pt idx="4">
                  <v>#N/A</v>
                </pt>
                <pt idx="5">
                  <v>#N/A</v>
                </pt>
                <pt idx="6">
                  <v>#N/A</v>
                </pt>
                <pt idx="7">
                  <v>#N/A</v>
                </pt>
                <pt idx="8">
                  <v>#N/A</v>
                </pt>
                <pt idx="9">
                  <v>#N/A</v>
                </pt>
                <pt idx="10">
                  <v>#N/A</v>
                </pt>
              </numCache>
            </numRef>
          </val>
        </ser>
        <ser>
          <idx val="2"/>
          <order val="2"/>
          <tx>
            <strRef>
              <f>'Дорожная карта'!$AD$5</f>
              <strCache>
                <ptCount val="1"/>
                <pt idx="0">
                  <v>&lt;70%</v>
                </pt>
              </strCache>
            </strRef>
          </tx>
          <spPr>
            <a:solidFill xmlns:a="http://schemas.openxmlformats.org/drawingml/2006/main">
              <a:srgbClr val="C00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карта'!$AD$6:$AD$16</f>
              <numCache>
                <formatCode>0%</formatCode>
                <ptCount val="11"/>
                <pt idx="0">
                  <v>#N/A</v>
                </pt>
                <pt idx="1">
                  <v>#N/A</v>
                </pt>
                <pt idx="2">
                  <v>#N/A</v>
                </pt>
                <pt idx="3">
                  <v>#N/A</v>
                </pt>
                <pt idx="4">
                  <v>#N/A</v>
                </pt>
                <pt idx="5">
                  <v>#N/A</v>
                </pt>
                <pt idx="6">
                  <v>#N/A</v>
                </pt>
                <pt idx="7">
                  <v>#N/A</v>
                </pt>
                <pt idx="8">
                  <v>#N/A</v>
                </pt>
                <pt idx="9">
                  <v>#N/A</v>
                </pt>
                <pt idx="10">
                  <v>#N/A</v>
                </pt>
              </numCache>
            </numRef>
          </val>
        </ser>
        <dLbls>
          <showLegendKey val="0"/>
          <showVal val="0"/>
          <showCatName val="0"/>
          <showSerName val="0"/>
          <showPercent val="0"/>
          <showBubbleSize val="0"/>
        </dLbls>
        <gapWidth val="60"/>
        <overlap val="100"/>
        <axId val="10"/>
        <axId val="100"/>
      </barChart>
      <lineChart>
        <grouping val="standard"/>
        <varyColors val="1"/>
        <ser>
          <idx val="3"/>
          <order val="3"/>
          <tx>
            <strRef>
              <f>'Дорожная карта'!$AE$5</f>
              <strCache>
                <ptCount val="1"/>
                <pt idx="0">
                  <v>Цель 100%</v>
                </pt>
              </strCache>
            </strRef>
          </tx>
          <spPr>
            <a:ln xmlns:a="http://schemas.openxmlformats.org/drawingml/2006/main" w="38100">
              <a:solidFill>
                <a:srgbClr val="404040"/>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карта'!$AE$6:$AE$16</f>
              <numCache>
                <formatCode>0%</formatCode>
                <ptCount val="11"/>
                <pt idx="0">
                  <v>1</v>
                </pt>
                <pt idx="1">
                  <v>1</v>
                </pt>
                <pt idx="2">
                  <v>1</v>
                </pt>
                <pt idx="3">
                  <v>1</v>
                </pt>
                <pt idx="4">
                  <v>1</v>
                </pt>
                <pt idx="5">
                  <v>1</v>
                </pt>
                <pt idx="6">
                  <v>1</v>
                </pt>
                <pt idx="7">
                  <v>1</v>
                </pt>
                <pt idx="8">
                  <v>1</v>
                </pt>
                <pt idx="9">
                  <v>1</v>
                </pt>
                <pt idx="10">
                  <v>1</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max val="1.1"/>
          <min val="0"/>
        </scaling>
        <delete val="0"/>
        <axPos val="l"/>
        <majorGridlines/>
        <title>
          <tx>
            <rich>
              <a:bodyPr xmlns:a="http://schemas.openxmlformats.org/drawingml/2006/main"/>
              <a:lstStyle xmlns:a="http://schemas.openxmlformats.org/drawingml/2006/main"/>
              <a:p xmlns:a="http://schemas.openxmlformats.org/drawingml/2006/main">
                <a:pPr>
                  <a:defRPr/>
                </a:pPr>
                <a:r>
                  <a:rPr lang="ru-RU"/>
                  <a:t>% выполнения</a:t>
                </a:r>
              </a:p>
            </rich>
          </tx>
          <overlay val="1"/>
        </title>
        <numFmt formatCode="0%" sourceLinked="0"/>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0"/>
    <dispBlanksAs val="gap"/>
  </chart>
</chartSpace>
</file>

<file path=xl/charts/chart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Ёмкость / План / Факт по кварталам</a:t>
            </a:r>
          </a:p>
        </rich>
      </tx>
      <overlay val="0"/>
    </title>
    <plotArea>
      <layout/>
      <barChart>
        <barDir val="col"/>
        <grouping val="clustered"/>
        <varyColors val="1"/>
        <ser>
          <idx val="0"/>
          <order val="0"/>
          <tx>
            <strRef>
              <f>Кварталы!$C$4</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Кварталы!$C$5:$C$7</f>
              <numCache>
                <formatCode>#\ ##0.0</formatCode>
                <ptCount val="3"/>
                <pt idx="0">
                  <v>471.6</v>
                </pt>
                <pt idx="1">
                  <v>548.1600000000001</v>
                </pt>
                <pt idx="2">
                  <v>0</v>
                </pt>
              </numCache>
            </numRef>
          </val>
        </ser>
        <ser>
          <idx val="1"/>
          <order val="1"/>
          <tx>
            <strRef>
              <f>Кварталы!$D$4</f>
              <strCache>
                <ptCount val="1"/>
                <pt idx="0">
                  <v>План
(дн)</v>
                </pt>
              </strCache>
            </strRef>
          </tx>
          <spPr>
            <a:solidFill xmlns:a="http://schemas.openxmlformats.org/drawingml/2006/main">
              <a:srgbClr val="FFC000"/>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Кварталы!$D$5:$D$7</f>
              <numCache>
                <formatCode>#\ ##0.0</formatCode>
                <ptCount val="3"/>
                <pt idx="0">
                  <v>107</v>
                </pt>
                <pt idx="1">
                  <v>0</v>
                </pt>
                <pt idx="2">
                  <v>0</v>
                </pt>
              </numCache>
            </numRef>
          </val>
        </ser>
        <ser>
          <idx val="2"/>
          <order val="2"/>
          <tx>
            <strRef>
              <f>Кварталы!$E$4</f>
              <strCache>
                <ptCount val="1"/>
                <pt idx="0">
                  <v>Velocity
(дн)</v>
                </pt>
              </strCache>
            </strRef>
          </tx>
          <spPr>
            <a:solidFill xmlns:a="http://schemas.openxmlformats.org/drawingml/2006/main">
              <a:srgbClr val="C00000"/>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Кварталы!$E$5:$E$7</f>
              <numCache>
                <formatCode>#\ ##0.0</formatCode>
                <ptCount val="3"/>
                <pt idx="0">
                  <v>38</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выполнения по кварталам</a:t>
            </a:r>
          </a:p>
        </rich>
      </tx>
      <overlay val="0"/>
    </title>
    <plotArea>
      <layout/>
      <barChart>
        <barDir val="col"/>
        <grouping val="clustered"/>
        <varyColors val="1"/>
        <ser>
          <idx val="0"/>
          <order val="0"/>
          <tx>
            <strRef>
              <f>Кварталы!$G$4</f>
              <strCache>
                <ptCount val="1"/>
                <pt idx="0">
                  <v>% выпол-
нения</v>
                </pt>
              </strCache>
            </strRef>
          </tx>
          <spPr>
            <a:solidFill xmlns:a="http://schemas.openxmlformats.org/drawingml/2006/main">
              <a:srgbClr val="70AD47"/>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Кварталы!$G$5:$G$7</f>
              <numCache>
                <formatCode>0%</formatCode>
                <ptCount val="3"/>
                <pt idx="0">
                  <v>0.3551401869158878</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0"/>
        <majorTickMark val="none"/>
        <minorTickMark val="none"/>
        <tickLblPos val="nextTo"/>
        <crossAx val="10"/>
        <crosses val="autoZero"/>
        <crossBetween val="between"/>
      </valAx>
    </plotArea>
    <plotVisOnly val="1"/>
    <dispBlanksAs val="gap"/>
  </chart>
</chartSpace>
</file>

<file path=xl/charts/chart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Roadmap </a:t>
            </a:r>
            <a:r>
              <a:rPr lang="ru-RU"/>
              <a:t>спринтов по кварталам</a:t>
            </a:r>
          </a:p>
        </rich>
      </tx>
      <overlay val="0"/>
    </title>
    <plotArea>
      <layout/>
      <barChart>
        <barDir val="bar"/>
        <grouping val="stacked"/>
        <varyColors val="1"/>
        <ser>
          <idx val="0"/>
          <order val="0"/>
          <tx>
            <strRef>
              <f>'Квартальный roadmap'!$C$4</f>
              <strCache>
                <ptCount val="1"/>
                <pt idx="0">
                  <v>Начало</v>
                </pt>
              </strCache>
            </strRef>
          </tx>
          <spPr>
            <a:noFill xmlns:a="http://schemas.openxmlformats.org/drawingml/2006/main"/>
            <a:ln xmlns:a="http://schemas.openxmlformats.org/drawingml/2006/main">
              <a:noFill/>
              <a:prstDash val="solid"/>
            </a:ln>
          </spPr>
          <invertIfNegative val="1"/>
          <cat>
            <strRef>
              <f>'Квартальный roadmap'!$A$5:$A$15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'Квартальный roadmap'!$C$5:$C$15</f>
              <numCache>
                <formatCode>dd\.mm\.yy</formatCode>
                <ptCount val="11"/>
                <pt idx="0">
                  <v>46237</v>
                </pt>
                <pt idx="1">
                  <v>46251</v>
                </pt>
                <pt idx="2">
                  <v>46265</v>
                </pt>
                <pt idx="3">
                  <v>46279</v>
                </pt>
                <pt idx="4">
                  <v>46293</v>
                </pt>
                <pt idx="5">
                  <v>46307</v>
                </pt>
                <pt idx="6">
                  <v>46321</v>
                </pt>
                <pt idx="7">
                  <v>46335</v>
                </pt>
                <pt idx="8">
                  <v>46349</v>
                </pt>
                <pt idx="9">
                  <v>46363</v>
                </pt>
                <pt idx="10">
                  <v>46377</v>
                </pt>
              </numCache>
            </numRef>
          </val>
        </ser>
        <ser>
          <idx val="1"/>
          <order val="1"/>
          <tx>
            <strRef>
              <f>'Квартальный roadmap'!$E$4</f>
              <strCache>
                <ptCount val="1"/>
                <pt idx="0">
                  <v>Длит. (дн)</v>
                </pt>
              </strCache>
            </strRef>
          </tx>
          <spPr>
            <a:solidFill xmlns:a="http://schemas.openxmlformats.org/drawingml/2006/main">
              <a:srgbClr val="4472C4"/>
            </a:solidFill>
            <a:ln xmlns:a="http://schemas.openxmlformats.org/drawingml/2006/main">
              <a:prstDash val="solid"/>
            </a:ln>
          </spPr>
          <invertIfNegative val="1"/>
          <dPt>
            <idx val="0"/>
            <invertIfNegative val="1"/>
            <bubble3D val="0"/>
            <spPr>
              <a:ln xmlns:a="http://schemas.openxmlformats.org/drawingml/2006/main">
                <a:prstDash val="solid"/>
              </a:ln>
            </spPr>
          </dPt>
          <dPt>
            <idx val="1"/>
            <invertIfNegative val="1"/>
            <bubble3D val="0"/>
            <spPr>
              <a:ln xmlns:a="http://schemas.openxmlformats.org/drawingml/2006/main">
                <a:prstDash val="solid"/>
              </a:ln>
            </spPr>
          </dPt>
          <dPt>
            <idx val="2"/>
            <invertIfNegative val="1"/>
            <bubble3D val="0"/>
            <spPr>
              <a:ln xmlns:a="http://schemas.openxmlformats.org/drawingml/2006/main">
                <a:prstDash val="solid"/>
              </a:ln>
            </spPr>
          </dPt>
          <dPt>
            <idx val="3"/>
            <invertIfNegative val="1"/>
            <bubble3D val="0"/>
            <spPr>
              <a:ln xmlns:a="http://schemas.openxmlformats.org/drawingml/2006/main">
                <a:prstDash val="solid"/>
              </a:ln>
            </spPr>
          </dPt>
          <dPt>
            <idx val="4"/>
            <invertIfNegative val="1"/>
            <bubble3D val="0"/>
            <spPr>
              <a:ln xmlns:a="http://schemas.openxmlformats.org/drawingml/2006/main">
                <a:prstDash val="solid"/>
              </a:ln>
            </spPr>
          </dPt>
          <dPt>
            <idx val="5"/>
            <invertIfNegative val="1"/>
            <bubble3D val="0"/>
            <spPr>
              <a:solidFill xmlns:a="http://schemas.openxmlformats.org/drawingml/2006/main">
                <a:srgbClr val="ED7D31"/>
              </a:solidFill>
              <a:ln xmlns:a="http://schemas.openxmlformats.org/drawingml/2006/main">
                <a:prstDash val="solid"/>
              </a:ln>
            </spPr>
          </dPt>
          <dPt>
            <idx val="6"/>
            <invertIfNegative val="1"/>
            <bubble3D val="0"/>
            <spPr>
              <a:solidFill xmlns:a="http://schemas.openxmlformats.org/drawingml/2006/main">
                <a:srgbClr val="ED7D31"/>
              </a:solidFill>
              <a:ln xmlns:a="http://schemas.openxmlformats.org/drawingml/2006/main">
                <a:prstDash val="solid"/>
              </a:ln>
            </spPr>
          </dPt>
          <dPt>
            <idx val="7"/>
            <invertIfNegative val="1"/>
            <bubble3D val="0"/>
            <spPr>
              <a:solidFill xmlns:a="http://schemas.openxmlformats.org/drawingml/2006/main">
                <a:srgbClr val="ED7D31"/>
              </a:solidFill>
              <a:ln xmlns:a="http://schemas.openxmlformats.org/drawingml/2006/main">
                <a:prstDash val="solid"/>
              </a:ln>
            </spPr>
          </dPt>
          <dPt>
            <idx val="8"/>
            <invertIfNegative val="1"/>
            <bubble3D val="0"/>
            <spPr>
              <a:solidFill xmlns:a="http://schemas.openxmlformats.org/drawingml/2006/main">
                <a:srgbClr val="ED7D31"/>
              </a:solidFill>
              <a:ln xmlns:a="http://schemas.openxmlformats.org/drawingml/2006/main">
                <a:prstDash val="solid"/>
              </a:ln>
            </spPr>
          </dPt>
          <dPt>
            <idx val="9"/>
            <invertIfNegative val="1"/>
            <bubble3D val="0"/>
            <spPr>
              <a:solidFill xmlns:a="http://schemas.openxmlformats.org/drawingml/2006/main">
                <a:srgbClr val="ED7D31"/>
              </a:solidFill>
              <a:ln xmlns:a="http://schemas.openxmlformats.org/drawingml/2006/main">
                <a:prstDash val="solid"/>
              </a:ln>
            </spPr>
          </dPt>
          <dPt>
            <idx val="10"/>
            <invertIfNegative val="1"/>
            <bubble3D val="0"/>
            <spPr>
              <a:solidFill xmlns:a="http://schemas.openxmlformats.org/drawingml/2006/main">
                <a:srgbClr val="ED7D31"/>
              </a:solidFill>
              <a:ln xmlns:a="http://schemas.openxmlformats.org/drawingml/2006/main">
                <a:prstDash val="solid"/>
              </a:ln>
            </spPr>
          </dPt>
          <cat>
            <strRef>
              <f>'Квартальный roadmap'!$A$5:$A$15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'Квартальный roadmap'!$E$5:$E$15</f>
              <numCache>
                <formatCode>0</formatCode>
                <ptCount val="11"/>
                <pt idx="0">
                  <v>11</v>
                </pt>
                <pt idx="1">
                  <v>11</v>
                </pt>
                <pt idx="2">
                  <v>11</v>
                </pt>
                <pt idx="3">
                  <v>11</v>
                </pt>
                <pt idx="4">
                  <v>11</v>
                </pt>
                <pt idx="5">
                  <v>11</v>
                </pt>
                <pt idx="6">
                  <v>11</v>
                </pt>
                <pt idx="7">
                  <v>11</v>
                </pt>
                <pt idx="8">
                  <v>11</v>
                </pt>
                <pt idx="9">
                  <v>11</v>
                </pt>
                <pt idx="10">
                  <v>11</v>
                </pt>
              </numCache>
            </numRef>
          </val>
        </ser>
        <dLbls>
          <showLegendKey val="0"/>
          <showVal val="0"/>
          <showCatName val="0"/>
          <showSerName val="0"/>
          <showPercent val="0"/>
          <showBubbleSize val="0"/>
        </dLbls>
        <gapWidth val="150"/>
        <overlap val="100"/>
        <axId val="10"/>
        <axId val="100"/>
      </barChart>
      <catAx>
        <axId val="10"/>
        <scaling>
          <orientation val="maxMin"/>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max val="46397"/>
          <min val="46235"/>
        </scaling>
        <delete val="0"/>
        <axPos val="t"/>
        <numFmt formatCode="dd\.mm" sourceLinked="0"/>
        <majorTickMark val="none"/>
        <minorTickMark val="none"/>
        <tickLblPos val="nextTo"/>
        <crossAx val="10"/>
        <crosses val="autoZero"/>
        <crossBetween val="between"/>
      </valAx>
    </plotArea>
    <plotVisOnly val="1"/>
    <dispBlanksAs val="gap"/>
  </chart>
</chartSpace>
</file>

<file path=xl/charts/chart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Содержимое релизов (стори / задачи / дефекты)</a:t>
            </a:r>
          </a:p>
        </rich>
      </tx>
      <overlay val="0"/>
    </title>
    <plotArea>
      <layout/>
      <barChart>
        <barDir val="col"/>
        <grouping val="clustered"/>
        <varyColors val="1"/>
        <ser>
          <idx val="0"/>
          <order val="0"/>
          <tx>
            <strRef>
              <f>Релизы!$G$4</f>
              <strCache>
                <ptCount val="1"/>
                <pt idx="0">
                  <v>Стори</v>
                </pt>
              </strCache>
            </strRef>
          </tx>
          <spPr>
            <a:solidFill xmlns:a="http://schemas.openxmlformats.org/drawingml/2006/main">
              <a:srgbClr val="4472C4"/>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Релизы!$G$5:$G$9</f>
              <numCache>
                <formatCode>General</formatCode>
                <ptCount val="5"/>
                <pt idx="0">
                  <v>3</v>
                </pt>
                <pt idx="1">
                  <v>3</v>
                </pt>
                <pt idx="2">
                  <v>1</v>
                </pt>
                <pt idx="3">
                  <v>0</v>
                </pt>
                <pt idx="4">
                  <v>0</v>
                </pt>
              </numCache>
            </numRef>
          </val>
        </ser>
        <ser>
          <idx val="1"/>
          <order val="1"/>
          <tx>
            <strRef>
              <f>Релизы!$H$4</f>
              <strCache>
                <ptCount val="1"/>
                <pt idx="0">
                  <v>Задач</v>
                </pt>
              </strCache>
            </strRef>
          </tx>
          <spPr>
            <a:solidFill xmlns:a="http://schemas.openxmlformats.org/drawingml/2006/main">
              <a:srgbClr val="70AD47"/>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Релизы!$H$5:$H$9</f>
              <numCache>
                <formatCode>General</formatCode>
                <ptCount val="5"/>
                <pt idx="0">
                  <v>5</v>
                </pt>
                <pt idx="1">
                  <v>5</v>
                </pt>
                <pt idx="2">
                  <v>1</v>
                </pt>
                <pt idx="3">
                  <v>0</v>
                </pt>
                <pt idx="4">
                  <v>0</v>
                </pt>
              </numCache>
            </numRef>
          </val>
        </ser>
        <ser>
          <idx val="2"/>
          <order val="2"/>
          <tx>
            <strRef>
              <f>Релизы!$I$4</f>
              <strCache>
                <ptCount val="1"/>
                <pt idx="0">
                  <v>Дефектов</v>
                </pt>
              </strCache>
            </strRef>
          </tx>
          <spPr>
            <a:solidFill xmlns:a="http://schemas.openxmlformats.org/drawingml/2006/main">
              <a:srgbClr val="C00000"/>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Релизы!$I$5:$I$9</f>
              <numCache>
                <formatCode>General</formatCode>
                <ptCount val="5"/>
                <pt idx="0">
                  <v>11</v>
                </pt>
                <pt idx="1">
                  <v>2</v>
                </pt>
                <pt idx="2">
                  <v>0</v>
                </pt>
                <pt idx="3">
                  <v>0</v>
                </pt>
                <pt idx="4">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1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Вехи по статусу</a:t>
            </a:r>
          </a:p>
        </rich>
      </tx>
      <overlay val="0"/>
    </title>
    <plotArea>
      <layout/>
      <barChart>
        <barDir val="col"/>
        <grouping val="clustered"/>
        <varyColors val="1"/>
        <ser>
          <idx val="0"/>
          <order val="0"/>
          <spPr>
            <a:solidFill xmlns:a="http://schemas.openxmlformats.org/drawingml/2006/main">
              <a:srgbClr val="1F4E78"/>
            </a:solidFill>
            <a:ln xmlns:a="http://schemas.openxmlformats.org/drawingml/2006/main">
              <a:prstDash val="solid"/>
            </a:ln>
          </spPr>
          <invertIfNegative val="1"/>
          <cat>
            <strRef>
              <f>Вехи!$A$12:$A$15</f>
              <strCache>
                <ptCount val="4"/>
                <pt idx="0">
                  <v>Планируется</v>
                </pt>
                <pt idx="1">
                  <v>В работе</v>
                </pt>
                <pt idx="2">
                  <v>Готово</v>
                </pt>
                <pt idx="3">
                  <v>Задержка</v>
                </pt>
              </strCache>
            </strRef>
          </cat>
          <val>
            <numRef>
              <f>Вехи!$B$12:$B$15</f>
              <numCache>
                <formatCode>General</formatCode>
                <ptCount val="4"/>
                <pt idx="0">
                  <v>3</v>
                </pt>
                <pt idx="1">
                  <v>0</v>
                </pt>
                <pt idx="2">
                  <v>2</v>
                </pt>
                <pt idx="3">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1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Техдолг: оценка (дн) по типу</a:t>
            </a:r>
          </a:p>
        </rich>
      </tx>
      <overlay val="0"/>
    </title>
    <plotArea>
      <layout/>
      <barChart>
        <barDir val="col"/>
        <grouping val="clustered"/>
        <varyColors val="1"/>
        <ser>
          <idx val="0"/>
          <order val="0"/>
          <tx>
            <strRef>
              <f>'Технический долг'!$B$13</f>
              <strCache>
                <ptCount val="1"/>
                <pt idx="0">
                  <v>Оценка (дн)</v>
                </pt>
              </strCache>
            </strRef>
          </tx>
          <spPr>
            <a:solidFill xmlns:a="http://schemas.openxmlformats.org/drawingml/2006/main">
              <a:srgbClr val="ED7D31"/>
            </a:solidFill>
            <a:ln xmlns:a="http://schemas.openxmlformats.org/drawingml/2006/main">
              <a:prstDash val="solid"/>
            </a:ln>
          </spPr>
          <invertIfNegative val="1"/>
          <cat>
            <strRef>
              <f>'Технический долг'!$A$14:$A$18</f>
              <strCache>
                <ptCount val="5"/>
                <pt idx="0">
                  <v>Архитектура</v>
                </pt>
                <pt idx="1">
                  <v>Код</v>
                </pt>
                <pt idx="2">
                  <v>Тесты</v>
                </pt>
                <pt idx="3">
                  <v>Инфраструктура</v>
                </pt>
                <pt idx="4">
                  <v>Документация</v>
                </pt>
              </strCache>
            </strRef>
          </cat>
          <val>
            <numRef>
              <f>'Технический долг'!$B$14:$B$18</f>
              <numCache>
                <formatCode>#\ ##0.0</formatCode>
                <ptCount val="5"/>
                <pt idx="0">
                  <v>2</v>
                </pt>
                <pt idx="1">
                  <v>6</v>
                </pt>
                <pt idx="2">
                  <v>2</v>
                </pt>
                <pt idx="3">
                  <v>2</v>
                </pt>
                <pt idx="4">
                  <v>1</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plotVisOnly val="1"/>
    <dispBlanksAs val="gap"/>
  </chart>
</chartSpace>
</file>

<file path=xl/charts/chart1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Техдолг по статусу</a:t>
            </a:r>
          </a:p>
        </rich>
      </tx>
      <overlay val="0"/>
    </title>
    <plotArea>
      <layout/>
      <barChart>
        <barDir val="col"/>
        <grouping val="clustered"/>
        <varyColors val="1"/>
        <ser>
          <idx val="0"/>
          <order val="0"/>
          <tx>
            <strRef>
              <f>'Технический долг'!$B$21</f>
              <strCache>
                <ptCount val="1"/>
                <pt idx="0">
                  <v>Кол-во</v>
                </pt>
              </strCache>
            </strRef>
          </tx>
          <spPr>
            <a:solidFill xmlns:a="http://schemas.openxmlformats.org/drawingml/2006/main">
              <a:srgbClr val="4472C4"/>
            </a:solidFill>
            <a:ln xmlns:a="http://schemas.openxmlformats.org/drawingml/2006/main">
              <a:prstDash val="solid"/>
            </a:ln>
          </spPr>
          <invertIfNegative val="1"/>
          <cat>
            <strRef>
              <f>'Технический долг'!$A$22:$A$24</f>
              <strCache>
                <ptCount val="3"/>
                <pt idx="0">
                  <v>Открыт</v>
                </pt>
                <pt idx="1">
                  <v>В работе</v>
                </pt>
                <pt idx="2">
                  <v>Закрыт</v>
                </pt>
              </strCache>
            </strRef>
          </cat>
          <val>
            <numRef>
              <f>'Технический долг'!$B$22:$B$24</f>
              <numCache>
                <formatCode>General</formatCode>
                <ptCount val="3"/>
                <pt idx="0">
                  <v>3</v>
                </pt>
                <pt idx="1">
                  <v>1</v>
                </pt>
                <pt idx="2">
                  <v>2</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1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Тренд техдолга: создано / погашено / открыто</a:t>
            </a:r>
          </a:p>
        </rich>
      </tx>
      <overlay val="0"/>
    </title>
    <plotArea>
      <layout/>
      <barChart>
        <barDir val="col"/>
        <grouping val="clustered"/>
        <varyColors val="1"/>
        <ser>
          <idx val="0"/>
          <order val="0"/>
          <tx>
            <strRef>
              <f>'Технический долг'!$B$28</f>
              <strCache>
                <ptCount val="1"/>
                <pt idx="0">
                  <v>Создано</v>
                </pt>
              </strCache>
            </strRef>
          </tx>
          <spPr>
            <a:solidFill xmlns:a="http://schemas.openxmlformats.org/drawingml/2006/main">
              <a:srgbClr val="C00000"/>
            </a:solidFill>
            <a:ln xmlns:a="http://schemas.openxmlformats.org/drawingml/2006/main">
              <a:prstDash val="solid"/>
            </a:ln>
          </spPr>
          <invertIfNegative val="1"/>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долг'!$B$29:$B$39</f>
              <numCache>
                <formatCode>General</formatCode>
                <ptCount val="11"/>
                <pt idx="0">
                  <v>1</v>
                </pt>
                <pt idx="1">
                  <v>1</v>
                </pt>
                <pt idx="2">
                  <v>2</v>
                </pt>
                <pt idx="3">
                  <v>1</v>
                </pt>
                <pt idx="4">
                  <v>1</v>
                </pt>
                <pt idx="5">
                  <v>0</v>
                </pt>
                <pt idx="6">
                  <v>0</v>
                </pt>
                <pt idx="7">
                  <v>0</v>
                </pt>
                <pt idx="8">
                  <v>0</v>
                </pt>
                <pt idx="9">
                  <v>0</v>
                </pt>
                <pt idx="10">
                  <v>0</v>
                </pt>
              </numCache>
            </numRef>
          </val>
        </ser>
        <ser>
          <idx val="1"/>
          <order val="1"/>
          <tx>
            <strRef>
              <f>'Технический долг'!$C$28</f>
              <strCache>
                <ptCount val="1"/>
                <pt idx="0">
                  <v>Погашено</v>
                </pt>
              </strCache>
            </strRef>
          </tx>
          <spPr>
            <a:solidFill xmlns:a="http://schemas.openxmlformats.org/drawingml/2006/main">
              <a:srgbClr val="70AD47"/>
            </a:solidFill>
            <a:ln xmlns:a="http://schemas.openxmlformats.org/drawingml/2006/main">
              <a:prstDash val="solid"/>
            </a:ln>
          </spPr>
          <invertIfNegative val="1"/>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долг'!$C$29:$C$39</f>
              <numCache>
                <formatCode>General</formatCode>
                <ptCount val="11"/>
                <pt idx="0">
                  <v>0</v>
                </pt>
                <pt idx="1">
                  <v>0</v>
                </pt>
                <pt idx="2">
                  <v>1</v>
                </pt>
                <pt idx="3">
                  <v>1</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lineChart>
        <grouping val="standard"/>
        <varyColors val="1"/>
        <ser>
          <idx val="2"/>
          <order val="2"/>
          <tx>
            <strRef>
              <f>'Технический долг'!$D$28</f>
              <strCache>
                <ptCount val="1"/>
                <pt idx="0">
                  <v>Открыто (накопит.)</v>
                </pt>
              </strCache>
            </strRef>
          </tx>
          <spPr>
            <a:ln xmlns:a="http://schemas.openxmlformats.org/drawingml/2006/main" w="28000">
              <a:solidFill>
                <a:srgbClr val="1F4E78"/>
              </a:solidFill>
              <a:prstDash val="solid"/>
            </a:ln>
          </spPr>
          <marker>
            <symbol val="none"/>
            <spPr>
              <a:ln xmlns:a="http://schemas.openxmlformats.org/drawingml/2006/main">
                <a:prstDash val="solid"/>
              </a:ln>
            </spPr>
          </marker>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долг'!$D$29:$D$39</f>
              <numCache>
                <formatCode>General</formatCode>
                <ptCount val="11"/>
                <pt idx="0">
                  <v>1</v>
                </pt>
                <pt idx="1">
                  <v>2</v>
                </pt>
                <pt idx="2">
                  <v>3</v>
                </pt>
                <pt idx="3">
                  <v>3</v>
                </pt>
                <pt idx="4">
                  <v>4</v>
                </pt>
                <pt idx="5">
                  <v>4</v>
                </pt>
                <pt idx="6">
                  <v>4</v>
                </pt>
                <pt idx="7">
                  <v>4</v>
                </pt>
                <pt idx="8">
                  <v>4</v>
                </pt>
                <pt idx="9">
                  <v>4</v>
                </pt>
                <pt idx="10">
                  <v>4</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1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Расход бюджета (накопл.)</a:t>
            </a:r>
          </a:p>
        </rich>
      </tx>
      <overlay val="0"/>
    </title>
    <plotArea>
      <layout/>
      <lineChart>
        <grouping val="standard"/>
        <varyColors val="1"/>
        <ser>
          <idx val="0"/>
          <order val="0"/>
          <tx>
            <strRef>
              <f>Бюджет!$D$6</f>
              <strCache>
                <ptCount val="1"/>
                <pt idx="0">
                  <v>Накопл. стоимость (₽)</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numRef>
              <f>Бюджет!$A$7:$A$17</f>
              <numCache>
                <formatCode>General</formatCode>
                <ptCount val="11"/>
                <pt idx="0">
                  <v>1</v>
                </pt>
                <pt idx="1">
                  <v>2</v>
                </pt>
                <pt idx="2">
                  <v>3</v>
                </pt>
                <pt idx="3">
                  <v>4</v>
                </pt>
                <pt idx="4">
                  <v>5</v>
                </pt>
                <pt idx="5">
                  <v>6</v>
                </pt>
                <pt idx="6">
                  <v>7</v>
                </pt>
                <pt idx="7">
                  <v>8</v>
                </pt>
                <pt idx="8">
                  <v>9</v>
                </pt>
                <pt idx="9">
                  <v>10</v>
                </pt>
                <pt idx="10">
                  <v>11</v>
                </pt>
              </numCache>
            </numRef>
          </cat>
          <val>
            <numRef>
              <f>Бюджет!$D$7:$D$17</f>
              <numCache>
                <formatCode>#,##0</formatCode>
                <ptCount val="11"/>
                <pt idx="0">
                  <v>742400.0000000001</v>
                </pt>
                <pt idx="1">
                  <v>1504000</v>
                </pt>
                <pt idx="2">
                  <v>2265600</v>
                </pt>
                <pt idx="3">
                  <v>3027200</v>
                </pt>
                <pt idx="4">
                  <v>3772800</v>
                </pt>
                <pt idx="5">
                  <v>4534400</v>
                </pt>
                <pt idx="6">
                  <v>5219840</v>
                </pt>
                <pt idx="7">
                  <v>5949440</v>
                </pt>
                <pt idx="8">
                  <v>6711040</v>
                </pt>
                <pt idx="9">
                  <v>7472640</v>
                </pt>
                <pt idx="10">
                  <v>8158080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1"/>
        <majorTickMark val="none"/>
        <minorTickMark val="none"/>
        <tickLblPos val="nextTo"/>
        <crossAx val="10"/>
        <crosses val="autoZero"/>
        <crossBetween val="between"/>
      </valAx>
    </plotArea>
    <plotVisOnly val="1"/>
    <dispBlanksAs val="gap"/>
  </chart>
</chartSpace>
</file>

<file path=xl/charts/chart1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Прогресс </a:t>
            </a:r>
            <a:r>
              <a:rPr lang="en-US"/>
              <a:t>Key Results</a:t>
            </a:r>
          </a:p>
        </rich>
      </tx>
      <overlay val="0"/>
    </title>
    <plotArea>
      <layout/>
      <barChart>
        <barDir val="bar"/>
        <grouping val="clustered"/>
        <varyColors val="1"/>
        <ser>
          <idx val="0"/>
          <order val="0"/>
          <tx>
            <strRef>
              <f>OKR!$F$4</f>
              <strCache>
                <ptCount val="1"/>
                <pt idx="0">
                  <v>Прогресс</v>
                </pt>
              </strCache>
            </strRef>
          </tx>
          <spPr>
            <a:solidFill xmlns:a="http://schemas.openxmlformats.org/drawingml/2006/main">
              <a:srgbClr val="70AD47"/>
            </a:solidFill>
            <a:ln xmlns:a="http://schemas.openxmlformats.org/drawingml/2006/main">
              <a:prstDash val="solid"/>
            </a:ln>
          </spPr>
          <invertIfNegative val="1"/>
          <cat>
            <strRef>
              <f>OKR!$C$5:$C$9</f>
              <strCache>
                <ptCount val="5"/>
                <pt idx="0">
                  <v>Готовность MVP чекаута, %</v>
                </pt>
                <pt idx="1">
                  <v>Интеграция оплаты, %</v>
                </pt>
                <pt idx="2">
                  <v>Покрытие автотестами ключевых сценариев, %</v>
                </pt>
                <pt idx="3">
                  <v>Подключённых площадок, шт</v>
                </pt>
                <pt idx="4">
                  <v>Уведомления и история заказов, %</v>
                </pt>
              </strCache>
            </strRef>
          </cat>
          <val>
            <numRef>
              <f>OKR!$F$5:$F$9</f>
              <numCache>
                <formatCode>0%</formatCode>
                <ptCount val="5"/>
                <pt idx="0">
                  <v>0.7</v>
                </pt>
                <pt idx="1">
                  <v>0.6</v>
                </pt>
                <pt idx="2">
                  <v>0.5625</v>
                </pt>
                <pt idx="3">
                  <v>0.3</v>
                </pt>
                <pt idx="4">
                  <v>0.2</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0%" sourceLinked="0"/>
        <majorTickMark val="none"/>
        <minorTickMark val="none"/>
        <tickLblPos val="nextTo"/>
        <crossAx val="10"/>
        <crosses val="autoZero"/>
        <crossBetween val="between"/>
      </valAx>
    </plotArea>
    <plotVisOnly val="1"/>
    <dispBlanksAs val="gap"/>
  </chart>
</chartSpace>
</file>

<file path=xl/charts/chart1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Ёмкость </a:t>
            </a:r>
            <a:r>
              <a:rPr lang="en-US"/>
              <a:t xml:space="preserve">vs </a:t>
            </a:r>
            <a:r>
              <a:rPr lang="ru-RU"/>
              <a:t>Спрос по кварталам</a:t>
            </a:r>
          </a:p>
        </rich>
      </tx>
      <overlay val="0"/>
    </title>
    <plotArea>
      <layout/>
      <barChart>
        <barDir val="col"/>
        <grouping val="clustered"/>
        <varyColors val="1"/>
        <ser>
          <idx val="0"/>
          <order val="0"/>
          <tx>
            <strRef>
              <f>'Ёмкость на горизонт'!$B$5</f>
              <strCache>
                <ptCount val="1"/>
                <pt idx="0">
                  <v>Ёмкость (дн)</v>
                </pt>
              </strCache>
            </strRef>
          </tx>
          <spPr>
            <a:solidFill xmlns:a="http://schemas.openxmlformats.org/drawingml/2006/main">
              <a:srgbClr val="8EAADB"/>
            </a:solidFill>
            <a:ln xmlns:a="http://schemas.openxmlformats.org/drawingml/2006/main">
              <a:prstDash val="solid"/>
            </a:ln>
          </spPr>
          <invertIfNegative val="1"/>
          <cat>
            <strRef>
              <f>'Ёмкость на горизонт'!$A$6:$A$8</f>
              <strCache>
                <ptCount val="3"/>
                <pt idx="0">
                  <v>Q3 2026</v>
                </pt>
                <pt idx="1">
                  <v>Q4 2026</v>
                </pt>
                <pt idx="2">
                  <v>Q1 2027</v>
                </pt>
              </strCache>
            </strRef>
          </cat>
          <val>
            <numRef>
              <f>'Ёмкость на горизонт'!$B$6:$B$8</f>
              <numCache>
                <formatCode>#\ ##0.0</formatCode>
                <ptCount val="3"/>
                <pt idx="0">
                  <v>471.6</v>
                </pt>
                <pt idx="1">
                  <v>548.1600000000001</v>
                </pt>
                <pt idx="2">
                  <v>0</v>
                </pt>
              </numCache>
            </numRef>
          </val>
        </ser>
        <ser>
          <idx val="1"/>
          <order val="1"/>
          <tx>
            <strRef>
              <f>'Ёмкость на горизонт'!$C$5</f>
              <strCache>
                <ptCount val="1"/>
                <pt idx="0">
                  <v>Спрос (дн)</v>
                </pt>
              </strCache>
            </strRef>
          </tx>
          <spPr>
            <a:solidFill xmlns:a="http://schemas.openxmlformats.org/drawingml/2006/main">
              <a:srgbClr val="FFC000"/>
            </a:solidFill>
            <a:ln xmlns:a="http://schemas.openxmlformats.org/drawingml/2006/main">
              <a:prstDash val="solid"/>
            </a:ln>
          </spPr>
          <invertIfNegative val="1"/>
          <cat>
            <strRef>
              <f>'Ёмкость на горизонт'!$A$6:$A$8</f>
              <strCache>
                <ptCount val="3"/>
                <pt idx="0">
                  <v>Q3 2026</v>
                </pt>
                <pt idx="1">
                  <v>Q4 2026</v>
                </pt>
                <pt idx="2">
                  <v>Q1 2027</v>
                </pt>
              </strCache>
            </strRef>
          </cat>
          <val>
            <numRef>
              <f>'Ёмкость на горизонт'!$C$6:$C$8</f>
              <numCache>
                <formatCode>#\ ##0.0</formatCode>
                <ptCount val="3"/>
                <pt idx="0">
                  <v>107</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1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Диаграмма Ганта — задачи по спринтам (цвет = спринт)</a:t>
            </a:r>
          </a:p>
        </rich>
      </tx>
      <layout>
        <manualLayout>
          <xMode val="edge"/>
          <yMode val="edge"/>
          <wMode val="factor"/>
          <hMode val="factor"/>
          <x val="0.22"/>
          <y val="0.96"/>
        </manualLayout>
      </layout>
      <overlay val="0"/>
    </title>
    <plotArea>
      <layout/>
      <barChart>
        <barDir val="bar"/>
        <grouping val="stacked"/>
        <varyColors val="1"/>
        <ser>
          <idx val="0"/>
          <order val="0"/>
          <tx>
            <strRef>
              <f>Гант!$G$4</f>
              <strCache>
                <ptCount val="1"/>
                <pt idx="0">
                  <v>Начало</v>
                </pt>
              </strCache>
            </strRef>
          </tx>
          <spPr>
            <a:noFill xmlns:a="http://schemas.openxmlformats.org/drawingml/2006/main"/>
            <a:ln xmlns:a="http://schemas.openxmlformats.org/drawingml/2006/main">
              <a:noFill/>
              <a:prstDash val="solid"/>
            </a:ln>
          </spPr>
          <invertIfNegative val="1"/>
          <cat>
            <strRef>
              <f>Гант!$B$5:$B$44</f>
              <strCache>
                <ptCount val="20"/>
                <pt idx="0">
                  <v>Проектирование API заказов</v>
                </pt>
                <pt idx="1">
                  <v>Экран корзины (вёрстка)</v>
                </pt>
                <pt idx="2">
                  <v>Настройка CI/CD</v>
                </pt>
                <pt idx="3">
                  <v>Модель данных заказа</v>
                </pt>
                <pt idx="4">
                  <v>Интеграция платежей</v>
                </pt>
                <pt idx="5">
                  <v>Тест-кейсы оформления</v>
                </pt>
                <pt idx="6">
                  <v>Уведомления по e-mail</v>
                </pt>
                <pt idx="7">
                  <v>API промокодов</v>
                </pt>
                <pt idx="8">
                  <v>Логирование и метрики</v>
                </pt>
                <pt idx="9">
                  <v>Рефакторинг авторизации</v>
                </pt>
                <pt idx="10">
                  <v>Аналитика воронки</v>
                </pt>
                <pt idx="11">
                  <v>Регресс-тестирование релиза</v>
                </pt>
                <pt idx="12">
                  <v>Экран оплаты</v>
                </pt>
                <pt idx="13">
                  <v>Вебхуки платежей</v>
                </pt>
                <pt idx="14">
                  <v>История заказов</v>
                </pt>
                <pt idx="15">
                  <v>Личный кабинет</v>
                </pt>
                <pt idx="16">
                  <v>Фильтры каталога</v>
                </pt>
                <pt idx="17">
                  <v>Отзывы и рейтинги</v>
                </pt>
                <pt idx="18">
                  <v>Рекомендации</v>
                </pt>
                <pt idx="19">
                  <v>A/B тесты чекаута</v>
                </pt>
              </strCache>
            </strRef>
          </cat>
          <val>
            <numRef>
              <f>Гант!$G$5:$G$44</f>
              <numCache>
                <formatCode>dd\.mm\.yyyy</formatCode>
                <ptCount val="40"/>
                <pt idx="0">
                  <v>46237</v>
                </pt>
                <pt idx="1">
                  <v>46242</v>
                </pt>
                <pt idx="2">
                  <v>46237</v>
                </pt>
                <pt idx="3">
                  <v>46237</v>
                </pt>
                <pt idx="4">
                  <v>46251</v>
                </pt>
                <pt idx="5">
                  <v>46251</v>
                </pt>
                <pt idx="6">
                  <v>46251</v>
                </pt>
                <pt idx="7">
                  <v>46251</v>
                </pt>
                <pt idx="8">
                  <v>46251</v>
                </pt>
                <pt idx="9">
                  <v>46265</v>
                </pt>
                <pt idx="10">
                  <v>46265</v>
                </pt>
                <pt idx="11">
                  <v>46265</v>
                </pt>
                <pt idx="12">
                  <v>46265</v>
                </pt>
                <pt idx="13">
                  <v>46273</v>
                </pt>
                <pt idx="14">
                  <v>46265</v>
                </pt>
                <pt idx="15">
                  <v>46279</v>
                </pt>
                <pt idx="16">
                  <v>46287</v>
                </pt>
                <pt idx="17">
                  <v>46279</v>
                </pt>
                <pt idx="18">
                  <v>46293</v>
                </pt>
                <pt idx="19">
                  <v>46293</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numCache>
            </numRef>
          </val>
        </ser>
        <ser>
          <idx val="1"/>
          <order val="1"/>
          <tx>
            <strRef>
              <f>Гант!$I$4</f>
              <strCache>
                <ptCount val="1"/>
                <pt idx="0">
                  <v>Длит. (дн)</v>
                </pt>
              </strCache>
            </strRef>
          </tx>
          <spPr>
            <a:solidFill xmlns:a="http://schemas.openxmlformats.org/drawingml/2006/main">
              <a:srgbClr val="4472C4"/>
            </a:solidFill>
            <a:ln xmlns:a="http://schemas.openxmlformats.org/drawingml/2006/main">
              <a:prstDash val="solid"/>
            </a:ln>
          </spPr>
          <invertIfNegative val="1"/>
          <dPt>
            <idx val="0"/>
            <invertIfNegative val="1"/>
            <bubble3D val="0"/>
            <spPr>
              <a:solidFill xmlns:a="http://schemas.openxmlformats.org/drawingml/2006/main">
                <a:srgbClr val="4472C4"/>
              </a:solidFill>
              <a:ln xmlns:a="http://schemas.openxmlformats.org/drawingml/2006/main" w="34925">
                <a:solidFill>
                  <a:srgbClr val="C00000"/>
                </a:solidFill>
                <a:prstDash val="solid"/>
              </a:ln>
            </spPr>
          </dPt>
          <dPt>
            <idx val="1"/>
            <invertIfNegative val="1"/>
            <bubble3D val="0"/>
            <spPr>
              <a:ln xmlns:a="http://schemas.openxmlformats.org/drawingml/2006/main">
                <a:prstDash val="solid"/>
              </a:ln>
            </spPr>
          </dPt>
          <dPt>
            <idx val="2"/>
            <invertIfNegative val="1"/>
            <bubble3D val="0"/>
            <spPr>
              <a:ln xmlns:a="http://schemas.openxmlformats.org/drawingml/2006/main">
                <a:prstDash val="solid"/>
              </a:ln>
            </spPr>
          </dPt>
          <dPt>
            <idx val="3"/>
            <invertIfNegative val="1"/>
            <bubble3D val="0"/>
            <spPr>
              <a:ln xmlns:a="http://schemas.openxmlformats.org/drawingml/2006/main">
                <a:prstDash val="solid"/>
              </a:ln>
            </spPr>
          </dPt>
          <dPt>
            <idx val="4"/>
            <invertIfNegative val="1"/>
            <bubble3D val="0"/>
            <spPr>
              <a:solidFill xmlns:a="http://schemas.openxmlformats.org/drawingml/2006/main">
                <a:srgbClr val="ED7D31"/>
              </a:solidFill>
              <a:ln xmlns:a="http://schemas.openxmlformats.org/drawingml/2006/main" w="34925">
                <a:solidFill>
                  <a:srgbClr val="C00000"/>
                </a:solidFill>
                <a:prstDash val="solid"/>
              </a:ln>
            </spPr>
          </dPt>
          <dPt>
            <idx val="5"/>
            <invertIfNegative val="1"/>
            <bubble3D val="0"/>
            <spPr>
              <a:solidFill xmlns:a="http://schemas.openxmlformats.org/drawingml/2006/main">
                <a:srgbClr val="ED7D31"/>
              </a:solidFill>
              <a:ln xmlns:a="http://schemas.openxmlformats.org/drawingml/2006/main">
                <a:prstDash val="solid"/>
              </a:ln>
            </spPr>
          </dPt>
          <dPt>
            <idx val="6"/>
            <invertIfNegative val="1"/>
            <bubble3D val="0"/>
            <spPr>
              <a:solidFill xmlns:a="http://schemas.openxmlformats.org/drawingml/2006/main">
                <a:srgbClr val="ED7D31"/>
              </a:solidFill>
              <a:ln xmlns:a="http://schemas.openxmlformats.org/drawingml/2006/main">
                <a:prstDash val="solid"/>
              </a:ln>
            </spPr>
          </dPt>
          <dPt>
            <idx val="7"/>
            <invertIfNegative val="1"/>
            <bubble3D val="0"/>
            <spPr>
              <a:solidFill xmlns:a="http://schemas.openxmlformats.org/drawingml/2006/main">
                <a:srgbClr val="ED7D31"/>
              </a:solidFill>
              <a:ln xmlns:a="http://schemas.openxmlformats.org/drawingml/2006/main">
                <a:prstDash val="solid"/>
              </a:ln>
            </spPr>
          </dPt>
          <dPt>
            <idx val="8"/>
            <invertIfNegative val="1"/>
            <bubble3D val="0"/>
            <spPr>
              <a:solidFill xmlns:a="http://schemas.openxmlformats.org/drawingml/2006/main">
                <a:srgbClr val="ED7D31"/>
              </a:solidFill>
              <a:ln xmlns:a="http://schemas.openxmlformats.org/drawingml/2006/main">
                <a:prstDash val="solid"/>
              </a:ln>
            </spPr>
          </dPt>
          <dPt>
            <idx val="9"/>
            <invertIfNegative val="1"/>
            <bubble3D val="0"/>
            <spPr>
              <a:solidFill xmlns:a="http://schemas.openxmlformats.org/drawingml/2006/main">
                <a:srgbClr val="70AD47"/>
              </a:solidFill>
              <a:ln xmlns:a="http://schemas.openxmlformats.org/drawingml/2006/main">
                <a:prstDash val="solid"/>
              </a:ln>
            </spPr>
          </dPt>
          <dPt>
            <idx val="10"/>
            <invertIfNegative val="1"/>
            <bubble3D val="0"/>
            <spPr>
              <a:solidFill xmlns:a="http://schemas.openxmlformats.org/drawingml/2006/main">
                <a:srgbClr val="70AD47"/>
              </a:solidFill>
              <a:ln xmlns:a="http://schemas.openxmlformats.org/drawingml/2006/main">
                <a:prstDash val="solid"/>
              </a:ln>
            </spPr>
          </dPt>
          <dPt>
            <idx val="11"/>
            <invertIfNegative val="1"/>
            <bubble3D val="0"/>
            <spPr>
              <a:solidFill xmlns:a="http://schemas.openxmlformats.org/drawingml/2006/main">
                <a:srgbClr val="70AD47"/>
              </a:solidFill>
              <a:ln xmlns:a="http://schemas.openxmlformats.org/drawingml/2006/main">
                <a:prstDash val="solid"/>
              </a:ln>
            </spPr>
          </dPt>
          <dPt>
            <idx val="12"/>
            <invertIfNegative val="1"/>
            <bubble3D val="0"/>
            <spPr>
              <a:solidFill xmlns:a="http://schemas.openxmlformats.org/drawingml/2006/main">
                <a:srgbClr val="70AD47"/>
              </a:solidFill>
              <a:ln xmlns:a="http://schemas.openxmlformats.org/drawingml/2006/main" w="34925">
                <a:solidFill>
                  <a:srgbClr val="C00000"/>
                </a:solidFill>
                <a:prstDash val="solid"/>
              </a:ln>
            </spPr>
          </dPt>
          <dPt>
            <idx val="13"/>
            <invertIfNegative val="1"/>
            <bubble3D val="0"/>
            <spPr>
              <a:solidFill xmlns:a="http://schemas.openxmlformats.org/drawingml/2006/main">
                <a:srgbClr val="70AD47"/>
              </a:solidFill>
              <a:ln xmlns:a="http://schemas.openxmlformats.org/drawingml/2006/main" w="34925">
                <a:solidFill>
                  <a:srgbClr val="C00000"/>
                </a:solidFill>
                <a:prstDash val="solid"/>
              </a:ln>
            </spPr>
          </dPt>
          <dPt>
            <idx val="14"/>
            <invertIfNegative val="1"/>
            <bubble3D val="0"/>
            <spPr>
              <a:solidFill xmlns:a="http://schemas.openxmlformats.org/drawingml/2006/main">
                <a:srgbClr val="70AD47"/>
              </a:solidFill>
              <a:ln xmlns:a="http://schemas.openxmlformats.org/drawingml/2006/main">
                <a:prstDash val="solid"/>
              </a:ln>
            </spPr>
          </dPt>
          <dPt>
            <idx val="15"/>
            <invertIfNegative val="1"/>
            <bubble3D val="0"/>
            <spPr>
              <a:solidFill xmlns:a="http://schemas.openxmlformats.org/drawingml/2006/main">
                <a:srgbClr val="FFC000"/>
              </a:solidFill>
              <a:ln xmlns:a="http://schemas.openxmlformats.org/drawingml/2006/main">
                <a:prstDash val="solid"/>
              </a:ln>
            </spPr>
          </dPt>
          <dPt>
            <idx val="16"/>
            <invertIfNegative val="1"/>
            <bubble3D val="0"/>
            <spPr>
              <a:solidFill xmlns:a="http://schemas.openxmlformats.org/drawingml/2006/main">
                <a:srgbClr val="FFC000"/>
              </a:solidFill>
              <a:ln xmlns:a="http://schemas.openxmlformats.org/drawingml/2006/main">
                <a:prstDash val="solid"/>
              </a:ln>
            </spPr>
          </dPt>
          <dPt>
            <idx val="17"/>
            <invertIfNegative val="1"/>
            <bubble3D val="0"/>
            <spPr>
              <a:solidFill xmlns:a="http://schemas.openxmlformats.org/drawingml/2006/main">
                <a:srgbClr val="FFC000"/>
              </a:solidFill>
              <a:ln xmlns:a="http://schemas.openxmlformats.org/drawingml/2006/main">
                <a:prstDash val="solid"/>
              </a:ln>
            </spPr>
          </dPt>
          <dPt>
            <idx val="18"/>
            <invertIfNegative val="1"/>
            <bubble3D val="0"/>
            <spPr>
              <a:solidFill xmlns:a="http://schemas.openxmlformats.org/drawingml/2006/main">
                <a:srgbClr val="7030A0"/>
              </a:solidFill>
              <a:ln xmlns:a="http://schemas.openxmlformats.org/drawingml/2006/main">
                <a:prstDash val="solid"/>
              </a:ln>
            </spPr>
          </dPt>
          <dPt>
            <idx val="19"/>
            <invertIfNegative val="1"/>
            <bubble3D val="0"/>
            <spPr>
              <a:solidFill xmlns:a="http://schemas.openxmlformats.org/drawingml/2006/main">
                <a:srgbClr val="7030A0"/>
              </a:solidFill>
              <a:ln xmlns:a="http://schemas.openxmlformats.org/drawingml/2006/main">
                <a:prstDash val="solid"/>
              </a:ln>
            </spPr>
          </dPt>
          <cat>
            <strRef>
              <f>Гант!$B$5:$B$44</f>
              <strCache>
                <ptCount val="20"/>
                <pt idx="0">
                  <v>Проектирование API заказов</v>
                </pt>
                <pt idx="1">
                  <v>Экран корзины (вёрстка)</v>
                </pt>
                <pt idx="2">
                  <v>Настройка CI/CD</v>
                </pt>
                <pt idx="3">
                  <v>Модель данных заказа</v>
                </pt>
                <pt idx="4">
                  <v>Интеграция платежей</v>
                </pt>
                <pt idx="5">
                  <v>Тест-кейсы оформления</v>
                </pt>
                <pt idx="6">
                  <v>Уведомления по e-mail</v>
                </pt>
                <pt idx="7">
                  <v>API промокодов</v>
                </pt>
                <pt idx="8">
                  <v>Логирование и метрики</v>
                </pt>
                <pt idx="9">
                  <v>Рефакторинг авторизации</v>
                </pt>
                <pt idx="10">
                  <v>Аналитика воронки</v>
                </pt>
                <pt idx="11">
                  <v>Регресс-тестирование релиза</v>
                </pt>
                <pt idx="12">
                  <v>Экран оплаты</v>
                </pt>
                <pt idx="13">
                  <v>Вебхуки платежей</v>
                </pt>
                <pt idx="14">
                  <v>История заказов</v>
                </pt>
                <pt idx="15">
                  <v>Личный кабинет</v>
                </pt>
                <pt idx="16">
                  <v>Фильтры каталога</v>
                </pt>
                <pt idx="17">
                  <v>Отзывы и рейтинги</v>
                </pt>
                <pt idx="18">
                  <v>Рекомендации</v>
                </pt>
                <pt idx="19">
                  <v>A/B тесты чекаута</v>
                </pt>
              </strCache>
            </strRef>
          </cat>
          <val>
            <numRef>
              <f>Гант!$I$5:$I$44</f>
              <numCache>
                <formatCode>0</formatCode>
                <ptCount val="40"/>
                <pt idx="0">
                  <v>5</v>
                </pt>
                <pt idx="1">
                  <v>8</v>
                </pt>
                <pt idx="2">
                  <v>4</v>
                </pt>
                <pt idx="3">
                  <v>5</v>
                </pt>
                <pt idx="4">
                  <v>8</v>
                </pt>
                <pt idx="5">
                  <v>4</v>
                </pt>
                <pt idx="6">
                  <v>4</v>
                </pt>
                <pt idx="7">
                  <v>5</v>
                </pt>
                <pt idx="8">
                  <v>3</v>
                </pt>
                <pt idx="9">
                  <v>3</v>
                </pt>
                <pt idx="10">
                  <v>3</v>
                </pt>
                <pt idx="11">
                  <v>5</v>
                </pt>
                <pt idx="12">
                  <v>8</v>
                </pt>
                <pt idx="13">
                  <v>5</v>
                </pt>
                <pt idx="14">
                  <v>5</v>
                </pt>
                <pt idx="15">
                  <v>8</v>
                </pt>
                <pt idx="16">
                  <v>6</v>
                </pt>
                <pt idx="17">
                  <v>5</v>
                </pt>
                <pt idx="18">
                  <v>8</v>
                </pt>
                <pt idx="19">
                  <v>5</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numCache>
            </numRef>
          </val>
        </ser>
        <dLbls>
          <showLegendKey val="0"/>
          <showVal val="0"/>
          <showCatName val="0"/>
          <showSerName val="0"/>
          <showPercent val="0"/>
          <showBubbleSize val="0"/>
        </dLbls>
        <gapWidth val="150"/>
        <overlap val="100"/>
        <axId val="10"/>
        <axId val="100"/>
      </barChart>
      <catAx>
        <axId val="10"/>
        <scaling>
          <orientation val="maxMin"/>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max val="46332"/>
          <min val="46237"/>
        </scaling>
        <delete val="0"/>
        <axPos val="t"/>
        <numFmt formatCode="dd\.mm" sourceLinked="0"/>
        <majorTickMark val="none"/>
        <minorTickMark val="none"/>
        <tickLblPos val="nextTo"/>
        <crossAx val="10"/>
        <crosses val="autoZero"/>
        <crossBetween val="between"/>
      </valAx>
    </plotArea>
    <plotVisOnly val="1"/>
    <dispBlanksAs val="gap"/>
  </chart>
</chartSpace>
</file>

<file path=xl/charts/chart1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Капасити </a:t>
            </a:r>
            <a:r>
              <a:rPr lang="en-US"/>
              <a:t xml:space="preserve">vs </a:t>
            </a:r>
            <a:r>
              <a:rPr lang="ru-RU"/>
              <a:t>Спрос по ролям (текущий спринт)</a:t>
            </a:r>
          </a:p>
        </rich>
      </tx>
      <overlay val="0"/>
    </title>
    <plotArea>
      <layout/>
      <barChart>
        <barDir val="col"/>
        <grouping val="clustered"/>
        <varyColors val="1"/>
        <ser>
          <idx val="0"/>
          <order val="0"/>
          <tx>
            <strRef>
              <f>'Загрузка по ролям'!$B$5</f>
              <strCache>
                <ptCount val="1"/>
                <pt idx="0">
                  <v>Капасити (дн)</v>
                </pt>
              </strCache>
            </strRef>
          </tx>
          <spPr>
            <a:solidFill xmlns:a="http://schemas.openxmlformats.org/drawingml/2006/main">
              <a:srgbClr val="8EAADB"/>
            </a:solidFill>
            <a:ln xmlns:a="http://schemas.openxmlformats.org/drawingml/2006/main">
              <a:prstDash val="solid"/>
            </a:ln>
          </spPr>
          <invertIfNegative val="1"/>
          <cat>
            <strRef>
              <f>'Загрузка по ролям'!$A$6:$A$11</f>
              <strCache>
                <ptCount val="6"/>
                <pt idx="0">
                  <v>Backend</v>
                </pt>
                <pt idx="1">
                  <v>Frontend</v>
                </pt>
                <pt idx="2">
                  <v>QA</v>
                </pt>
                <pt idx="3">
                  <v>DevOps</v>
                </pt>
                <pt idx="4">
                  <v>Analyst</v>
                </pt>
                <pt idx="5">
                  <v>Designer</v>
                </pt>
              </strCache>
            </strRef>
          </cat>
          <val>
            <numRef>
              <f>'Загрузка по ролям'!$B$6:$B$11</f>
              <numCache>
                <formatCode>#\ ##0.0</formatCode>
                <ptCount val="6"/>
                <pt idx="0">
                  <v>32</v>
                </pt>
                <pt idx="1">
                  <v>24</v>
                </pt>
                <pt idx="2">
                  <v>14.4</v>
                </pt>
                <pt idx="3">
                  <v>6.4</v>
                </pt>
                <pt idx="4">
                  <v>12</v>
                </pt>
                <pt idx="5">
                  <v>6.4</v>
                </pt>
              </numCache>
            </numRef>
          </val>
        </ser>
        <ser>
          <idx val="1"/>
          <order val="1"/>
          <tx>
            <strRef>
              <f>'Загрузка по ролям'!$C$5</f>
              <strCache>
                <ptCount val="1"/>
                <pt idx="0">
                  <v>Спрос / План (дн)</v>
                </pt>
              </strCache>
            </strRef>
          </tx>
          <spPr>
            <a:solidFill xmlns:a="http://schemas.openxmlformats.org/drawingml/2006/main">
              <a:srgbClr val="C00000"/>
            </a:solidFill>
            <a:ln xmlns:a="http://schemas.openxmlformats.org/drawingml/2006/main">
              <a:prstDash val="solid"/>
            </a:ln>
          </spPr>
          <invertIfNegative val="1"/>
          <cat>
            <strRef>
              <f>'Загрузка по ролям'!$A$6:$A$11</f>
              <strCache>
                <ptCount val="6"/>
                <pt idx="0">
                  <v>Backend</v>
                </pt>
                <pt idx="1">
                  <v>Frontend</v>
                </pt>
                <pt idx="2">
                  <v>QA</v>
                </pt>
                <pt idx="3">
                  <v>DevOps</v>
                </pt>
                <pt idx="4">
                  <v>Analyst</v>
                </pt>
                <pt idx="5">
                  <v>Designer</v>
                </pt>
              </strCache>
            </strRef>
          </cat>
          <val>
            <numRef>
              <f>'Загрузка по ролям'!$C$6:$C$11</f>
              <numCache>
                <formatCode>#\ ##0.0</formatCode>
                <ptCount val="6"/>
                <pt idx="0">
                  <v>8</v>
                </pt>
                <pt idx="1">
                  <v>13</v>
                </pt>
                <pt idx="2">
                  <v>5</v>
                </pt>
                <pt idx="3">
                  <v>0</v>
                </pt>
                <pt idx="4">
                  <v>3</v>
                </pt>
                <pt idx="5">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Роль</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1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Burndown — </a:t>
            </a:r>
            <a:r>
              <a:rPr lang="ru-RU"/>
              <a:t>сгорание задач (дни)</a:t>
            </a:r>
          </a:p>
        </rich>
      </tx>
      <overlay val="0"/>
    </title>
    <plotArea>
      <layout/>
      <lineChart>
        <grouping val="standard"/>
        <varyColors val="1"/>
        <ser>
          <idx val="0"/>
          <order val="0"/>
          <tx>
            <strRef>
              <f>Сгорание!$C$6</f>
              <strCache>
                <ptCount val="1"/>
                <pt idx="0">
                  <v>Идеальный остаток (дн)</v>
                </pt>
              </strCache>
            </strRef>
          </tx>
          <spPr>
            <a:ln xmlns:a="http://schemas.openxmlformats.org/drawingml/2006/main">
              <a:solidFill>
                <a:srgbClr val="808080"/>
              </a:solidFill>
              <a:prstDash val="dash"/>
            </a:ln>
          </spPr>
          <marker>
            <symbol val="circle"/>
            <size val="6"/>
            <spPr>
              <a:ln xmlns:a="http://schemas.openxmlformats.org/drawingml/2006/main">
                <a:prstDash val="solid"/>
              </a:ln>
            </spPr>
          </marker>
          <cat>
            <numRef>
              <f>Сгорание!$A$7:$A$17</f>
              <numCache>
                <formatCode>General</formatCode>
                <ptCount val="11"/>
                <pt idx="0">
                  <v>0</v>
                </pt>
                <pt idx="1">
                  <v>1</v>
                </pt>
                <pt idx="2">
                  <v>2</v>
                </pt>
                <pt idx="3">
                  <v>3</v>
                </pt>
                <pt idx="4">
                  <v>4</v>
                </pt>
                <pt idx="5">
                  <v>5</v>
                </pt>
                <pt idx="6">
                  <v>6</v>
                </pt>
                <pt idx="7">
                  <v>7</v>
                </pt>
                <pt idx="8">
                  <v>8</v>
                </pt>
                <pt idx="9">
                  <v>9</v>
                </pt>
                <pt idx="10">
                  <v>10</v>
                </pt>
              </numCache>
            </numRef>
          </cat>
          <val>
            <numRef>
              <f>Сгорание!$C$7:$C$17</f>
              <numCache>
                <formatCode>#\ ##0.0</formatCode>
                <ptCount val="11"/>
                <pt idx="0">
                  <v>29</v>
                </pt>
                <pt idx="1">
                  <v>26.1</v>
                </pt>
                <pt idx="2">
                  <v>23.2</v>
                </pt>
                <pt idx="3">
                  <v>20.3</v>
                </pt>
                <pt idx="4">
                  <v>17.4</v>
                </pt>
                <pt idx="5">
                  <v>14.5</v>
                </pt>
                <pt idx="6">
                  <v>11.6</v>
                </pt>
                <pt idx="7">
                  <v>8.699999999999999</v>
                </pt>
                <pt idx="8">
                  <v>5.8</v>
                </pt>
                <pt idx="9">
                  <v>2.9</v>
                </pt>
                <pt idx="10">
                  <v>0</v>
                </pt>
              </numCache>
            </numRef>
          </val>
          <smooth val="0"/>
        </ser>
        <ser>
          <idx val="1"/>
          <order val="1"/>
          <tx>
            <strRef>
              <f>Сгорание!$D$6</f>
              <strCache>
                <ptCount val="1"/>
                <pt idx="0">
                  <v>Факт. остаток (дн)</v>
                </pt>
              </strCache>
            </strRef>
          </tx>
          <spPr>
            <a:ln xmlns:a="http://schemas.openxmlformats.org/drawingml/2006/main" w="28000">
              <a:solidFill>
                <a:srgbClr val="C00000"/>
              </a:solidFill>
              <a:prstDash val="solid"/>
            </a:ln>
          </spPr>
          <marker>
            <symbol val="circle"/>
            <size val="6"/>
            <spPr>
              <a:ln xmlns:a="http://schemas.openxmlformats.org/drawingml/2006/main">
                <a:prstDash val="solid"/>
              </a:ln>
            </spPr>
          </marker>
          <cat>
            <numRef>
              <f>Сгорание!$A$7:$A$17</f>
              <numCache>
                <formatCode>General</formatCode>
                <ptCount val="11"/>
                <pt idx="0">
                  <v>0</v>
                </pt>
                <pt idx="1">
                  <v>1</v>
                </pt>
                <pt idx="2">
                  <v>2</v>
                </pt>
                <pt idx="3">
                  <v>3</v>
                </pt>
                <pt idx="4">
                  <v>4</v>
                </pt>
                <pt idx="5">
                  <v>5</v>
                </pt>
                <pt idx="6">
                  <v>6</v>
                </pt>
                <pt idx="7">
                  <v>7</v>
                </pt>
                <pt idx="8">
                  <v>8</v>
                </pt>
                <pt idx="9">
                  <v>9</v>
                </pt>
                <pt idx="10">
                  <v>10</v>
                </pt>
              </numCache>
            </numRef>
          </cat>
          <val>
            <numRef>
              <f>Сгорание!$D$7:$D$17</f>
              <numCache>
                <formatCode>#\ ##0.0</formatCode>
                <ptCount val="11"/>
                <pt idx="0">
                  <v>29</v>
                </pt>
                <pt idx="1">
                  <v>28.4</v>
                </pt>
                <pt idx="2">
                  <v>26.1</v>
                </pt>
                <pt idx="3">
                  <v>24.9</v>
                </pt>
                <pt idx="4">
                  <v>20.9</v>
                </pt>
                <pt idx="5">
                  <v>17.4</v>
                </pt>
                <pt idx="6">
                  <v>16</v>
                </pt>
                <pt idx="7">
                  <v>11.6</v>
                </pt>
                <pt idx="8">
                  <v>8.1</v>
                </pt>
                <pt idx="9">
                  <v>3.5</v>
                </pt>
                <pt idx="10">
                  <v>0</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День спринта</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Остаток (дни)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Burn-up: </a:t>
            </a:r>
            <a:r>
              <a:rPr lang="ru-RU"/>
              <a:t xml:space="preserve">объём </a:t>
            </a:r>
            <a:r>
              <a:rPr lang="en-US"/>
              <a:t xml:space="preserve">vs </a:t>
            </a:r>
            <a:r>
              <a:rPr lang="ru-RU"/>
              <a:t>сделано</a:t>
            </a:r>
          </a:p>
        </rich>
      </tx>
      <overlay val="0"/>
    </title>
    <plotArea>
      <layout/>
      <lineChart>
        <grouping val="standard"/>
        <varyColors val="1"/>
        <ser>
          <idx val="0"/>
          <order val="0"/>
          <tx>
            <strRef>
              <f>Сгорание!$B$21</f>
              <strCache>
                <ptCount val="1"/>
                <pt idx="0">
                  <v>Накопл.
сделано (дн)</v>
                </pt>
              </strCache>
            </strRef>
          </tx>
          <spPr>
            <a:ln xmlns:a="http://schemas.openxmlformats.org/drawingml/2006/main" w="28000">
              <a:solidFill>
                <a:srgbClr val="70AD47"/>
              </a:solidFill>
              <a:prstDash val="solid"/>
            </a:ln>
          </spPr>
          <marker>
            <symbol val="circle"/>
            <size val="6"/>
            <spPr>
              <a:ln xmlns:a="http://schemas.openxmlformats.org/drawingml/2006/main">
                <a:prstDash val="solid"/>
              </a:ln>
            </spPr>
          </marker>
          <cat>
            <numRef>
              <f>Сгорание!$A$22:$A$32</f>
              <numCache>
                <formatCode>General</formatCode>
                <ptCount val="11"/>
                <pt idx="0">
                  <v>1</v>
                </pt>
                <pt idx="1">
                  <v>2</v>
                </pt>
                <pt idx="2">
                  <v>3</v>
                </pt>
                <pt idx="3">
                  <v>4</v>
                </pt>
                <pt idx="4">
                  <v>5</v>
                </pt>
                <pt idx="5">
                  <v>6</v>
                </pt>
                <pt idx="6">
                  <v>7</v>
                </pt>
                <pt idx="7">
                  <v>8</v>
                </pt>
                <pt idx="8">
                  <v>9</v>
                </pt>
                <pt idx="9">
                  <v>10</v>
                </pt>
                <pt idx="10">
                  <v>11</v>
                </pt>
              </numCache>
            </numRef>
          </cat>
          <val>
            <numRef>
              <f>Сгорание!$B$22:$B$32</f>
              <numCache>
                <formatCode>#\ ##0.0</formatCode>
                <ptCount val="11"/>
                <pt idx="0">
                  <v>17</v>
                </pt>
                <pt idx="1">
                  <v>38</v>
                </pt>
                <pt idx="2">
                  <v>38</v>
                </pt>
                <pt idx="3">
                  <v>38</v>
                </pt>
                <pt idx="4">
                  <v>38</v>
                </pt>
                <pt idx="5">
                  <v>38</v>
                </pt>
                <pt idx="6">
                  <v>38</v>
                </pt>
                <pt idx="7">
                  <v>38</v>
                </pt>
                <pt idx="8">
                  <v>38</v>
                </pt>
                <pt idx="9">
                  <v>38</v>
                </pt>
                <pt idx="10">
                  <v>38</v>
                </pt>
              </numCache>
            </numRef>
          </val>
          <smooth val="0"/>
        </ser>
        <ser>
          <idx val="1"/>
          <order val="1"/>
          <tx>
            <strRef>
              <f>Сгорание!$C$21</f>
              <strCache>
                <ptCount val="1"/>
                <pt idx="0">
                  <v>Общий
объём (дн)</v>
                </pt>
              </strCache>
            </strRef>
          </tx>
          <spPr>
            <a:ln xmlns:a="http://schemas.openxmlformats.org/drawingml/2006/main">
              <a:solidFill>
                <a:srgbClr val="C00000"/>
              </a:solidFill>
              <a:prstDash val="dash"/>
            </a:ln>
          </spPr>
          <marker>
            <symbol val="circle"/>
            <size val="6"/>
            <spPr>
              <a:ln xmlns:a="http://schemas.openxmlformats.org/drawingml/2006/main">
                <a:prstDash val="solid"/>
              </a:ln>
            </spPr>
          </marker>
          <cat>
            <numRef>
              <f>Сгорание!$A$22:$A$32</f>
              <numCache>
                <formatCode>General</formatCode>
                <ptCount val="11"/>
                <pt idx="0">
                  <v>1</v>
                </pt>
                <pt idx="1">
                  <v>2</v>
                </pt>
                <pt idx="2">
                  <v>3</v>
                </pt>
                <pt idx="3">
                  <v>4</v>
                </pt>
                <pt idx="4">
                  <v>5</v>
                </pt>
                <pt idx="5">
                  <v>6</v>
                </pt>
                <pt idx="6">
                  <v>7</v>
                </pt>
                <pt idx="7">
                  <v>8</v>
                </pt>
                <pt idx="8">
                  <v>9</v>
                </pt>
                <pt idx="9">
                  <v>10</v>
                </pt>
                <pt idx="10">
                  <v>11</v>
                </pt>
              </numCache>
            </numRef>
          </cat>
          <val>
            <numRef>
              <f>Сгорание!$C$22:$C$32</f>
              <numCache>
                <formatCode>#\ ##0.0</formatCode>
                <ptCount val="11"/>
                <pt idx="0">
                  <v>107</v>
                </pt>
                <pt idx="1">
                  <v>107</v>
                </pt>
                <pt idx="2">
                  <v>107</v>
                </pt>
                <pt idx="3">
                  <v>107</v>
                </pt>
                <pt idx="4">
                  <v>107</v>
                </pt>
                <pt idx="5">
                  <v>107</v>
                </pt>
                <pt idx="6">
                  <v>107</v>
                </pt>
                <pt idx="7">
                  <v>107</v>
                </pt>
                <pt idx="8">
                  <v>107</v>
                </pt>
                <pt idx="9">
                  <v>107</v>
                </pt>
                <pt idx="10">
                  <v>107</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Дефекты: найдено </a:t>
            </a:r>
            <a:r>
              <a:rPr lang="en-US"/>
              <a:t xml:space="preserve">vs </a:t>
            </a:r>
            <a:r>
              <a:rPr lang="ru-RU"/>
              <a:t>закрыто</a:t>
            </a:r>
          </a:p>
        </rich>
      </tx>
      <overlay val="0"/>
    </title>
    <plotArea>
      <layout/>
      <barChart>
        <barDir val="col"/>
        <grouping val="clustered"/>
        <varyColors val="1"/>
        <ser>
          <idx val="0"/>
          <order val="0"/>
          <tx>
            <strRef>
              <f>Качество!$B$4</f>
              <strCache>
                <ptCount val="1"/>
                <pt idx="0">
                  <v>Найдено</v>
                </pt>
              </strCache>
            </strRef>
          </tx>
          <spPr>
            <a:solidFill xmlns:a="http://schemas.openxmlformats.org/drawingml/2006/main">
              <a:srgbClr val="ED7D31"/>
            </a:solidFill>
            <a:ln xmlns:a="http://schemas.openxmlformats.org/drawingml/2006/main">
              <a:prstDash val="solid"/>
            </a:ln>
          </spPr>
          <invertIfNegative val="1"/>
          <cat>
            <strRef>
              <f>Качество!$A$5:$A$15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Качество!$B$5:$B$15</f>
              <numCache>
                <formatCode>General</formatCode>
                <ptCount val="11"/>
                <pt idx="0">
                  <v>5</v>
                </pt>
                <pt idx="1">
                  <v>6</v>
                </pt>
                <pt idx="2">
                  <v>2</v>
                </pt>
                <pt idx="3">
                  <v>0</v>
                </pt>
                <pt idx="4">
                  <v>0</v>
                </pt>
                <pt idx="5">
                  <v>0</v>
                </pt>
                <pt idx="6">
                  <v>0</v>
                </pt>
                <pt idx="7">
                  <v>0</v>
                </pt>
                <pt idx="8">
                  <v>0</v>
                </pt>
                <pt idx="9">
                  <v>0</v>
                </pt>
                <pt idx="10">
                  <v>0</v>
                </pt>
              </numCache>
            </numRef>
          </val>
        </ser>
        <ser>
          <idx val="1"/>
          <order val="1"/>
          <tx>
            <strRef>
              <f>Качество!$C$4</f>
              <strCache>
                <ptCount val="1"/>
                <pt idx="0">
                  <v>Закрыто</v>
                </pt>
              </strCache>
            </strRef>
          </tx>
          <spPr>
            <a:solidFill xmlns:a="http://schemas.openxmlformats.org/drawingml/2006/main">
              <a:srgbClr val="70AD47"/>
            </a:solidFill>
            <a:ln xmlns:a="http://schemas.openxmlformats.org/drawingml/2006/main">
              <a:prstDash val="solid"/>
            </a:ln>
          </spPr>
          <invertIfNegative val="1"/>
          <cat>
            <strRef>
              <f>Качество!$A$5:$A$15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Качество!$C$5:$C$15</f>
              <numCache>
                <formatCode>General</formatCode>
                <ptCount val="11"/>
                <pt idx="0">
                  <v>4</v>
                </pt>
                <pt idx="1">
                  <v>6</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Багов</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Баги по спринтам (кол-во)</a:t>
            </a:r>
          </a:p>
        </rich>
      </tx>
      <overlay val="1"/>
    </title>
    <plotArea>
      <layout/>
      <barChart>
        <barDir val="col"/>
        <grouping val="stacked"/>
        <varyColors val="1"/>
        <ser>
          <idx val="0"/>
          <order val="0"/>
          <tx>
            <strRef>
              <f>Баги!$L$5</f>
              <strCache>
                <ptCount val="1"/>
                <pt idx="0">
                  <v>Закрыто</v>
                </pt>
              </strCache>
            </strRef>
          </tx>
          <spPr>
            <a:solidFill xmlns:a="http://schemas.openxmlformats.org/drawingml/2006/main">
              <a:srgbClr val="70AD47"/>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Баги!$L$6:$L$16</f>
              <numCache>
                <formatCode>General</formatCode>
                <ptCount val="11"/>
                <pt idx="0">
                  <v>4</v>
                </pt>
                <pt idx="1">
                  <v>6</v>
                </pt>
                <pt idx="2">
                  <v>0</v>
                </pt>
                <pt idx="3">
                  <v>0</v>
                </pt>
                <pt idx="4">
                  <v>0</v>
                </pt>
                <pt idx="5">
                  <v>0</v>
                </pt>
                <pt idx="6">
                  <v>0</v>
                </pt>
                <pt idx="7">
                  <v>0</v>
                </pt>
                <pt idx="8">
                  <v>0</v>
                </pt>
                <pt idx="9">
                  <v>0</v>
                </pt>
                <pt idx="10">
                  <v>0</v>
                </pt>
              </numCache>
            </numRef>
          </val>
        </ser>
        <ser>
          <idx val="1"/>
          <order val="1"/>
          <tx>
            <strRef>
              <f>Баги!$M$5</f>
              <strCache>
                <ptCount val="1"/>
                <pt idx="0">
                  <v>Открыто</v>
                </pt>
              </strCache>
            </strRef>
          </tx>
          <spPr>
            <a:solidFill xmlns:a="http://schemas.openxmlformats.org/drawingml/2006/main">
              <a:srgbClr val="C00000"/>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Баги!$M$6:$M$16</f>
              <numCache>
                <formatCode>General</formatCode>
                <ptCount val="11"/>
                <pt idx="0">
                  <v>1</v>
                </pt>
                <pt idx="1">
                  <v>0</v>
                </pt>
                <pt idx="2">
                  <v>2</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overlap val="10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2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закрытых по спринтам</a:t>
            </a:r>
          </a:p>
        </rich>
      </tx>
      <overlay val="1"/>
    </title>
    <plotArea>
      <layout/>
      <barChart>
        <barDir val="col"/>
        <grouping val="clustered"/>
        <varyColors val="1"/>
        <ser>
          <idx val="0"/>
          <order val="0"/>
          <tx>
            <strRef>
              <f>Баги!$N$5</f>
              <strCache>
                <ptCount val="1"/>
                <pt idx="0">
                  <v>% закрытых</v>
                </pt>
              </strCache>
            </strRef>
          </tx>
          <spPr>
            <a:solidFill xmlns:a="http://schemas.openxmlformats.org/drawingml/2006/main">
              <a:srgbClr val="4472C4"/>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Баги!$N$6:$N$16</f>
              <numCache>
                <formatCode>0%</formatCode>
                <ptCount val="11"/>
                <pt idx="0">
                  <v>0.8</v>
                </pt>
                <pt idx="1">
                  <v>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0"/>
        <majorTickMark val="none"/>
        <minorTickMark val="none"/>
        <tickLblPos val="nextTo"/>
        <crossAx val="10"/>
        <crosses val="autoZero"/>
        <crossBetween val="between"/>
      </valAx>
    </plotArea>
    <plotVisOnly val="1"/>
    <dispBlanksAs val="gap"/>
  </chart>
</chartSpace>
</file>

<file path=xl/charts/chart2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Доля багов по спринтам</a:t>
            </a:r>
          </a:p>
        </rich>
      </tx>
      <overlay val="1"/>
    </title>
    <plotArea>
      <layout/>
      <pieChart>
        <varyColors val="1"/>
        <ser>
          <idx val="0"/>
          <order val="0"/>
          <spPr>
            <a:ln xmlns:a="http://schemas.openxmlformats.org/drawingml/2006/main">
              <a:prstDash val="solid"/>
            </a:ln>
          </spPr>
          <dLbls>
            <spPr>
              <a:noFill xmlns:a="http://schemas.openxmlformats.org/drawingml/2006/main"/>
              <a:ln xmlns:a="http://schemas.openxmlformats.org/drawingml/2006/main">
                <a:noFill/>
                <a:prstDash val="solid"/>
              </a:ln>
            </spPr>
            <showLegendKey val="0"/>
            <showVal val="0"/>
            <showCatName val="0"/>
            <showSerName val="0"/>
            <showPercent val="1"/>
            <showBubbleSize val="1"/>
            <showLeaderLines val="1"/>
          </dLbls>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Баги!$P$6:$P$16</f>
              <numCache>
                <formatCode>General</formatCode>
                <ptCount val="11"/>
                <pt idx="0">
                  <v>5</v>
                </pt>
                <pt idx="1">
                  <v>6</v>
                </pt>
                <pt idx="2">
                  <v>2</v>
                </pt>
                <pt idx="3">
                  <v>#N/A</v>
                </pt>
                <pt idx="4">
                  <v>#N/A</v>
                </pt>
                <pt idx="5">
                  <v>#N/A</v>
                </pt>
                <pt idx="6">
                  <v>#N/A</v>
                </pt>
                <pt idx="7">
                  <v>#N/A</v>
                </pt>
                <pt idx="8">
                  <v>#N/A</v>
                </pt>
                <pt idx="9">
                  <v>#N/A</v>
                </pt>
                <pt idx="10">
                  <v>#N/A</v>
                </pt>
              </numCache>
            </numRef>
          </val>
        </ser>
        <dLbls>
          <showLegendKey val="0"/>
          <showVal val="0"/>
          <showCatName val="0"/>
          <showSerName val="0"/>
          <showPercent val="1"/>
          <showBubbleSize val="1"/>
          <showLeaderLines val="1"/>
        </dLbls>
        <firstSliceAng val="0"/>
      </pieChart>
    </plotArea>
    <legend>
      <legendPos val="r"/>
      <overlay val="0"/>
    </legend>
    <plotVisOnly val="0"/>
    <dispBlanksAs val="gap"/>
  </chart>
</chartSpace>
</file>

<file path=xl/charts/chart2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Cumulative Flow Diagram</a:t>
            </a:r>
          </a:p>
        </rich>
      </tx>
      <overlay val="0"/>
    </title>
    <plotArea>
      <layout/>
      <barChart>
        <barDir val="col"/>
        <grouping val="stacked"/>
        <varyColors val="1"/>
        <ser>
          <idx val="0"/>
          <order val="0"/>
          <tx>
            <strRef>
              <f>CFD!$B$4</f>
              <strCache>
                <ptCount val="1"/>
                <pt idx="0">
                  <v>To Do</v>
                </pt>
              </strCache>
            </strRef>
          </tx>
          <spPr>
            <a:solidFill xmlns:a="http://schemas.openxmlformats.org/drawingml/2006/main">
              <a:srgbClr val="BFBFBF"/>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CFD!$B$5:$B$15</f>
              <numCache>
                <formatCode>General</formatCode>
                <ptCount val="11"/>
                <pt idx="0">
                  <v>8</v>
                </pt>
                <pt idx="1">
                  <v>7</v>
                </pt>
                <pt idx="2">
                  <v>6</v>
                </pt>
                <pt idx="3">
                  <v>5</v>
                </pt>
                <pt idx="4">
                  <v>4</v>
                </pt>
                <pt idx="5">
                  <v>3</v>
                </pt>
                <pt idx="6">
                  <v>3</v>
                </pt>
                <pt idx="7">
                  <v>2</v>
                </pt>
                <pt idx="8">
                  <v>1</v>
                </pt>
                <pt idx="9">
                  <v>1</v>
                </pt>
                <pt idx="10">
                  <v>0</v>
                </pt>
              </numCache>
            </numRef>
          </val>
        </ser>
        <ser>
          <idx val="1"/>
          <order val="1"/>
          <tx>
            <strRef>
              <f>CFD!$C$4</f>
              <strCache>
                <ptCount val="1"/>
                <pt idx="0">
                  <v>В работе</v>
                </pt>
              </strCache>
            </strRef>
          </tx>
          <spPr>
            <a:solidFill xmlns:a="http://schemas.openxmlformats.org/drawingml/2006/main">
              <a:srgbClr val="FFC000"/>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CFD!$C$5:$C$15</f>
              <numCache>
                <formatCode>General</formatCode>
                <ptCount val="11"/>
                <pt idx="0">
                  <v>0</v>
                </pt>
                <pt idx="1">
                  <v>1</v>
                </pt>
                <pt idx="2">
                  <v>2</v>
                </pt>
                <pt idx="3">
                  <v>2</v>
                </pt>
                <pt idx="4">
                  <v>3</v>
                </pt>
                <pt idx="5">
                  <v>3</v>
                </pt>
                <pt idx="6">
                  <v>2</v>
                </pt>
                <pt idx="7">
                  <v>2</v>
                </pt>
                <pt idx="8">
                  <v>2</v>
                </pt>
                <pt idx="9">
                  <v>1</v>
                </pt>
                <pt idx="10">
                  <v>0</v>
                </pt>
              </numCache>
            </numRef>
          </val>
        </ser>
        <ser>
          <idx val="2"/>
          <order val="2"/>
          <tx>
            <strRef>
              <f>CFD!$D$4</f>
              <strCache>
                <ptCount val="1"/>
                <pt idx="0">
                  <v>Готово</v>
                </pt>
              </strCache>
            </strRef>
          </tx>
          <spPr>
            <a:solidFill xmlns:a="http://schemas.openxmlformats.org/drawingml/2006/main">
              <a:srgbClr val="70AD47"/>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CFD!$D$5:$D$15</f>
              <numCache>
                <formatCode>General</formatCode>
                <ptCount val="11"/>
                <pt idx="0">
                  <v>0</v>
                </pt>
                <pt idx="1">
                  <v>0</v>
                </pt>
                <pt idx="2">
                  <v>0</v>
                </pt>
                <pt idx="3">
                  <v>1</v>
                </pt>
                <pt idx="4">
                  <v>1</v>
                </pt>
                <pt idx="5">
                  <v>2</v>
                </pt>
                <pt idx="6">
                  <v>3</v>
                </pt>
                <pt idx="7">
                  <v>4</v>
                </pt>
                <pt idx="8">
                  <v>5</v>
                </pt>
                <pt idx="9">
                  <v>6</v>
                </pt>
                <pt idx="10">
                  <v>8</v>
                </pt>
              </numCache>
            </numRef>
          </val>
        </ser>
        <dLbls>
          <showLegendKey val="0"/>
          <showVal val="0"/>
          <showCatName val="0"/>
          <showSerName val="0"/>
          <showPercent val="0"/>
          <showBubbleSize val="0"/>
        </dLbls>
        <gapWidth val="150"/>
        <overlap val="10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День спринта</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Задач</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Velocity: </a:t>
            </a:r>
            <a:r>
              <a:rPr lang="ru-RU"/>
              <a:t>тренд и прогноз</a:t>
            </a:r>
          </a:p>
        </rich>
      </tx>
      <overlay val="0"/>
    </title>
    <plotArea>
      <layout/>
      <lineChart>
        <grouping val="standard"/>
        <varyColors val="1"/>
        <ser>
          <idx val="0"/>
          <order val="0"/>
          <spPr>
            <a:ln xmlns:a="http://schemas.openxmlformats.org/drawingml/2006/main" w="26000">
              <a:solidFill>
                <a:srgbClr val="C00000"/>
              </a:solidFill>
              <a:prstDash val="solid"/>
            </a:ln>
          </spPr>
          <marker>
            <symbol val="none"/>
            <spPr>
              <a:ln xmlns:a="http://schemas.openxmlformats.org/drawingml/2006/main">
                <a:prstDash val="solid"/>
              </a:ln>
            </spPr>
          </marker>
          <trendline>
            <trendlineType val="linear"/>
            <forward val="3"/>
            <dispRSqr val="1"/>
            <dispEq val="0"/>
            <trendlineLbl>
              <numFmt formatCode="General" sourceLinked="0"/>
            </trendlineLbl>
          </trendline>
          <cat>
            <numRef>
              <f>'Метрики и прогноз'!$E$3:$E$13</f>
              <numCache>
                <formatCode>General</formatCode>
                <ptCount val="11"/>
                <pt idx="0">
                  <v>1</v>
                </pt>
                <pt idx="1">
                  <v>2</v>
                </pt>
                <pt idx="2">
                  <v>3</v>
                </pt>
                <pt idx="3">
                  <v>4</v>
                </pt>
                <pt idx="4">
                  <v>5</v>
                </pt>
                <pt idx="5">
                  <v>6</v>
                </pt>
                <pt idx="6">
                  <v>7</v>
                </pt>
                <pt idx="7">
                  <v>8</v>
                </pt>
                <pt idx="8">
                  <v>9</v>
                </pt>
                <pt idx="9">
                  <v>10</v>
                </pt>
                <pt idx="10">
                  <v>11</v>
                </pt>
              </numCache>
            </numRef>
          </cat>
          <val>
            <numRef>
              <f>'Метрики и прогноз'!$F$2:$F$13</f>
              <numCache>
                <formatCode>General</formatCode>
                <ptCount val="12"/>
                <pt idx="1">
                  <v>17</v>
                </pt>
                <pt idx="2">
                  <v>21</v>
                </pt>
                <pt idx="3">
                  <v>0</v>
                </pt>
                <pt idx="4">
                  <v>0</v>
                </pt>
                <pt idx="5">
                  <v>0</v>
                </pt>
                <pt idx="6">
                  <v>0</v>
                </pt>
                <pt idx="7">
                  <v>0</v>
                </pt>
                <pt idx="8">
                  <v>0</v>
                </pt>
                <pt idx="9">
                  <v>0</v>
                </pt>
                <pt idx="10">
                  <v>0</v>
                </pt>
                <pt idx="11">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2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Throughput </a:t>
            </a:r>
            <a:r>
              <a:rPr lang="ru-RU"/>
              <a:t>по спринтам</a:t>
            </a:r>
          </a:p>
        </rich>
      </tx>
      <overlay val="0"/>
    </title>
    <plotArea>
      <layout/>
      <barChart>
        <barDir val="col"/>
        <grouping val="clustered"/>
        <varyColors val="1"/>
        <ser>
          <idx val="0"/>
          <order val="0"/>
          <tx>
            <strRef>
              <f>'Метрики и прогноз'!$B$11</f>
              <strCache>
                <ptCount val="1"/>
                <pt idx="0">
                  <v>Задач сделано</v>
                </pt>
              </strCache>
            </strRef>
          </tx>
          <spPr>
            <a:solidFill xmlns:a="http://schemas.openxmlformats.org/drawingml/2006/main">
              <a:srgbClr val="4472C4"/>
            </a:solidFill>
            <a:ln xmlns:a="http://schemas.openxmlformats.org/drawingml/2006/main">
              <a:prstDash val="solid"/>
            </a:ln>
          </spPr>
          <invertIfNegative val="1"/>
          <cat>
            <numRef>
              <f>'Метрики и прогноз'!$A$12:$A$22</f>
              <numCache>
                <formatCode>General</formatCode>
                <ptCount val="11"/>
                <pt idx="0">
                  <v>1</v>
                </pt>
                <pt idx="1">
                  <v>2</v>
                </pt>
                <pt idx="2">
                  <v>3</v>
                </pt>
                <pt idx="3">
                  <v>4</v>
                </pt>
                <pt idx="4">
                  <v>5</v>
                </pt>
                <pt idx="5">
                  <v>6</v>
                </pt>
                <pt idx="6">
                  <v>7</v>
                </pt>
                <pt idx="7">
                  <v>8</v>
                </pt>
                <pt idx="8">
                  <v>9</v>
                </pt>
                <pt idx="9">
                  <v>10</v>
                </pt>
                <pt idx="10">
                  <v>11</v>
                </pt>
              </numCache>
            </numRef>
          </cat>
          <val>
            <numRef>
              <f>'Метрики и прогноз'!$B$12:$B$22</f>
              <numCache>
                <formatCode>General</formatCode>
                <ptCount val="11"/>
                <pt idx="0">
                  <v>3</v>
                </pt>
                <pt idx="1">
                  <v>4</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2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Парето: причины багов</a:t>
            </a:r>
          </a:p>
        </rich>
      </tx>
      <overlay val="0"/>
    </title>
    <plotArea>
      <layout/>
      <barChart>
        <barDir val="col"/>
        <grouping val="clustered"/>
        <varyColors val="1"/>
        <ser>
          <idx val="0"/>
          <order val="0"/>
          <tx>
            <strRef>
              <f>'Метрики и прогноз'!$B$47</f>
              <strCache>
                <ptCount val="1"/>
                <pt idx="0">
                  <v>Кол-во</v>
                </pt>
              </strCache>
            </strRef>
          </tx>
          <spPr>
            <a:solidFill xmlns:a="http://schemas.openxmlformats.org/drawingml/2006/main">
              <a:srgbClr val="ED7D31"/>
            </a:solidFill>
            <a:ln xmlns:a="http://schemas.openxmlformats.org/drawingml/2006/main">
              <a:prstDash val="solid"/>
            </a:ln>
          </spPr>
          <invertIfNegative val="1"/>
          <cat>
            <strRef>
              <f>'Метрики и прогноз'!$A$48:$A$53</f>
              <strCache>
                <ptCount val="6"/>
                <pt idx="0">
                  <v>Интеграция</v>
                </pt>
                <pt idx="1">
                  <v>Код</v>
                </pt>
                <pt idx="2">
                  <v>Требования</v>
                </pt>
                <pt idx="3">
                  <v>Тестирование</v>
                </pt>
                <pt idx="4">
                  <v>Данные</v>
                </pt>
                <pt idx="5">
                  <v>Инфраструктура</v>
                </pt>
              </strCache>
            </strRef>
          </cat>
          <val>
            <numRef>
              <f>'Метрики и прогноз'!$B$48:$B$53</f>
              <numCache>
                <formatCode>General</formatCode>
                <ptCount val="6"/>
                <pt idx="0">
                  <v>4</v>
                </pt>
                <pt idx="1">
                  <v>3</v>
                </pt>
                <pt idx="2">
                  <v>3</v>
                </pt>
                <pt idx="3">
                  <v>2</v>
                </pt>
                <pt idx="4">
                  <v>1</v>
                </pt>
                <pt idx="5">
                  <v>0</v>
                </pt>
              </numCache>
            </numRef>
          </val>
        </ser>
        <dLbls>
          <showLegendKey val="0"/>
          <showVal val="0"/>
          <showCatName val="0"/>
          <showSerName val="0"/>
          <showPercent val="0"/>
          <showBubbleSize val="0"/>
        </dLbls>
        <gapWidth val="150"/>
        <axId val="10"/>
        <axId val="100"/>
      </barChart>
      <lineChart>
        <grouping val="standard"/>
        <varyColors val="1"/>
        <ser>
          <idx val="1"/>
          <order val="1"/>
          <tx>
            <strRef>
              <f>'Метрики и прогноз'!$C$47</f>
              <strCache>
                <ptCount val="1"/>
                <pt idx="0">
                  <v>Накопл. %</v>
                </pt>
              </strCache>
            </strRef>
          </tx>
          <spPr>
            <a:ln xmlns:a="http://schemas.openxmlformats.org/drawingml/2006/main">
              <a:solidFill>
                <a:srgbClr val="C00000"/>
              </a:solidFill>
              <a:prstDash val="solid"/>
            </a:ln>
          </spPr>
          <marker>
            <symbol val="none"/>
            <spPr>
              <a:ln xmlns:a="http://schemas.openxmlformats.org/drawingml/2006/main">
                <a:prstDash val="solid"/>
              </a:ln>
            </spPr>
          </marker>
          <val>
            <numRef>
              <f>'Метрики и прогноз'!$C$48:$C$53</f>
              <numCache>
                <formatCode>0%</formatCode>
                <ptCount val="6"/>
                <pt idx="0">
                  <v>0.3076923076923077</v>
                </pt>
                <pt idx="1">
                  <v>0.5384615384615384</v>
                </pt>
                <pt idx="2">
                  <v>0.7692307692307693</v>
                </pt>
                <pt idx="3">
                  <v>0.9230769230769231</v>
                </pt>
                <pt idx="4">
                  <v>1</v>
                </pt>
                <pt idx="5">
                  <v>1</v>
                </pt>
              </numCache>
            </numRef>
          </val>
          <smooth val="1"/>
        </ser>
        <dLbls>
          <showLegendKey val="0"/>
          <showVal val="0"/>
          <showCatName val="0"/>
          <showSerName val="0"/>
          <showPercent val="0"/>
          <showBubbleSize val="0"/>
        </dLbls>
        <marker val="1"/>
        <smooth val="0"/>
        <axId val="10"/>
        <axId val="2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valAx>
        <axId val="200"/>
        <scaling>
          <orientation val="minMax"/>
        </scaling>
        <delete val="1"/>
        <axPos val="r"/>
        <majorGridlines/>
        <numFmt formatCode="0%" sourceLinked="0"/>
        <majorTickMark val="none"/>
        <minorTickMark val="none"/>
        <tickLblPos val="nextTo"/>
        <crossAx val="10"/>
        <crosses val="max"/>
        <crossBetween val="between"/>
      </valAx>
    </plotArea>
    <legend>
      <legendPos val="r"/>
      <overlay val="1"/>
    </legend>
    <plotVisOnly val="1"/>
    <dispBlanksAs val="gap"/>
  </chart>
</chartSpace>
</file>

<file path=xl/charts/chart2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Нагрузка по ролям: ёмкость </a:t>
            </a:r>
            <a:r>
              <a:rPr lang="en-US"/>
              <a:t xml:space="preserve">vs </a:t>
            </a:r>
            <a:r>
              <a:rPr lang="ru-RU"/>
              <a:t>спрос</a:t>
            </a:r>
          </a:p>
        </rich>
      </tx>
      <overlay val="0"/>
    </title>
    <plotArea>
      <layout/>
      <radarChart>
        <radarStyle val="filled"/>
        <varyColors val="1"/>
        <ser>
          <idx val="0"/>
          <order val="0"/>
          <tx>
            <strRef>
              <f>'Ёмкость на горизонт'!$B$11</f>
              <strCache>
                <ptCount val="1"/>
                <pt idx="0">
                  <v>Ёмкость (дн)</v>
                </pt>
              </strCache>
            </strRef>
          </tx>
          <spPr>
            <a:ln xmlns:a="http://schemas.openxmlformats.org/drawingml/2006/main">
              <a:prstDash val="solid"/>
            </a:ln>
          </spPr>
          <marker>
            <symbol val="none"/>
            <spPr>
              <a:ln xmlns:a="http://schemas.openxmlformats.org/drawingml/2006/main">
                <a:prstDash val="solid"/>
              </a:ln>
            </spPr>
          </marker>
          <cat>
            <strRef>
              <f>'Ёмкость на горизонт'!$A$12:$A$17</f>
              <strCache>
                <ptCount val="6"/>
                <pt idx="0">
                  <v>Backend</v>
                </pt>
                <pt idx="1">
                  <v>Frontend</v>
                </pt>
                <pt idx="2">
                  <v>QA</v>
                </pt>
                <pt idx="3">
                  <v>DevOps</v>
                </pt>
                <pt idx="4">
                  <v>Analyst</v>
                </pt>
                <pt idx="5">
                  <v>Designer</v>
                </pt>
              </strCache>
            </strRef>
          </cat>
          <val>
            <numRef>
              <f>'Ёмкость на горизонт'!$B$12:$B$17</f>
              <numCache>
                <formatCode>#\ ##0.0</formatCode>
                <ptCount val="6"/>
                <pt idx="0">
                  <v>339.9999999999999</v>
                </pt>
                <pt idx="1">
                  <v>258.3999999999999</v>
                </pt>
                <pt idx="2">
                  <v>155.52</v>
                </pt>
                <pt idx="3">
                  <v>69.11999999999999</v>
                </pt>
                <pt idx="4">
                  <v>127.6</v>
                </pt>
                <pt idx="5">
                  <v>69.11999999999999</v>
                </pt>
              </numCache>
            </numRef>
          </val>
        </ser>
        <ser>
          <idx val="1"/>
          <order val="1"/>
          <tx>
            <strRef>
              <f>'Ёмкость на горизонт'!$C$11</f>
              <strCache>
                <ptCount val="1"/>
                <pt idx="0">
                  <v>Спрос (дн)</v>
                </pt>
              </strCache>
            </strRef>
          </tx>
          <spPr>
            <a:ln xmlns:a="http://schemas.openxmlformats.org/drawingml/2006/main">
              <a:prstDash val="solid"/>
            </a:ln>
          </spPr>
          <marker>
            <symbol val="none"/>
            <spPr>
              <a:ln xmlns:a="http://schemas.openxmlformats.org/drawingml/2006/main">
                <a:prstDash val="solid"/>
              </a:ln>
            </spPr>
          </marker>
          <cat>
            <strRef>
              <f>'Ёмкость на горизонт'!$A$12:$A$17</f>
              <strCache>
                <ptCount val="6"/>
                <pt idx="0">
                  <v>Backend</v>
                </pt>
                <pt idx="1">
                  <v>Frontend</v>
                </pt>
                <pt idx="2">
                  <v>QA</v>
                </pt>
                <pt idx="3">
                  <v>DevOps</v>
                </pt>
                <pt idx="4">
                  <v>Analyst</v>
                </pt>
                <pt idx="5">
                  <v>Designer</v>
                </pt>
              </strCache>
            </strRef>
          </cat>
          <val>
            <numRef>
              <f>'Ёмкость на горизонт'!$C$12:$C$17</f>
              <numCache>
                <formatCode>#\ ##0.0</formatCode>
                <ptCount val="6"/>
                <pt idx="0">
                  <v>35</v>
                </pt>
                <pt idx="1">
                  <v>29</v>
                </pt>
                <pt idx="2">
                  <v>20</v>
                </pt>
                <pt idx="3">
                  <v>7</v>
                </pt>
                <pt idx="4">
                  <v>11</v>
                </pt>
                <pt idx="5">
                  <v>5</v>
                </pt>
              </numCache>
            </numRef>
          </val>
        </ser>
        <dLbls>
          <showLegendKey val="0"/>
          <showVal val="0"/>
          <showCatName val="0"/>
          <showSerName val="0"/>
          <showPercent val="0"/>
          <showBubbleSize val="0"/>
        </dLbls>
        <axId val="10"/>
        <axId val="100"/>
      </rad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numFmt formatCode="#\ ##0.0" sourceLinked="1"/>
        <majorTickMark val="none"/>
        <minorTickMark val="none"/>
        <tickLblPos val="nextTo"/>
        <crossAx val="10"/>
        <crosses val="autoZero"/>
        <crossBetween val="between"/>
      </valAx>
    </plotArea>
    <legend>
      <legendPos val="r"/>
      <overlay val="1"/>
    </legend>
    <plotVisOnly val="1"/>
    <dispBlanksAs val="gap"/>
  </chart>
</chartSpace>
</file>

<file path=xl/charts/chart3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Burn-up </a:t>
            </a:r>
            <a:r>
              <a:rPr lang="ru-RU"/>
              <a:t>к релизу</a:t>
            </a:r>
          </a:p>
        </rich>
      </tx>
      <overlay val="0"/>
    </title>
    <plotArea>
      <layout/>
      <lineChart>
        <grouping val="standard"/>
        <varyColors val="1"/>
        <ser>
          <idx val="0"/>
          <order val="0"/>
          <tx>
            <strRef>
              <f>'Метрики и прогноз'!$F$18</f>
              <strCache>
                <ptCount val="1"/>
                <pt idx="0">
                  <v>Сделано (накопл.)</v>
                </pt>
              </strCache>
            </strRef>
          </tx>
          <spPr>
            <a:ln xmlns:a="http://schemas.openxmlformats.org/drawingml/2006/main" w="26000">
              <a:solidFill>
                <a:srgbClr val="70AD47"/>
              </a:solidFill>
              <a:prstDash val="solid"/>
            </a:ln>
          </spPr>
          <marker>
            <symbol val="none"/>
            <spPr>
              <a:ln xmlns:a="http://schemas.openxmlformats.org/drawingml/2006/main">
                <a:prstDash val="solid"/>
              </a:ln>
            </spPr>
          </marker>
          <cat>
            <numRef>
              <f>'Метрики и прогноз'!$E$19:$E$29</f>
              <numCache>
                <formatCode>#\ ##0.0</formatCode>
                <ptCount val="11"/>
                <pt idx="0">
                  <v>1</v>
                </pt>
                <pt idx="1">
                  <v>2</v>
                </pt>
                <pt idx="2">
                  <v>3</v>
                </pt>
                <pt idx="3">
                  <v>4</v>
                </pt>
                <pt idx="4">
                  <v>5</v>
                </pt>
                <pt idx="5">
                  <v>6</v>
                </pt>
                <pt idx="6">
                  <v>7</v>
                </pt>
                <pt idx="7">
                  <v>8</v>
                </pt>
                <pt idx="8">
                  <v>9</v>
                </pt>
                <pt idx="9">
                  <v>10</v>
                </pt>
                <pt idx="10">
                  <v>11</v>
                </pt>
              </numCache>
            </numRef>
          </cat>
          <val>
            <numRef>
              <f>'Метрики и прогноз'!$F$19:$F$29</f>
              <numCache>
                <formatCode>#\ ##0.0</formatCode>
                <ptCount val="11"/>
                <pt idx="0">
                  <v>17</v>
                </pt>
                <pt idx="1">
                  <v>38</v>
                </pt>
                <pt idx="2">
                  <v>38</v>
                </pt>
                <pt idx="3">
                  <v>38</v>
                </pt>
                <pt idx="4">
                  <v>38</v>
                </pt>
                <pt idx="5">
                  <v>38</v>
                </pt>
                <pt idx="6">
                  <v>38</v>
                </pt>
                <pt idx="7">
                  <v>38</v>
                </pt>
                <pt idx="8">
                  <v>38</v>
                </pt>
                <pt idx="9">
                  <v>38</v>
                </pt>
                <pt idx="10">
                  <v>38</v>
                </pt>
              </numCache>
            </numRef>
          </val>
          <smooth val="1"/>
        </ser>
        <ser>
          <idx val="1"/>
          <order val="1"/>
          <tx>
            <strRef>
              <f>'Метрики и прогноз'!$G$18</f>
              <strCache>
                <ptCount val="1"/>
                <pt idx="0">
                  <v>Объём (scope)</v>
                </pt>
              </strCache>
            </strRef>
          </tx>
          <spPr>
            <a:ln xmlns:a="http://schemas.openxmlformats.org/drawingml/2006/main">
              <a:solidFill>
                <a:srgbClr val="C00000"/>
              </a:solidFill>
              <a:prstDash val="dash"/>
            </a:ln>
          </spPr>
          <marker>
            <symbol val="none"/>
            <spPr>
              <a:ln xmlns:a="http://schemas.openxmlformats.org/drawingml/2006/main">
                <a:prstDash val="solid"/>
              </a:ln>
            </spPr>
          </marker>
          <cat>
            <numRef>
              <f>'Метрики и прогноз'!$E$19:$E$29</f>
              <numCache>
                <formatCode>#\ ##0.0</formatCode>
                <ptCount val="11"/>
                <pt idx="0">
                  <v>1</v>
                </pt>
                <pt idx="1">
                  <v>2</v>
                </pt>
                <pt idx="2">
                  <v>3</v>
                </pt>
                <pt idx="3">
                  <v>4</v>
                </pt>
                <pt idx="4">
                  <v>5</v>
                </pt>
                <pt idx="5">
                  <v>6</v>
                </pt>
                <pt idx="6">
                  <v>7</v>
                </pt>
                <pt idx="7">
                  <v>8</v>
                </pt>
                <pt idx="8">
                  <v>9</v>
                </pt>
                <pt idx="9">
                  <v>10</v>
                </pt>
                <pt idx="10">
                  <v>11</v>
                </pt>
              </numCache>
            </numRef>
          </cat>
          <val>
            <numRef>
              <f>'Метрики и прогноз'!$G$19:$G$29</f>
              <numCache>
                <formatCode>#\ ##0.0</formatCode>
                <ptCount val="11"/>
                <pt idx="0">
                  <v>107</v>
                </pt>
                <pt idx="1">
                  <v>107</v>
                </pt>
                <pt idx="2">
                  <v>107</v>
                </pt>
                <pt idx="3">
                  <v>107</v>
                </pt>
                <pt idx="4">
                  <v>107</v>
                </pt>
                <pt idx="5">
                  <v>107</v>
                </pt>
                <pt idx="6">
                  <v>107</v>
                </pt>
                <pt idx="7">
                  <v>107</v>
                </pt>
                <pt idx="8">
                  <v>107</v>
                </pt>
                <pt idx="9">
                  <v>107</v>
                </pt>
                <pt idx="10">
                  <v>107</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 ##0.0"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3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Cycle time (</a:t>
            </a:r>
            <a:r>
              <a:rPr lang="ru-RU"/>
              <a:t>контрольная карта)</a:t>
            </a:r>
          </a:p>
        </rich>
      </tx>
      <overlay val="0"/>
    </title>
    <plotArea>
      <layout/>
      <lineChart>
        <grouping val="standard"/>
        <varyColors val="1"/>
        <ser>
          <idx val="0"/>
          <order val="0"/>
          <tx>
            <strRef>
              <f>'Cycle time'!$G$9</f>
              <strCache>
                <ptCount val="1"/>
                <pt idx="0">
                  <v>Cycle (дн)</v>
                </pt>
              </strCache>
            </strRef>
          </tx>
          <spPr>
            <a:ln xmlns:a="http://schemas.openxmlformats.org/drawingml/2006/main" w="20000">
              <a:solidFill>
                <a:srgbClr val="4472C4"/>
              </a:solidFill>
              <a:prstDash val="solid"/>
            </a:ln>
          </spPr>
          <marker>
            <symbol val="circle"/>
            <size val="7"/>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time'!$G$10:$G$29</f>
              <numCache>
                <formatCode>General</formatCode>
                <ptCount val="20"/>
                <pt idx="0">
                  <v>3</v>
                </pt>
                <pt idx="1">
                  <v>8</v>
                </pt>
                <pt idx="2">
                  <v>2</v>
                </pt>
                <pt idx="3">
                  <v>#N/A</v>
                </pt>
                <pt idx="4">
                  <v>7</v>
                </pt>
                <pt idx="5">
                  <v>2</v>
                </pt>
                <pt idx="6">
                  <v>7</v>
                </pt>
                <pt idx="7">
                  <v>8</v>
                </pt>
                <pt idx="8">
                  <v>#N/A</v>
                </pt>
                <pt idx="9">
                  <v>#N/A</v>
                </pt>
                <pt idx="10">
                  <v>#N/A</v>
                </pt>
                <pt idx="11">
                  <v>#N/A</v>
                </pt>
                <pt idx="12">
                  <v>#N/A</v>
                </pt>
                <pt idx="13">
                  <v>#N/A</v>
                </pt>
                <pt idx="14">
                  <v>#N/A</v>
                </pt>
                <pt idx="15">
                  <v>#N/A</v>
                </pt>
                <pt idx="16">
                  <v>#N/A</v>
                </pt>
                <pt idx="17">
                  <v>#N/A</v>
                </pt>
                <pt idx="18">
                  <v>#N/A</v>
                </pt>
                <pt idx="19">
                  <v>#N/A</v>
                </pt>
              </numCache>
            </numRef>
          </val>
          <smooth val="1"/>
        </ser>
        <ser>
          <idx val="1"/>
          <order val="1"/>
          <tx>
            <strRef>
              <f>'Cycle time'!$C$9</f>
              <strCache>
                <ptCount val="1"/>
                <pt idx="0">
                  <v>CL</v>
                </pt>
              </strCache>
            </strRef>
          </tx>
          <spPr>
            <a:ln xmlns:a="http://schemas.openxmlformats.org/drawingml/2006/main" w="18000">
              <a:solidFill>
                <a:srgbClr val="000000"/>
              </a:solidFill>
              <a:prstDash val="solid"/>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time'!$C$10:$C$29</f>
              <numCache>
                <formatCode>General</formatCode>
                <ptCount val="20"/>
                <pt idx="0">
                  <v>5.285714285714286</v>
                </pt>
                <pt idx="1">
                  <v>5.285714285714286</v>
                </pt>
                <pt idx="2">
                  <v>5.285714285714286</v>
                </pt>
                <pt idx="3">
                  <v>5.285714285714286</v>
                </pt>
                <pt idx="4">
                  <v>5.285714285714286</v>
                </pt>
                <pt idx="5">
                  <v>5.285714285714286</v>
                </pt>
                <pt idx="6">
                  <v>5.285714285714286</v>
                </pt>
                <pt idx="7">
                  <v>5.285714285714286</v>
                </pt>
                <pt idx="8">
                  <v>5.285714285714286</v>
                </pt>
                <pt idx="9">
                  <v>5.285714285714286</v>
                </pt>
                <pt idx="10">
                  <v>5.285714285714286</v>
                </pt>
                <pt idx="11">
                  <v>5.285714285714286</v>
                </pt>
                <pt idx="12">
                  <v>5.285714285714286</v>
                </pt>
                <pt idx="13">
                  <v>5.285714285714286</v>
                </pt>
                <pt idx="14">
                  <v>5.285714285714286</v>
                </pt>
                <pt idx="15">
                  <v>5.285714285714286</v>
                </pt>
                <pt idx="16">
                  <v>5.285714285714286</v>
                </pt>
                <pt idx="17">
                  <v>5.285714285714286</v>
                </pt>
                <pt idx="18">
                  <v>5.285714285714286</v>
                </pt>
                <pt idx="19">
                  <v>5.285714285714286</v>
                </pt>
              </numCache>
            </numRef>
          </val>
          <smooth val="1"/>
        </ser>
        <ser>
          <idx val="2"/>
          <order val="2"/>
          <tx>
            <strRef>
              <f>'Cycle time'!$D$9</f>
              <strCache>
                <ptCount val="1"/>
                <pt idx="0">
                  <v>UCL</v>
                </pt>
              </strCache>
            </strRef>
          </tx>
          <spPr>
            <a:ln xmlns:a="http://schemas.openxmlformats.org/drawingml/2006/main">
              <a:solidFill>
                <a:srgbClr val="C00000"/>
              </a:solidFill>
              <a:prstDash val="dash"/>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time'!$D$10:$D$29</f>
              <numCache>
                <formatCode>General</formatCode>
                <ptCount val="20"/>
                <pt idx="0">
                  <v>13.72033681092886</v>
                </pt>
                <pt idx="1">
                  <v>13.72033681092886</v>
                </pt>
                <pt idx="2">
                  <v>13.72033681092886</v>
                </pt>
                <pt idx="3">
                  <v>13.72033681092886</v>
                </pt>
                <pt idx="4">
                  <v>13.72033681092886</v>
                </pt>
                <pt idx="5">
                  <v>13.72033681092886</v>
                </pt>
                <pt idx="6">
                  <v>13.72033681092886</v>
                </pt>
                <pt idx="7">
                  <v>13.72033681092886</v>
                </pt>
                <pt idx="8">
                  <v>13.72033681092886</v>
                </pt>
                <pt idx="9">
                  <v>13.72033681092886</v>
                </pt>
                <pt idx="10">
                  <v>13.72033681092886</v>
                </pt>
                <pt idx="11">
                  <v>13.72033681092886</v>
                </pt>
                <pt idx="12">
                  <v>13.72033681092886</v>
                </pt>
                <pt idx="13">
                  <v>13.72033681092886</v>
                </pt>
                <pt idx="14">
                  <v>13.72033681092886</v>
                </pt>
                <pt idx="15">
                  <v>13.72033681092886</v>
                </pt>
                <pt idx="16">
                  <v>13.72033681092886</v>
                </pt>
                <pt idx="17">
                  <v>13.72033681092886</v>
                </pt>
                <pt idx="18">
                  <v>13.72033681092886</v>
                </pt>
                <pt idx="19">
                  <v>13.72033681092886</v>
                </pt>
              </numCache>
            </numRef>
          </val>
          <smooth val="1"/>
        </ser>
        <ser>
          <idx val="3"/>
          <order val="3"/>
          <tx>
            <strRef>
              <f>'Cycle time'!$E$9</f>
              <strCache>
                <ptCount val="1"/>
                <pt idx="0">
                  <v>LCL</v>
                </pt>
              </strCache>
            </strRef>
          </tx>
          <spPr>
            <a:ln xmlns:a="http://schemas.openxmlformats.org/drawingml/2006/main">
              <a:solidFill>
                <a:srgbClr val="C00000"/>
              </a:solidFill>
              <a:prstDash val="dash"/>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time'!$E$10:$E$29</f>
              <numCache>
                <formatCode>General</formatCode>
                <ptCount val="20"/>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0"/>
    <dispBlanksAs val="gap"/>
  </chart>
</chartSpace>
</file>

<file path=xl/charts/chart3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Матрица рисков (Вероятность × Влияние)</a:t>
            </a:r>
          </a:p>
        </rich>
      </tx>
      <overlay val="0"/>
    </title>
    <plotArea>
      <layout/>
      <scatterChart>
        <scatterStyle val="lineMarker"/>
        <varyColors val="1"/>
        <ser>
          <idx val="0"/>
          <order val="0"/>
          <tx>
            <v>Риски</v>
          </tx>
          <spPr>
            <a:ln xmlns:a="http://schemas.openxmlformats.org/drawingml/2006/main">
              <a:noFill/>
              <a:prstDash val="solid"/>
            </a:ln>
          </spPr>
          <marker>
            <symbol val="circle"/>
            <size val="9"/>
            <spPr>
              <a:ln xmlns:a="http://schemas.openxmlformats.org/drawingml/2006/main">
                <a:prstDash val="solid"/>
              </a:ln>
            </spPr>
          </marker>
          <xVal>
            <numRef>
              <f>Риски!$C$5:$C$8</f>
              <numCache>
                <formatCode>General</formatCode>
                <ptCount val="4"/>
                <pt idx="0">
                  <v>4</v>
                </pt>
                <pt idx="1">
                  <v>5</v>
                </pt>
                <pt idx="2">
                  <v>3</v>
                </pt>
                <pt idx="3">
                  <v>2</v>
                </pt>
              </numCache>
            </numRef>
          </xVal>
          <yVal>
            <numRef>
              <f>Риски!$D$5:$D$8</f>
              <numCache>
                <formatCode>General</formatCode>
                <ptCount val="4"/>
                <pt idx="0">
                  <v>5</v>
                </pt>
                <pt idx="1">
                  <v>3</v>
                </pt>
                <pt idx="2">
                  <v>4</v>
                </pt>
                <pt idx="3">
                  <v>4</v>
                </pt>
              </numCache>
            </numRef>
          </yVal>
          <smooth val="1"/>
        </ser>
        <dLbls>
          <showLegendKey val="0"/>
          <showVal val="0"/>
          <showCatName val="0"/>
          <showSerName val="0"/>
          <showPercent val="0"/>
          <showBubbleSize val="0"/>
        </dLbls>
        <axId val="10"/>
        <axId val="20"/>
      </scatterChart>
      <valAx>
        <axId val="10"/>
        <scaling>
          <orientation val="minMax"/>
          <max val="5"/>
          <min val="0"/>
        </scaling>
        <delete val="0"/>
        <axPos val="b"/>
        <majorGridlines/>
        <title>
          <tx>
            <rich>
              <a:bodyPr xmlns:a="http://schemas.openxmlformats.org/drawingml/2006/main"/>
              <a:lstStyle xmlns:a="http://schemas.openxmlformats.org/drawingml/2006/main"/>
              <a:p xmlns:a="http://schemas.openxmlformats.org/drawingml/2006/main">
                <a:pPr>
                  <a:defRPr/>
                </a:pPr>
                <a:r>
                  <a:rPr lang="ru-RU"/>
                  <a:t>Вероятность</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20"/>
        <crosses val="autoZero"/>
        <crossBetween val="midCat"/>
      </valAx>
      <valAx>
        <axId val="20"/>
        <scaling>
          <orientation val="minMax"/>
          <max val="5"/>
          <min val="0"/>
        </scaling>
        <delete val="0"/>
        <axPos val="l"/>
        <majorGridlines/>
        <title>
          <tx>
            <rich>
              <a:bodyPr xmlns:a="http://schemas.openxmlformats.org/drawingml/2006/main"/>
              <a:lstStyle xmlns:a="http://schemas.openxmlformats.org/drawingml/2006/main"/>
              <a:p xmlns:a="http://schemas.openxmlformats.org/drawingml/2006/main">
                <a:pPr>
                  <a:defRPr/>
                </a:pPr>
                <a:r>
                  <a:rPr lang="ru-RU"/>
                  <a:t>Влияние</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midCat"/>
      </valAx>
    </plotArea>
    <legend>
      <legendPos val="r"/>
      <overlay val="0"/>
    </legend>
    <plotVisOnly val="1"/>
    <dispBlanksAs val="gap"/>
  </chart>
</chartSpace>
</file>

<file path=xl/charts/chart3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Риски по баллу (Вероятность × Влияние)</a:t>
            </a:r>
          </a:p>
        </rich>
      </tx>
      <overlay val="0"/>
    </title>
    <plotArea>
      <layout/>
      <barChart>
        <barDir val="bar"/>
        <grouping val="clustered"/>
        <varyColors val="1"/>
        <ser>
          <idx val="0"/>
          <order val="0"/>
          <tx>
            <strRef>
              <f>'Матрица рисков'!$E$4</f>
              <strCache>
                <ptCount val="1"/>
                <pt idx="0">
                  <v>Балл</v>
                </pt>
              </strCache>
            </strRef>
          </tx>
          <spPr>
            <a:solidFill xmlns:a="http://schemas.openxmlformats.org/drawingml/2006/main">
              <a:srgbClr val="C00000"/>
            </a:solidFill>
            <a:ln xmlns:a="http://schemas.openxmlformats.org/drawingml/2006/main">
              <a:prstDash val="solid"/>
            </a:ln>
          </spPr>
          <invertIfNegative val="1"/>
          <cat>
            <strRef>
              <f>'Матрица рисков'!$B$5:$B$8</f>
              <strCache>
                <ptCount val="4"/>
                <pt idx="0">
                  <v>Зависимость от внешнего API оплаты</v>
                </pt>
                <pt idx="1">
                  <v>Отпуска в декабре (Спринт 11)</v>
                </pt>
                <pt idx="2">
                  <v>Недооценка интеграции</v>
                </pt>
                <pt idx="3">
                  <v>Текучесть в QA</v>
                </pt>
              </strCache>
            </strRef>
          </cat>
          <val>
            <numRef>
              <f>'Матрица рисков'!$E$5:$E$8</f>
              <numCache>
                <formatCode>General</formatCode>
                <ptCount val="4"/>
                <pt idx="0">
                  <v>20</v>
                </pt>
                <pt idx="1">
                  <v>15</v>
                </pt>
                <pt idx="2">
                  <v>12</v>
                </pt>
                <pt idx="3">
                  <v>8</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General" sourceLinked="1"/>
        <majorTickMark val="none"/>
        <minorTickMark val="none"/>
        <tickLblPos val="nextTo"/>
        <crossAx val="10"/>
        <crosses val="autoZero"/>
        <crossBetween val="between"/>
      </valAx>
    </plotArea>
    <plotVisOnly val="1"/>
    <dispBlanksAs val="gap"/>
  </chart>
</chartSpace>
</file>

<file path=xl/charts/chart3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Дней по исполнителям</a:t>
            </a:r>
          </a:p>
        </rich>
      </tx>
      <overlay val="0"/>
    </title>
    <plotArea>
      <layout/>
      <barChart>
        <barDir val="bar"/>
        <grouping val="clustered"/>
        <varyColors val="1"/>
        <ser>
          <idx val="0"/>
          <order val="0"/>
          <tx>
            <strRef>
              <f>Распределение!$C$4</f>
              <strCache>
                <ptCount val="1"/>
                <pt idx="0">
                  <v>Дней</v>
                </pt>
              </strCache>
            </strRef>
          </tx>
          <spPr>
            <a:solidFill xmlns:a="http://schemas.openxmlformats.org/drawingml/2006/main">
              <a:srgbClr val="8EAADB"/>
            </a:solidFill>
            <a:ln xmlns:a="http://schemas.openxmlformats.org/drawingml/2006/main">
              <a:prstDash val="solid"/>
            </a:ln>
          </spPr>
          <invertIfNegative val="1"/>
          <cat>
            <strRef>
              <f>Распределение!$A$5:$A$17</f>
              <strCache>
                <ptCount val="13"/>
                <pt idx="0">
                  <v>Иванов А.</v>
                </pt>
                <pt idx="1">
                  <v>Петрова М.</v>
                </pt>
                <pt idx="2">
                  <v>Сидоров К.</v>
                </pt>
                <pt idx="3">
                  <v>Кузнецов Д.</v>
                </pt>
                <pt idx="4">
                  <v>Орлова Е.</v>
                </pt>
                <pt idx="5">
                  <v>Смирнов П.</v>
                </pt>
                <pt idx="6">
                  <v>Волкова Н.</v>
                </pt>
                <pt idx="7">
                  <v>Морозов И.</v>
                </pt>
                <pt idx="8">
                  <v>Новиков А.</v>
                </pt>
                <pt idx="9">
                  <v>Фёдорова О.</v>
                </pt>
                <pt idx="10">
                  <v>Козлов В.</v>
                </pt>
                <pt idx="11">
                  <v>Лебедева Т.</v>
                </pt>
                <pt idx="12">
                  <v>Соколов Р.</v>
                </pt>
              </strCache>
            </strRef>
          </cat>
          <val>
            <numRef>
              <f>Распределение!$C$5:$C$17</f>
              <numCache>
                <formatCode>#\ ##0.0</formatCode>
                <ptCount val="13"/>
                <pt idx="0">
                  <v>5</v>
                </pt>
                <pt idx="1">
                  <v>0</v>
                </pt>
                <pt idx="2">
                  <v>5</v>
                </pt>
                <pt idx="3">
                  <v>3</v>
                </pt>
                <pt idx="4">
                  <v>3</v>
                </pt>
                <pt idx="5">
                  <v>0</v>
                </pt>
                <pt idx="6">
                  <v>8</v>
                </pt>
                <pt idx="7">
                  <v>0</v>
                </pt>
                <pt idx="8">
                  <v>0</v>
                </pt>
                <pt idx="9">
                  <v>0</v>
                </pt>
                <pt idx="10">
                  <v>0</v>
                </pt>
                <pt idx="11">
                  <v>0</v>
                </pt>
                <pt idx="12">
                  <v>5</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b"/>
        <majorGridlines/>
        <title>
          <tx>
            <rich>
              <a:bodyPr xmlns:a="http://schemas.openxmlformats.org/drawingml/2006/main"/>
              <a:lstStyle xmlns:a="http://schemas.openxmlformats.org/drawingml/2006/main"/>
              <a:p xmlns:a="http://schemas.openxmlformats.org/drawingml/2006/main">
                <a:pPr>
                  <a:defRPr/>
                </a:pPr>
                <a:r>
                  <a:rPr lang="ru-RU"/>
                  <a:t>Дней</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plotVisOnly val="1"/>
    <dispBlanksAs val="gap"/>
  </chart>
</chartSpace>
</file>

<file path=xl/charts/chart3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Time to Market по задачам (цель 15 дн, линия тренда)</a:t>
            </a:r>
          </a:p>
        </rich>
      </tx>
      <overlay val="0"/>
    </title>
    <plotArea>
      <layout/>
      <lineChart>
        <grouping val="standard"/>
        <varyColors val="1"/>
        <ser>
          <idx val="0"/>
          <order val="0"/>
          <tx>
            <strRef>
              <f>'Time to Market'!$F$6</f>
              <strCache>
                <ptCount val="1"/>
                <pt idx="0">
                  <v>TTM (дн)</v>
                </pt>
              </strCache>
            </strRef>
          </tx>
          <spPr>
            <a:ln xmlns:a="http://schemas.openxmlformats.org/drawingml/2006/main" w="22000">
              <a:solidFill>
                <a:srgbClr val="4472C4"/>
              </a:solidFill>
              <a:prstDash val="solid"/>
            </a:ln>
          </spPr>
          <marker>
            <symbol val="circle"/>
            <size val="7"/>
            <spPr>
              <a:ln xmlns:a="http://schemas.openxmlformats.org/drawingml/2006/main">
                <a:prstDash val="solid"/>
              </a:ln>
            </spPr>
          </marker>
          <trendline>
            <trendlineType val="linear"/>
            <dispRSqr val="1"/>
            <dispEq val="1"/>
            <trendlineLbl>
              <numFmt formatCode="General" sourceLinked="0"/>
            </trendlineLbl>
          </trendline>
          <cat>
            <strRef>
              <f>'Time to Market'!$A$7:$A$26</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'Time to Market'!$F$7:$F$26</f>
              <numCache>
                <formatCode>General</formatCode>
                <ptCount val="20"/>
                <pt idx="0">
                  <v>25</v>
                </pt>
                <pt idx="1">
                  <v>24</v>
                </pt>
                <pt idx="2">
                  <v>25</v>
                </pt>
                <pt idx="3">
                  <v>23</v>
                </pt>
                <pt idx="4">
                  <v>11</v>
                </pt>
                <pt idx="5">
                  <v>10</v>
                </pt>
                <pt idx="6">
                  <v>9</v>
                </pt>
                <pt idx="7">
                  <v>11</v>
                </pt>
                <pt idx="8">
                  <v>#N/A</v>
                </pt>
                <pt idx="9">
                  <v>23</v>
                </pt>
                <pt idx="10">
                  <v>#N/A</v>
                </pt>
                <pt idx="11">
                  <v>#N/A</v>
                </pt>
                <pt idx="12">
                  <v>24</v>
                </pt>
                <pt idx="13">
                  <v>#N/A</v>
                </pt>
                <pt idx="14">
                  <v>#N/A</v>
                </pt>
                <pt idx="15">
                  <v>#N/A</v>
                </pt>
                <pt idx="16">
                  <v>#N/A</v>
                </pt>
                <pt idx="17">
                  <v>#N/A</v>
                </pt>
                <pt idx="18">
                  <v>#N/A</v>
                </pt>
                <pt idx="19">
                  <v>#N/A</v>
                </pt>
              </numCache>
            </numRef>
          </val>
          <smooth val="1"/>
        </ser>
        <ser>
          <idx val="1"/>
          <order val="1"/>
          <tx>
            <strRef>
              <f>'Time to Market'!$E$6</f>
              <strCache>
                <ptCount val="1"/>
                <pt idx="0">
                  <v>Цель (дн)</v>
                </pt>
              </strCache>
            </strRef>
          </tx>
          <spPr>
            <a:ln xmlns:a="http://schemas.openxmlformats.org/drawingml/2006/main" w="24000">
              <a:solidFill>
                <a:srgbClr val="C00000"/>
              </a:solidFill>
              <a:prstDash val="dash"/>
            </a:ln>
          </spPr>
          <marker>
            <symbol val="none"/>
            <spPr>
              <a:ln xmlns:a="http://schemas.openxmlformats.org/drawingml/2006/main">
                <a:prstDash val="solid"/>
              </a:ln>
            </spPr>
          </marker>
          <cat>
            <strRef>
              <f>'Time to Market'!$A$7:$A$26</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'Time to Market'!$E$7:$E$26</f>
              <numCache>
                <formatCode>0</formatCode>
                <ptCount val="20"/>
                <pt idx="0">
                  <v>21</v>
                </pt>
                <pt idx="1">
                  <v>21</v>
                </pt>
                <pt idx="2">
                  <v>21</v>
                </pt>
                <pt idx="3">
                  <v>21</v>
                </pt>
                <pt idx="4">
                  <v>21</v>
                </pt>
                <pt idx="5">
                  <v>21</v>
                </pt>
                <pt idx="6">
                  <v>21</v>
                </pt>
                <pt idx="7">
                  <v>21</v>
                </pt>
                <pt idx="8">
                  <v>21</v>
                </pt>
                <pt idx="9">
                  <v>21</v>
                </pt>
                <pt idx="10">
                  <v>21</v>
                </pt>
                <pt idx="11">
                  <v>21</v>
                </pt>
                <pt idx="12">
                  <v>21</v>
                </pt>
                <pt idx="13">
                  <v>21</v>
                </pt>
                <pt idx="14">
                  <v>21</v>
                </pt>
                <pt idx="15">
                  <v>21</v>
                </pt>
                <pt idx="16">
                  <v>21</v>
                </pt>
                <pt idx="17">
                  <v>21</v>
                </pt>
                <pt idx="18">
                  <v>21</v>
                </pt>
                <pt idx="19">
                  <v>21</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0"/>
    <dispBlanksAs val="gap"/>
  </chart>
</chartSpace>
</file>

<file path=xl/charts/chart3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План </a:t>
            </a:r>
            <a:r>
              <a:rPr lang="en-US"/>
              <a:t xml:space="preserve">vs </a:t>
            </a:r>
            <a:r>
              <a:rPr lang="ru-RU"/>
              <a:t>Факт (</a:t>
            </a:r>
            <a:r>
              <a:rPr lang="en-US"/>
              <a:t>velocity)</a:t>
            </a:r>
          </a:p>
        </rich>
      </tx>
      <overlay val="0"/>
    </title>
    <plotArea>
      <layout/>
      <lineChart>
        <grouping val="standard"/>
        <varyColors val="1"/>
        <ser>
          <idx val="0"/>
          <order val="0"/>
          <tx>
            <strRef>
              <f>'Дорожная карта'!$G$5</f>
              <strCache>
                <ptCount val="1"/>
                <pt idx="0">
                  <v>План трудо-
ёмкости (дн)</v>
                </pt>
              </strCache>
            </strRef>
          </tx>
          <spPr>
            <a:ln xmlns:a="http://schemas.openxmlformats.org/drawingml/2006/main">
              <a:solidFill>
                <a:srgbClr val="8EAADB"/>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mooth val="1"/>
        </ser>
        <ser>
          <idx val="1"/>
          <order val="1"/>
          <tx>
            <strRef>
              <f>'Дорожная карта'!$I$5</f>
              <strCache>
                <ptCount val="1"/>
                <pt idx="0">
                  <v>Факт /
Velocity (дн)</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карта'!$I$6:$I$16</f>
              <numCache>
                <formatCode>#\ ##0.0</formatCode>
                <ptCount val="11"/>
                <pt idx="0">
                  <v>17</v>
                </pt>
                <pt idx="1">
                  <v>21</v>
                </pt>
                <pt idx="2">
                  <v>0</v>
                </pt>
                <pt idx="3">
                  <v>0</v>
                </pt>
                <pt idx="4">
                  <v>0</v>
                </pt>
                <pt idx="5">
                  <v>0</v>
                </pt>
                <pt idx="6">
                  <v>0</v>
                </pt>
                <pt idx="7">
                  <v>0</v>
                </pt>
                <pt idx="8">
                  <v>0</v>
                </pt>
                <pt idx="9">
                  <v>0</v>
                </pt>
                <pt idx="10">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3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Трудомощность </a:t>
            </a:r>
            <a:r>
              <a:rPr lang="en-US"/>
              <a:t xml:space="preserve">vs </a:t>
            </a:r>
            <a:r>
              <a:rPr lang="ru-RU"/>
              <a:t>План (дн)</a:t>
            </a:r>
          </a:p>
        </rich>
      </tx>
      <overlay val="0"/>
    </title>
    <plotArea>
      <layout/>
      <barChart>
        <barDir val="col"/>
        <grouping val="clustered"/>
        <varyColors val="1"/>
        <ser>
          <idx val="0"/>
          <order val="0"/>
          <tx>
            <strRef>
              <f>'Дорожная карта'!$F$5</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карта'!$F$6:$F$16</f>
              <numCache>
                <formatCode>#\ ##0.0</formatCode>
                <ptCount val="11"/>
                <pt idx="0">
                  <v>92.80000000000001</v>
                </pt>
                <pt idx="1">
                  <v>95.2</v>
                </pt>
                <pt idx="2">
                  <v>95.2</v>
                </pt>
                <pt idx="3">
                  <v>95.2</v>
                </pt>
                <pt idx="4">
                  <v>93.2</v>
                </pt>
                <pt idx="5">
                  <v>95.2</v>
                </pt>
                <pt idx="6">
                  <v>85.68000000000002</v>
                </pt>
                <pt idx="7">
                  <v>91.2</v>
                </pt>
                <pt idx="8">
                  <v>95.2</v>
                </pt>
                <pt idx="9">
                  <v>95.2</v>
                </pt>
                <pt idx="10">
                  <v>85.68000000000002</v>
                </pt>
              </numCache>
            </numRef>
          </val>
        </ser>
        <ser>
          <idx val="1"/>
          <order val="1"/>
          <tx>
            <strRef>
              <f>'Дорожная карта'!$G$5</f>
              <strCache>
                <ptCount val="1"/>
                <pt idx="0">
                  <v>План трудо-
ёмкости (дн)</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3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Трудомощность </a:t>
            </a:r>
            <a:r>
              <a:rPr lang="en-US"/>
              <a:t xml:space="preserve">vs </a:t>
            </a:r>
            <a:r>
              <a:rPr lang="ru-RU"/>
              <a:t>План (дни)</a:t>
            </a:r>
          </a:p>
        </rich>
      </tx>
      <overlay val="0"/>
    </title>
    <plotArea>
      <layout/>
      <barChart>
        <barDir val="col"/>
        <grouping val="clustered"/>
        <varyColors val="1"/>
        <ser>
          <idx val="0"/>
          <order val="0"/>
          <tx>
            <strRef>
              <f>'Дорожная карта'!$F$5</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карта'!$F$6:$F$16</f>
              <numCache>
                <formatCode>#\ ##0.0</formatCode>
                <ptCount val="11"/>
                <pt idx="0">
                  <v>92.80000000000001</v>
                </pt>
                <pt idx="1">
                  <v>95.2</v>
                </pt>
                <pt idx="2">
                  <v>95.2</v>
                </pt>
                <pt idx="3">
                  <v>95.2</v>
                </pt>
                <pt idx="4">
                  <v>93.2</v>
                </pt>
                <pt idx="5">
                  <v>95.2</v>
                </pt>
                <pt idx="6">
                  <v>85.68000000000002</v>
                </pt>
                <pt idx="7">
                  <v>91.2</v>
                </pt>
                <pt idx="8">
                  <v>95.2</v>
                </pt>
                <pt idx="9">
                  <v>95.2</v>
                </pt>
                <pt idx="10">
                  <v>85.68000000000002</v>
                </pt>
              </numCache>
            </numRef>
          </val>
        </ser>
        <ser>
          <idx val="1"/>
          <order val="1"/>
          <tx>
            <strRef>
              <f>'Дорожная карта'!$G$5</f>
              <strCache>
                <ptCount val="1"/>
                <pt idx="0">
                  <v>План трудо-
ёмкости (дн)</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3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План </a:t>
            </a:r>
            <a:r>
              <a:rPr lang="en-US"/>
              <a:t xml:space="preserve">vs </a:t>
            </a:r>
            <a:r>
              <a:rPr lang="ru-RU"/>
              <a:t>Факт (</a:t>
            </a:r>
            <a:r>
              <a:rPr lang="en-US"/>
              <a:t xml:space="preserve">velocity) </a:t>
            </a:r>
            <a:r>
              <a:rPr lang="ru-RU"/>
              <a:t>по спринтам</a:t>
            </a:r>
          </a:p>
        </rich>
      </tx>
      <overlay val="0"/>
    </title>
    <plotArea>
      <layout/>
      <lineChart>
        <grouping val="standard"/>
        <varyColors val="1"/>
        <ser>
          <idx val="0"/>
          <order val="0"/>
          <tx>
            <strRef>
              <f>'Дорожная карта'!$G$5</f>
              <strCache>
                <ptCount val="1"/>
                <pt idx="0">
                  <v>План трудо-
ёмкости (дн)</v>
                </pt>
              </strCache>
            </strRef>
          </tx>
          <spPr>
            <a:ln xmlns:a="http://schemas.openxmlformats.org/drawingml/2006/main">
              <a:solidFill>
                <a:srgbClr val="8EAADB"/>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mooth val="1"/>
        </ser>
        <ser>
          <idx val="1"/>
          <order val="1"/>
          <tx>
            <strRef>
              <f>'Дорожная карта'!$I$5</f>
              <strCache>
                <ptCount val="1"/>
                <pt idx="0">
                  <v>Факт /
Velocity (дн)</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карта'!$I$6:$I$16</f>
              <numCache>
                <formatCode>#\ ##0.0</formatCode>
                <ptCount val="11"/>
                <pt idx="0">
                  <v>17</v>
                </pt>
                <pt idx="1">
                  <v>21</v>
                </pt>
                <pt idx="2">
                  <v>0</v>
                </pt>
                <pt idx="3">
                  <v>0</v>
                </pt>
                <pt idx="4">
                  <v>0</v>
                </pt>
                <pt idx="5">
                  <v>0</v>
                </pt>
                <pt idx="6">
                  <v>0</v>
                </pt>
                <pt idx="7">
                  <v>0</v>
                </pt>
                <pt idx="8">
                  <v>0</v>
                </pt>
                <pt idx="9">
                  <v>0</v>
                </pt>
                <pt idx="10">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4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выполнения по спринтам (цвет по порогам, цель 100%)</a:t>
            </a:r>
          </a:p>
        </rich>
      </tx>
      <overlay val="0"/>
    </title>
    <plotArea>
      <layout/>
      <barChart>
        <barDir val="col"/>
        <grouping val="clustered"/>
        <varyColors val="1"/>
        <ser>
          <idx val="0"/>
          <order val="0"/>
          <tx>
            <strRef>
              <f>'Дорожная карта'!$AB$5</f>
              <strCache>
                <ptCount val="1"/>
                <pt idx="0">
                  <v>≥90%</v>
                </pt>
              </strCache>
            </strRef>
          </tx>
          <spPr>
            <a:solidFill xmlns:a="http://schemas.openxmlformats.org/drawingml/2006/main">
              <a:srgbClr val="70AD47"/>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карта'!$AB$6:$AB$16</f>
              <numCache>
                <formatCode>0%</formatCode>
                <ptCount val="11"/>
                <pt idx="0">
                  <v>#N/A</v>
                </pt>
                <pt idx="1">
                  <v>#N/A</v>
                </pt>
                <pt idx="2">
                  <v>#N/A</v>
                </pt>
                <pt idx="3">
                  <v>#N/A</v>
                </pt>
                <pt idx="4">
                  <v>#N/A</v>
                </pt>
                <pt idx="5">
                  <v>#N/A</v>
                </pt>
                <pt idx="6">
                  <v>#N/A</v>
                </pt>
                <pt idx="7">
                  <v>#N/A</v>
                </pt>
                <pt idx="8">
                  <v>#N/A</v>
                </pt>
                <pt idx="9">
                  <v>#N/A</v>
                </pt>
                <pt idx="10">
                  <v>#N/A</v>
                </pt>
              </numCache>
            </numRef>
          </val>
        </ser>
        <ser>
          <idx val="1"/>
          <order val="1"/>
          <tx>
            <strRef>
              <f>'Дорожная карта'!$AC$5</f>
              <strCache>
                <ptCount val="1"/>
                <pt idx="0">
                  <v>70–90%</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карта'!$AC$6:$AC$16</f>
              <numCache>
                <formatCode>0%</formatCode>
                <ptCount val="11"/>
                <pt idx="0">
                  <v>0.7727272727272727</v>
                </pt>
                <pt idx="1">
                  <v>0.875</v>
                </pt>
                <pt idx="2">
                  <v>#N/A</v>
                </pt>
                <pt idx="3">
                  <v>#N/A</v>
                </pt>
                <pt idx="4">
                  <v>#N/A</v>
                </pt>
                <pt idx="5">
                  <v>#N/A</v>
                </pt>
                <pt idx="6">
                  <v>#N/A</v>
                </pt>
                <pt idx="7">
                  <v>#N/A</v>
                </pt>
                <pt idx="8">
                  <v>#N/A</v>
                </pt>
                <pt idx="9">
                  <v>#N/A</v>
                </pt>
                <pt idx="10">
                  <v>#N/A</v>
                </pt>
              </numCache>
            </numRef>
          </val>
        </ser>
        <ser>
          <idx val="2"/>
          <order val="2"/>
          <tx>
            <strRef>
              <f>'Дорожная карта'!$AD$5</f>
              <strCache>
                <ptCount val="1"/>
                <pt idx="0">
                  <v>&lt;70%</v>
                </pt>
              </strCache>
            </strRef>
          </tx>
          <spPr>
            <a:solidFill xmlns:a="http://schemas.openxmlformats.org/drawingml/2006/main">
              <a:srgbClr val="C00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карта'!$AD$6:$AD$16</f>
              <numCache>
                <formatCode>0%</formatCode>
                <ptCount val="11"/>
                <pt idx="0">
                  <v>#N/A</v>
                </pt>
                <pt idx="1">
                  <v>#N/A</v>
                </pt>
                <pt idx="2">
                  <v>#N/A</v>
                </pt>
                <pt idx="3">
                  <v>#N/A</v>
                </pt>
                <pt idx="4">
                  <v>#N/A</v>
                </pt>
                <pt idx="5">
                  <v>#N/A</v>
                </pt>
                <pt idx="6">
                  <v>#N/A</v>
                </pt>
                <pt idx="7">
                  <v>#N/A</v>
                </pt>
                <pt idx="8">
                  <v>#N/A</v>
                </pt>
                <pt idx="9">
                  <v>#N/A</v>
                </pt>
                <pt idx="10">
                  <v>#N/A</v>
                </pt>
              </numCache>
            </numRef>
          </val>
        </ser>
        <dLbls>
          <showLegendKey val="0"/>
          <showVal val="0"/>
          <showCatName val="0"/>
          <showSerName val="0"/>
          <showPercent val="0"/>
          <showBubbleSize val="0"/>
        </dLbls>
        <gapWidth val="60"/>
        <overlap val="100"/>
        <axId val="10"/>
        <axId val="100"/>
      </barChart>
      <lineChart>
        <grouping val="standard"/>
        <varyColors val="1"/>
        <ser>
          <idx val="3"/>
          <order val="3"/>
          <tx>
            <strRef>
              <f>'Дорожная карта'!$AE$5</f>
              <strCache>
                <ptCount val="1"/>
                <pt idx="0">
                  <v>Цель 100%</v>
                </pt>
              </strCache>
            </strRef>
          </tx>
          <spPr>
            <a:ln xmlns:a="http://schemas.openxmlformats.org/drawingml/2006/main" w="38100">
              <a:solidFill>
                <a:srgbClr val="404040"/>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карта'!$AE$6:$AE$16</f>
              <numCache>
                <formatCode>0%</formatCode>
                <ptCount val="11"/>
                <pt idx="0">
                  <v>1</v>
                </pt>
                <pt idx="1">
                  <v>1</v>
                </pt>
                <pt idx="2">
                  <v>1</v>
                </pt>
                <pt idx="3">
                  <v>1</v>
                </pt>
                <pt idx="4">
                  <v>1</v>
                </pt>
                <pt idx="5">
                  <v>1</v>
                </pt>
                <pt idx="6">
                  <v>1</v>
                </pt>
                <pt idx="7">
                  <v>1</v>
                </pt>
                <pt idx="8">
                  <v>1</v>
                </pt>
                <pt idx="9">
                  <v>1</v>
                </pt>
                <pt idx="10">
                  <v>1</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max val="1.1"/>
          <min val="0"/>
        </scaling>
        <delete val="0"/>
        <axPos val="l"/>
        <majorGridlines/>
        <title>
          <tx>
            <rich>
              <a:bodyPr xmlns:a="http://schemas.openxmlformats.org/drawingml/2006/main"/>
              <a:lstStyle xmlns:a="http://schemas.openxmlformats.org/drawingml/2006/main"/>
              <a:p xmlns:a="http://schemas.openxmlformats.org/drawingml/2006/main">
                <a:pPr>
                  <a:defRPr/>
                </a:pPr>
                <a:r>
                  <a:rPr lang="ru-RU"/>
                  <a:t>% выполнения</a:t>
                </a:r>
              </a:p>
            </rich>
          </tx>
          <overlay val="1"/>
        </title>
        <numFmt formatCode="0%" sourceLinked="0"/>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0"/>
    <dispBlanksAs val="gap"/>
  </chart>
</chartSpace>
</file>

<file path=xl/charts/chart4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Ёмкость / План / Факт по кварталам</a:t>
            </a:r>
          </a:p>
        </rich>
      </tx>
      <overlay val="0"/>
    </title>
    <plotArea>
      <layout/>
      <barChart>
        <barDir val="col"/>
        <grouping val="clustered"/>
        <varyColors val="1"/>
        <ser>
          <idx val="0"/>
          <order val="0"/>
          <tx>
            <strRef>
              <f>Кварталы!$C$4</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Кварталы!$C$5:$C$7</f>
              <numCache>
                <formatCode>#\ ##0.0</formatCode>
                <ptCount val="3"/>
                <pt idx="0">
                  <v>471.6</v>
                </pt>
                <pt idx="1">
                  <v>548.1600000000001</v>
                </pt>
                <pt idx="2">
                  <v>0</v>
                </pt>
              </numCache>
            </numRef>
          </val>
        </ser>
        <ser>
          <idx val="1"/>
          <order val="1"/>
          <tx>
            <strRef>
              <f>Кварталы!$D$4</f>
              <strCache>
                <ptCount val="1"/>
                <pt idx="0">
                  <v>План
(дн)</v>
                </pt>
              </strCache>
            </strRef>
          </tx>
          <spPr>
            <a:solidFill xmlns:a="http://schemas.openxmlformats.org/drawingml/2006/main">
              <a:srgbClr val="FFC000"/>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Кварталы!$D$5:$D$7</f>
              <numCache>
                <formatCode>#\ ##0.0</formatCode>
                <ptCount val="3"/>
                <pt idx="0">
                  <v>107</v>
                </pt>
                <pt idx="1">
                  <v>0</v>
                </pt>
                <pt idx="2">
                  <v>0</v>
                </pt>
              </numCache>
            </numRef>
          </val>
        </ser>
        <ser>
          <idx val="2"/>
          <order val="2"/>
          <tx>
            <strRef>
              <f>Кварталы!$E$4</f>
              <strCache>
                <ptCount val="1"/>
                <pt idx="0">
                  <v>Velocity
(дн)</v>
                </pt>
              </strCache>
            </strRef>
          </tx>
          <spPr>
            <a:solidFill xmlns:a="http://schemas.openxmlformats.org/drawingml/2006/main">
              <a:srgbClr val="C00000"/>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Кварталы!$E$5:$E$7</f>
              <numCache>
                <formatCode>#\ ##0.0</formatCode>
                <ptCount val="3"/>
                <pt idx="0">
                  <v>38</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4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выполнения по кварталам</a:t>
            </a:r>
          </a:p>
        </rich>
      </tx>
      <overlay val="0"/>
    </title>
    <plotArea>
      <layout/>
      <barChart>
        <barDir val="col"/>
        <grouping val="clustered"/>
        <varyColors val="1"/>
        <ser>
          <idx val="0"/>
          <order val="0"/>
          <tx>
            <strRef>
              <f>Кварталы!$G$4</f>
              <strCache>
                <ptCount val="1"/>
                <pt idx="0">
                  <v>% выпол-
нения</v>
                </pt>
              </strCache>
            </strRef>
          </tx>
          <spPr>
            <a:solidFill xmlns:a="http://schemas.openxmlformats.org/drawingml/2006/main">
              <a:srgbClr val="70AD47"/>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Кварталы!$G$5:$G$7</f>
              <numCache>
                <formatCode>0%</formatCode>
                <ptCount val="3"/>
                <pt idx="0">
                  <v>0.3551401869158878</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0"/>
        <majorTickMark val="none"/>
        <minorTickMark val="none"/>
        <tickLblPos val="nextTo"/>
        <crossAx val="10"/>
        <crosses val="autoZero"/>
        <crossBetween val="between"/>
      </valAx>
    </plotArea>
    <plotVisOnly val="1"/>
    <dispBlanksAs val="gap"/>
  </chart>
</chartSpace>
</file>

<file path=xl/charts/chart4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RICE score </a:t>
            </a:r>
            <a:r>
              <a:rPr lang="ru-RU"/>
              <a:t>по фичам</a:t>
            </a:r>
          </a:p>
        </rich>
      </tx>
      <overlay val="1"/>
    </title>
    <plotArea>
      <layout/>
      <barChart>
        <barDir val="bar"/>
        <grouping val="clustered"/>
        <varyColors val="1"/>
        <ser>
          <idx val="0"/>
          <order val="0"/>
          <tx>
            <strRef>
              <f>RICE!$G$4</f>
              <strCache>
                <ptCount val="1"/>
                <pt idx="0">
                  <v>RICE
score</v>
                </pt>
              </strCache>
            </strRef>
          </tx>
          <spPr>
            <a:ln xmlns:a="http://schemas.openxmlformats.org/drawingml/2006/main">
              <a:prstDash val="solid"/>
            </a:ln>
          </spPr>
          <invertIfNegative val="1"/>
          <cat>
            <strRef>
              <f>RICE!$B$5:$B$14</f>
              <strCache>
                <ptCount val="10"/>
                <pt idx="0">
                  <v>MVP оформления заказа</v>
                </pt>
                <pt idx="1">
                  <v>Оплата картой</v>
                </pt>
                <pt idx="2">
                  <v>Промокоды и скидки</v>
                </pt>
                <pt idx="3">
                  <v>Уведомления (e-mail/push)</v>
                </pt>
                <pt idx="4">
                  <v>История заказов</v>
                </pt>
                <pt idx="5">
                  <v>Мобильная вёрстка</v>
                </pt>
                <pt idx="6">
                  <v>Личный кабинет</v>
                </pt>
                <pt idx="7">
                  <v>Рекомендации товаров</v>
                </pt>
                <pt idx="8">
                  <v>Экспорт отчётов</v>
                </pt>
                <pt idx="9">
                  <v>Мультиязычность</v>
                </pt>
              </strCache>
            </strRef>
          </cat>
          <val>
            <numRef>
              <f>RICE!$G$5:$G$14</f>
              <numCache>
                <formatCode>#\ ##0.0</formatCode>
                <ptCount val="10"/>
                <pt idx="0">
                  <v>375</v>
                </pt>
                <pt idx="1">
                  <v>480</v>
                </pt>
                <pt idx="2">
                  <v>200</v>
                </pt>
                <pt idx="3">
                  <v>213.3333333333333</v>
                </pt>
                <pt idx="4">
                  <v>175</v>
                </pt>
                <pt idx="5">
                  <v>360</v>
                </pt>
                <pt idx="6">
                  <v>83.33333333333333</v>
                </pt>
                <pt idx="7">
                  <v>90.90909090909091</v>
                </pt>
                <pt idx="8">
                  <v>40</v>
                </pt>
                <pt idx="9">
                  <v>25</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 ##0.0" sourceLinked="1"/>
        <majorTickMark val="none"/>
        <minorTickMark val="none"/>
        <tickLblPos val="nextTo"/>
        <crossAx val="10"/>
        <crosses val="autoZero"/>
        <crossBetween val="between"/>
      </valAx>
    </plotArea>
    <plotVisOnly val="1"/>
    <dispBlanksAs val="gap"/>
  </chart>
</chartSpace>
</file>

<file path=xl/charts/chart4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Число фич по категориям </a:t>
            </a:r>
            <a:r>
              <a:rPr lang="en-US"/>
              <a:t>MoSCoW</a:t>
            </a:r>
          </a:p>
        </rich>
      </tx>
      <overlay val="1"/>
    </title>
    <plotArea>
      <layout/>
      <barChart>
        <barDir val="bar"/>
        <grouping val="clustered"/>
        <varyColors val="1"/>
        <ser>
          <idx val="0"/>
          <order val="0"/>
          <tx>
            <strRef>
              <f>MoSCoW!$B$19</f>
              <strCache>
                <ptCount val="1"/>
                <pt idx="0">
                  <v>Кол-во</v>
                </pt>
              </strCache>
            </strRef>
          </tx>
          <spPr>
            <a:ln xmlns:a="http://schemas.openxmlformats.org/drawingml/2006/main">
              <a:prstDash val="solid"/>
            </a:ln>
          </spPr>
          <invertIfNegative val="1"/>
          <cat>
            <strRef>
              <f>MoSCoW!$A$20:$A$23</f>
              <strCache>
                <ptCount val="4"/>
                <pt idx="0">
                  <v>Must</v>
                </pt>
                <pt idx="1">
                  <v>Should</v>
                </pt>
                <pt idx="2">
                  <v>Could</v>
                </pt>
                <pt idx="3">
                  <v>Won't</v>
                </pt>
              </strCache>
            </strRef>
          </cat>
          <val>
            <numRef>
              <f>MoSCoW!$B$20:$B$23</f>
              <numCache>
                <formatCode>General</formatCode>
                <ptCount val="4"/>
                <pt idx="0">
                  <v>4</v>
                </pt>
                <pt idx="1">
                  <v>3</v>
                </pt>
                <pt idx="2">
                  <v>3</v>
                </pt>
                <pt idx="3">
                  <v>2</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General" sourceLinked="1"/>
        <majorTickMark val="none"/>
        <minorTickMark val="none"/>
        <tickLblPos val="nextTo"/>
        <crossAx val="10"/>
        <crosses val="autoZero"/>
        <crossBetween val="between"/>
      </valAx>
    </plotArea>
    <plotVisOnly val="1"/>
    <dispBlanksAs val="gap"/>
  </chart>
</chartSpace>
</file>

<file path=xl/charts/chart4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Roadmap </a:t>
            </a:r>
            <a:r>
              <a:rPr lang="ru-RU"/>
              <a:t>спринтов по кварталам</a:t>
            </a:r>
          </a:p>
        </rich>
      </tx>
      <overlay val="0"/>
    </title>
    <plotArea>
      <layout/>
      <barChart>
        <barDir val="bar"/>
        <grouping val="stacked"/>
        <varyColors val="1"/>
        <ser>
          <idx val="0"/>
          <order val="0"/>
          <tx>
            <strRef>
              <f>'Квартальный roadmap'!$C$4</f>
              <strCache>
                <ptCount val="1"/>
                <pt idx="0">
                  <v>Начало</v>
                </pt>
              </strCache>
            </strRef>
          </tx>
          <spPr>
            <a:noFill xmlns:a="http://schemas.openxmlformats.org/drawingml/2006/main"/>
            <a:ln xmlns:a="http://schemas.openxmlformats.org/drawingml/2006/main">
              <a:noFill/>
              <a:prstDash val="solid"/>
            </a:ln>
          </spPr>
          <invertIfNegative val="1"/>
          <cat>
            <strRef>
              <f>'Квартальный roadmap'!$A$5:$A$15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'Квартальный roadmap'!$C$5:$C$15</f>
              <numCache>
                <formatCode>dd\.mm\.yy</formatCode>
                <ptCount val="11"/>
                <pt idx="0">
                  <v>46237</v>
                </pt>
                <pt idx="1">
                  <v>46251</v>
                </pt>
                <pt idx="2">
                  <v>46265</v>
                </pt>
                <pt idx="3">
                  <v>46279</v>
                </pt>
                <pt idx="4">
                  <v>46293</v>
                </pt>
                <pt idx="5">
                  <v>46307</v>
                </pt>
                <pt idx="6">
                  <v>46321</v>
                </pt>
                <pt idx="7">
                  <v>46335</v>
                </pt>
                <pt idx="8">
                  <v>46349</v>
                </pt>
                <pt idx="9">
                  <v>46363</v>
                </pt>
                <pt idx="10">
                  <v>46377</v>
                </pt>
              </numCache>
            </numRef>
          </val>
        </ser>
        <ser>
          <idx val="1"/>
          <order val="1"/>
          <tx>
            <strRef>
              <f>'Квартальный roadmap'!$E$4</f>
              <strCache>
                <ptCount val="1"/>
                <pt idx="0">
                  <v>Длит. (дн)</v>
                </pt>
              </strCache>
            </strRef>
          </tx>
          <spPr>
            <a:solidFill xmlns:a="http://schemas.openxmlformats.org/drawingml/2006/main">
              <a:srgbClr val="4472C4"/>
            </a:solidFill>
            <a:ln xmlns:a="http://schemas.openxmlformats.org/drawingml/2006/main">
              <a:prstDash val="solid"/>
            </a:ln>
          </spPr>
          <invertIfNegative val="1"/>
          <dPt>
            <idx val="0"/>
            <invertIfNegative val="1"/>
            <bubble3D val="0"/>
            <spPr>
              <a:ln xmlns:a="http://schemas.openxmlformats.org/drawingml/2006/main">
                <a:prstDash val="solid"/>
              </a:ln>
            </spPr>
          </dPt>
          <dPt>
            <idx val="1"/>
            <invertIfNegative val="1"/>
            <bubble3D val="0"/>
            <spPr>
              <a:ln xmlns:a="http://schemas.openxmlformats.org/drawingml/2006/main">
                <a:prstDash val="solid"/>
              </a:ln>
            </spPr>
          </dPt>
          <dPt>
            <idx val="2"/>
            <invertIfNegative val="1"/>
            <bubble3D val="0"/>
            <spPr>
              <a:ln xmlns:a="http://schemas.openxmlformats.org/drawingml/2006/main">
                <a:prstDash val="solid"/>
              </a:ln>
            </spPr>
          </dPt>
          <dPt>
            <idx val="3"/>
            <invertIfNegative val="1"/>
            <bubble3D val="0"/>
            <spPr>
              <a:ln xmlns:a="http://schemas.openxmlformats.org/drawingml/2006/main">
                <a:prstDash val="solid"/>
              </a:ln>
            </spPr>
          </dPt>
          <dPt>
            <idx val="4"/>
            <invertIfNegative val="1"/>
            <bubble3D val="0"/>
            <spPr>
              <a:ln xmlns:a="http://schemas.openxmlformats.org/drawingml/2006/main">
                <a:prstDash val="solid"/>
              </a:ln>
            </spPr>
          </dPt>
          <dPt>
            <idx val="5"/>
            <invertIfNegative val="1"/>
            <bubble3D val="0"/>
            <spPr>
              <a:solidFill xmlns:a="http://schemas.openxmlformats.org/drawingml/2006/main">
                <a:srgbClr val="ED7D31"/>
              </a:solidFill>
              <a:ln xmlns:a="http://schemas.openxmlformats.org/drawingml/2006/main">
                <a:prstDash val="solid"/>
              </a:ln>
            </spPr>
          </dPt>
          <dPt>
            <idx val="6"/>
            <invertIfNegative val="1"/>
            <bubble3D val="0"/>
            <spPr>
              <a:solidFill xmlns:a="http://schemas.openxmlformats.org/drawingml/2006/main">
                <a:srgbClr val="ED7D31"/>
              </a:solidFill>
              <a:ln xmlns:a="http://schemas.openxmlformats.org/drawingml/2006/main">
                <a:prstDash val="solid"/>
              </a:ln>
            </spPr>
          </dPt>
          <dPt>
            <idx val="7"/>
            <invertIfNegative val="1"/>
            <bubble3D val="0"/>
            <spPr>
              <a:solidFill xmlns:a="http://schemas.openxmlformats.org/drawingml/2006/main">
                <a:srgbClr val="ED7D31"/>
              </a:solidFill>
              <a:ln xmlns:a="http://schemas.openxmlformats.org/drawingml/2006/main">
                <a:prstDash val="solid"/>
              </a:ln>
            </spPr>
          </dPt>
          <dPt>
            <idx val="8"/>
            <invertIfNegative val="1"/>
            <bubble3D val="0"/>
            <spPr>
              <a:solidFill xmlns:a="http://schemas.openxmlformats.org/drawingml/2006/main">
                <a:srgbClr val="ED7D31"/>
              </a:solidFill>
              <a:ln xmlns:a="http://schemas.openxmlformats.org/drawingml/2006/main">
                <a:prstDash val="solid"/>
              </a:ln>
            </spPr>
          </dPt>
          <dPt>
            <idx val="9"/>
            <invertIfNegative val="1"/>
            <bubble3D val="0"/>
            <spPr>
              <a:solidFill xmlns:a="http://schemas.openxmlformats.org/drawingml/2006/main">
                <a:srgbClr val="ED7D31"/>
              </a:solidFill>
              <a:ln xmlns:a="http://schemas.openxmlformats.org/drawingml/2006/main">
                <a:prstDash val="solid"/>
              </a:ln>
            </spPr>
          </dPt>
          <dPt>
            <idx val="10"/>
            <invertIfNegative val="1"/>
            <bubble3D val="0"/>
            <spPr>
              <a:solidFill xmlns:a="http://schemas.openxmlformats.org/drawingml/2006/main">
                <a:srgbClr val="ED7D31"/>
              </a:solidFill>
              <a:ln xmlns:a="http://schemas.openxmlformats.org/drawingml/2006/main">
                <a:prstDash val="solid"/>
              </a:ln>
            </spPr>
          </dPt>
          <cat>
            <strRef>
              <f>'Квартальный roadmap'!$A$5:$A$15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'Квартальный roadmap'!$E$5:$E$15</f>
              <numCache>
                <formatCode>0</formatCode>
                <ptCount val="11"/>
                <pt idx="0">
                  <v>11</v>
                </pt>
                <pt idx="1">
                  <v>11</v>
                </pt>
                <pt idx="2">
                  <v>11</v>
                </pt>
                <pt idx="3">
                  <v>11</v>
                </pt>
                <pt idx="4">
                  <v>11</v>
                </pt>
                <pt idx="5">
                  <v>11</v>
                </pt>
                <pt idx="6">
                  <v>11</v>
                </pt>
                <pt idx="7">
                  <v>11</v>
                </pt>
                <pt idx="8">
                  <v>11</v>
                </pt>
                <pt idx="9">
                  <v>11</v>
                </pt>
                <pt idx="10">
                  <v>11</v>
                </pt>
              </numCache>
            </numRef>
          </val>
        </ser>
        <dLbls>
          <showLegendKey val="0"/>
          <showVal val="0"/>
          <showCatName val="0"/>
          <showSerName val="0"/>
          <showPercent val="0"/>
          <showBubbleSize val="0"/>
        </dLbls>
        <gapWidth val="150"/>
        <overlap val="100"/>
        <axId val="10"/>
        <axId val="100"/>
      </barChart>
      <catAx>
        <axId val="10"/>
        <scaling>
          <orientation val="maxMin"/>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max val="46397"/>
          <min val="46235"/>
        </scaling>
        <delete val="0"/>
        <axPos val="t"/>
        <numFmt formatCode="dd\.mm" sourceLinked="0"/>
        <majorTickMark val="none"/>
        <minorTickMark val="none"/>
        <tickLblPos val="nextTo"/>
        <crossAx val="10"/>
        <crosses val="autoZero"/>
        <crossBetween val="between"/>
      </valAx>
    </plotArea>
    <plotVisOnly val="1"/>
    <dispBlanksAs val="gap"/>
  </chart>
</chartSpace>
</file>

<file path=xl/charts/chart4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Содержимое релизов (стори / задачи / дефекты)</a:t>
            </a:r>
          </a:p>
        </rich>
      </tx>
      <overlay val="0"/>
    </title>
    <plotArea>
      <layout/>
      <barChart>
        <barDir val="col"/>
        <grouping val="clustered"/>
        <varyColors val="1"/>
        <ser>
          <idx val="0"/>
          <order val="0"/>
          <tx>
            <strRef>
              <f>Релизы!$G$4</f>
              <strCache>
                <ptCount val="1"/>
                <pt idx="0">
                  <v>Стори</v>
                </pt>
              </strCache>
            </strRef>
          </tx>
          <spPr>
            <a:solidFill xmlns:a="http://schemas.openxmlformats.org/drawingml/2006/main">
              <a:srgbClr val="4472C4"/>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Релизы!$G$5:$G$9</f>
              <numCache>
                <formatCode>General</formatCode>
                <ptCount val="5"/>
                <pt idx="0">
                  <v>3</v>
                </pt>
                <pt idx="1">
                  <v>3</v>
                </pt>
                <pt idx="2">
                  <v>1</v>
                </pt>
                <pt idx="3">
                  <v>0</v>
                </pt>
                <pt idx="4">
                  <v>0</v>
                </pt>
              </numCache>
            </numRef>
          </val>
        </ser>
        <ser>
          <idx val="1"/>
          <order val="1"/>
          <tx>
            <strRef>
              <f>Релизы!$H$4</f>
              <strCache>
                <ptCount val="1"/>
                <pt idx="0">
                  <v>Задач</v>
                </pt>
              </strCache>
            </strRef>
          </tx>
          <spPr>
            <a:solidFill xmlns:a="http://schemas.openxmlformats.org/drawingml/2006/main">
              <a:srgbClr val="70AD47"/>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Релизы!$H$5:$H$9</f>
              <numCache>
                <formatCode>General</formatCode>
                <ptCount val="5"/>
                <pt idx="0">
                  <v>5</v>
                </pt>
                <pt idx="1">
                  <v>5</v>
                </pt>
                <pt idx="2">
                  <v>1</v>
                </pt>
                <pt idx="3">
                  <v>0</v>
                </pt>
                <pt idx="4">
                  <v>0</v>
                </pt>
              </numCache>
            </numRef>
          </val>
        </ser>
        <ser>
          <idx val="2"/>
          <order val="2"/>
          <tx>
            <strRef>
              <f>Релизы!$I$4</f>
              <strCache>
                <ptCount val="1"/>
                <pt idx="0">
                  <v>Дефектов</v>
                </pt>
              </strCache>
            </strRef>
          </tx>
          <spPr>
            <a:solidFill xmlns:a="http://schemas.openxmlformats.org/drawingml/2006/main">
              <a:srgbClr val="C00000"/>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Релизы!$I$5:$I$9</f>
              <numCache>
                <formatCode>General</formatCode>
                <ptCount val="5"/>
                <pt idx="0">
                  <v>11</v>
                </pt>
                <pt idx="1">
                  <v>2</v>
                </pt>
                <pt idx="2">
                  <v>0</v>
                </pt>
                <pt idx="3">
                  <v>0</v>
                </pt>
                <pt idx="4">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4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Вехи по статусу</a:t>
            </a:r>
          </a:p>
        </rich>
      </tx>
      <overlay val="0"/>
    </title>
    <plotArea>
      <layout/>
      <barChart>
        <barDir val="col"/>
        <grouping val="clustered"/>
        <varyColors val="1"/>
        <ser>
          <idx val="0"/>
          <order val="0"/>
          <spPr>
            <a:solidFill xmlns:a="http://schemas.openxmlformats.org/drawingml/2006/main">
              <a:srgbClr val="1F4E78"/>
            </a:solidFill>
            <a:ln xmlns:a="http://schemas.openxmlformats.org/drawingml/2006/main">
              <a:prstDash val="solid"/>
            </a:ln>
          </spPr>
          <invertIfNegative val="1"/>
          <cat>
            <strRef>
              <f>Вехи!$A$12:$A$15</f>
              <strCache>
                <ptCount val="4"/>
                <pt idx="0">
                  <v>Планируется</v>
                </pt>
                <pt idx="1">
                  <v>В работе</v>
                </pt>
                <pt idx="2">
                  <v>Готово</v>
                </pt>
                <pt idx="3">
                  <v>Задержка</v>
                </pt>
              </strCache>
            </strRef>
          </cat>
          <val>
            <numRef>
              <f>Вехи!$B$12:$B$15</f>
              <numCache>
                <formatCode>General</formatCode>
                <ptCount val="4"/>
                <pt idx="0">
                  <v>3</v>
                </pt>
                <pt idx="1">
                  <v>0</v>
                </pt>
                <pt idx="2">
                  <v>2</v>
                </pt>
                <pt idx="3">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4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Техдолг: оценка (дн) по типу</a:t>
            </a:r>
          </a:p>
        </rich>
      </tx>
      <overlay val="0"/>
    </title>
    <plotArea>
      <layout/>
      <barChart>
        <barDir val="col"/>
        <grouping val="clustered"/>
        <varyColors val="1"/>
        <ser>
          <idx val="0"/>
          <order val="0"/>
          <tx>
            <strRef>
              <f>'Технический долг'!$B$13</f>
              <strCache>
                <ptCount val="1"/>
                <pt idx="0">
                  <v>Оценка (дн)</v>
                </pt>
              </strCache>
            </strRef>
          </tx>
          <spPr>
            <a:solidFill xmlns:a="http://schemas.openxmlformats.org/drawingml/2006/main">
              <a:srgbClr val="ED7D31"/>
            </a:solidFill>
            <a:ln xmlns:a="http://schemas.openxmlformats.org/drawingml/2006/main">
              <a:prstDash val="solid"/>
            </a:ln>
          </spPr>
          <invertIfNegative val="1"/>
          <cat>
            <strRef>
              <f>'Технический долг'!$A$14:$A$18</f>
              <strCache>
                <ptCount val="5"/>
                <pt idx="0">
                  <v>Архитектура</v>
                </pt>
                <pt idx="1">
                  <v>Код</v>
                </pt>
                <pt idx="2">
                  <v>Тесты</v>
                </pt>
                <pt idx="3">
                  <v>Инфраструктура</v>
                </pt>
                <pt idx="4">
                  <v>Документация</v>
                </pt>
              </strCache>
            </strRef>
          </cat>
          <val>
            <numRef>
              <f>'Технический долг'!$B$14:$B$18</f>
              <numCache>
                <formatCode>#\ ##0.0</formatCode>
                <ptCount val="5"/>
                <pt idx="0">
                  <v>2</v>
                </pt>
                <pt idx="1">
                  <v>6</v>
                </pt>
                <pt idx="2">
                  <v>2</v>
                </pt>
                <pt idx="3">
                  <v>2</v>
                </pt>
                <pt idx="4">
                  <v>1</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plotVisOnly val="1"/>
    <dispBlanksAs val="gap"/>
  </chart>
</chartSpace>
</file>

<file path=xl/charts/chart4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Техдолг по статусу</a:t>
            </a:r>
          </a:p>
        </rich>
      </tx>
      <overlay val="0"/>
    </title>
    <plotArea>
      <layout/>
      <barChart>
        <barDir val="col"/>
        <grouping val="clustered"/>
        <varyColors val="1"/>
        <ser>
          <idx val="0"/>
          <order val="0"/>
          <tx>
            <strRef>
              <f>'Технический долг'!$B$21</f>
              <strCache>
                <ptCount val="1"/>
                <pt idx="0">
                  <v>Кол-во</v>
                </pt>
              </strCache>
            </strRef>
          </tx>
          <spPr>
            <a:solidFill xmlns:a="http://schemas.openxmlformats.org/drawingml/2006/main">
              <a:srgbClr val="4472C4"/>
            </a:solidFill>
            <a:ln xmlns:a="http://schemas.openxmlformats.org/drawingml/2006/main">
              <a:prstDash val="solid"/>
            </a:ln>
          </spPr>
          <invertIfNegative val="1"/>
          <cat>
            <strRef>
              <f>'Технический долг'!$A$22:$A$24</f>
              <strCache>
                <ptCount val="3"/>
                <pt idx="0">
                  <v>Открыт</v>
                </pt>
                <pt idx="1">
                  <v>В работе</v>
                </pt>
                <pt idx="2">
                  <v>Закрыт</v>
                </pt>
              </strCache>
            </strRef>
          </cat>
          <val>
            <numRef>
              <f>'Технический долг'!$B$22:$B$24</f>
              <numCache>
                <formatCode>General</formatCode>
                <ptCount val="3"/>
                <pt idx="0">
                  <v>3</v>
                </pt>
                <pt idx="1">
                  <v>1</v>
                </pt>
                <pt idx="2">
                  <v>2</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5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Тренд техдолга: создано / погашено / открыто</a:t>
            </a:r>
          </a:p>
        </rich>
      </tx>
      <overlay val="0"/>
    </title>
    <plotArea>
      <layout/>
      <barChart>
        <barDir val="col"/>
        <grouping val="clustered"/>
        <varyColors val="1"/>
        <ser>
          <idx val="0"/>
          <order val="0"/>
          <tx>
            <strRef>
              <f>'Технический долг'!$B$28</f>
              <strCache>
                <ptCount val="1"/>
                <pt idx="0">
                  <v>Создано</v>
                </pt>
              </strCache>
            </strRef>
          </tx>
          <spPr>
            <a:solidFill xmlns:a="http://schemas.openxmlformats.org/drawingml/2006/main">
              <a:srgbClr val="C00000"/>
            </a:solidFill>
            <a:ln xmlns:a="http://schemas.openxmlformats.org/drawingml/2006/main">
              <a:prstDash val="solid"/>
            </a:ln>
          </spPr>
          <invertIfNegative val="1"/>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долг'!$B$29:$B$39</f>
              <numCache>
                <formatCode>General</formatCode>
                <ptCount val="11"/>
                <pt idx="0">
                  <v>1</v>
                </pt>
                <pt idx="1">
                  <v>1</v>
                </pt>
                <pt idx="2">
                  <v>2</v>
                </pt>
                <pt idx="3">
                  <v>1</v>
                </pt>
                <pt idx="4">
                  <v>1</v>
                </pt>
                <pt idx="5">
                  <v>0</v>
                </pt>
                <pt idx="6">
                  <v>0</v>
                </pt>
                <pt idx="7">
                  <v>0</v>
                </pt>
                <pt idx="8">
                  <v>0</v>
                </pt>
                <pt idx="9">
                  <v>0</v>
                </pt>
                <pt idx="10">
                  <v>0</v>
                </pt>
              </numCache>
            </numRef>
          </val>
        </ser>
        <ser>
          <idx val="1"/>
          <order val="1"/>
          <tx>
            <strRef>
              <f>'Технический долг'!$C$28</f>
              <strCache>
                <ptCount val="1"/>
                <pt idx="0">
                  <v>Погашено</v>
                </pt>
              </strCache>
            </strRef>
          </tx>
          <spPr>
            <a:solidFill xmlns:a="http://schemas.openxmlformats.org/drawingml/2006/main">
              <a:srgbClr val="70AD47"/>
            </a:solidFill>
            <a:ln xmlns:a="http://schemas.openxmlformats.org/drawingml/2006/main">
              <a:prstDash val="solid"/>
            </a:ln>
          </spPr>
          <invertIfNegative val="1"/>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долг'!$C$29:$C$39</f>
              <numCache>
                <formatCode>General</formatCode>
                <ptCount val="11"/>
                <pt idx="0">
                  <v>0</v>
                </pt>
                <pt idx="1">
                  <v>0</v>
                </pt>
                <pt idx="2">
                  <v>1</v>
                </pt>
                <pt idx="3">
                  <v>1</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lineChart>
        <grouping val="standard"/>
        <varyColors val="1"/>
        <ser>
          <idx val="2"/>
          <order val="2"/>
          <tx>
            <strRef>
              <f>'Технический долг'!$D$28</f>
              <strCache>
                <ptCount val="1"/>
                <pt idx="0">
                  <v>Открыто (накопит.)</v>
                </pt>
              </strCache>
            </strRef>
          </tx>
          <spPr>
            <a:ln xmlns:a="http://schemas.openxmlformats.org/drawingml/2006/main" w="28000">
              <a:solidFill>
                <a:srgbClr val="1F4E78"/>
              </a:solidFill>
              <a:prstDash val="solid"/>
            </a:ln>
          </spPr>
          <marker>
            <symbol val="none"/>
            <spPr>
              <a:ln xmlns:a="http://schemas.openxmlformats.org/drawingml/2006/main">
                <a:prstDash val="solid"/>
              </a:ln>
            </spPr>
          </marker>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долг'!$D$29:$D$39</f>
              <numCache>
                <formatCode>General</formatCode>
                <ptCount val="11"/>
                <pt idx="0">
                  <v>1</v>
                </pt>
                <pt idx="1">
                  <v>2</v>
                </pt>
                <pt idx="2">
                  <v>3</v>
                </pt>
                <pt idx="3">
                  <v>3</v>
                </pt>
                <pt idx="4">
                  <v>4</v>
                </pt>
                <pt idx="5">
                  <v>4</v>
                </pt>
                <pt idx="6">
                  <v>4</v>
                </pt>
                <pt idx="7">
                  <v>4</v>
                </pt>
                <pt idx="8">
                  <v>4</v>
                </pt>
                <pt idx="9">
                  <v>4</v>
                </pt>
                <pt idx="10">
                  <v>4</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5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Расход бюджета (накопл.)</a:t>
            </a:r>
          </a:p>
        </rich>
      </tx>
      <overlay val="0"/>
    </title>
    <plotArea>
      <layout/>
      <lineChart>
        <grouping val="standard"/>
        <varyColors val="1"/>
        <ser>
          <idx val="0"/>
          <order val="0"/>
          <tx>
            <strRef>
              <f>Бюджет!$D$6</f>
              <strCache>
                <ptCount val="1"/>
                <pt idx="0">
                  <v>Накопл. стоимость (₽)</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numRef>
              <f>Бюджет!$A$7:$A$17</f>
              <numCache>
                <formatCode>General</formatCode>
                <ptCount val="11"/>
                <pt idx="0">
                  <v>1</v>
                </pt>
                <pt idx="1">
                  <v>2</v>
                </pt>
                <pt idx="2">
                  <v>3</v>
                </pt>
                <pt idx="3">
                  <v>4</v>
                </pt>
                <pt idx="4">
                  <v>5</v>
                </pt>
                <pt idx="5">
                  <v>6</v>
                </pt>
                <pt idx="6">
                  <v>7</v>
                </pt>
                <pt idx="7">
                  <v>8</v>
                </pt>
                <pt idx="8">
                  <v>9</v>
                </pt>
                <pt idx="9">
                  <v>10</v>
                </pt>
                <pt idx="10">
                  <v>11</v>
                </pt>
              </numCache>
            </numRef>
          </cat>
          <val>
            <numRef>
              <f>Бюджет!$D$7:$D$17</f>
              <numCache>
                <formatCode>#,##0</formatCode>
                <ptCount val="11"/>
                <pt idx="0">
                  <v>742400.0000000001</v>
                </pt>
                <pt idx="1">
                  <v>1504000</v>
                </pt>
                <pt idx="2">
                  <v>2265600</v>
                </pt>
                <pt idx="3">
                  <v>3027200</v>
                </pt>
                <pt idx="4">
                  <v>3772800</v>
                </pt>
                <pt idx="5">
                  <v>4534400</v>
                </pt>
                <pt idx="6">
                  <v>5219840</v>
                </pt>
                <pt idx="7">
                  <v>5949440</v>
                </pt>
                <pt idx="8">
                  <v>6711040</v>
                </pt>
                <pt idx="9">
                  <v>7472640</v>
                </pt>
                <pt idx="10">
                  <v>8158080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1"/>
        <majorTickMark val="none"/>
        <minorTickMark val="none"/>
        <tickLblPos val="nextTo"/>
        <crossAx val="10"/>
        <crosses val="autoZero"/>
        <crossBetween val="between"/>
      </valAx>
    </plotArea>
    <plotVisOnly val="1"/>
    <dispBlanksAs val="gap"/>
  </chart>
</chartSpace>
</file>

<file path=xl/charts/chart5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Прогресс </a:t>
            </a:r>
            <a:r>
              <a:rPr lang="en-US"/>
              <a:t>Key Results</a:t>
            </a:r>
          </a:p>
        </rich>
      </tx>
      <overlay val="0"/>
    </title>
    <plotArea>
      <layout/>
      <barChart>
        <barDir val="bar"/>
        <grouping val="clustered"/>
        <varyColors val="1"/>
        <ser>
          <idx val="0"/>
          <order val="0"/>
          <tx>
            <strRef>
              <f>OKR!$F$4</f>
              <strCache>
                <ptCount val="1"/>
                <pt idx="0">
                  <v>Прогресс</v>
                </pt>
              </strCache>
            </strRef>
          </tx>
          <spPr>
            <a:solidFill xmlns:a="http://schemas.openxmlformats.org/drawingml/2006/main">
              <a:srgbClr val="70AD47"/>
            </a:solidFill>
            <a:ln xmlns:a="http://schemas.openxmlformats.org/drawingml/2006/main">
              <a:prstDash val="solid"/>
            </a:ln>
          </spPr>
          <invertIfNegative val="1"/>
          <cat>
            <strRef>
              <f>OKR!$C$5:$C$9</f>
              <strCache>
                <ptCount val="5"/>
                <pt idx="0">
                  <v>Готовность MVP чекаута, %</v>
                </pt>
                <pt idx="1">
                  <v>Интеграция оплаты, %</v>
                </pt>
                <pt idx="2">
                  <v>Покрытие автотестами ключевых сценариев, %</v>
                </pt>
                <pt idx="3">
                  <v>Подключённых площадок, шт</v>
                </pt>
                <pt idx="4">
                  <v>Уведомления и история заказов, %</v>
                </pt>
              </strCache>
            </strRef>
          </cat>
          <val>
            <numRef>
              <f>OKR!$F$5:$F$9</f>
              <numCache>
                <formatCode>0%</formatCode>
                <ptCount val="5"/>
                <pt idx="0">
                  <v>0.7</v>
                </pt>
                <pt idx="1">
                  <v>0.6</v>
                </pt>
                <pt idx="2">
                  <v>0.5625</v>
                </pt>
                <pt idx="3">
                  <v>0.3</v>
                </pt>
                <pt idx="4">
                  <v>0.2</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0%" sourceLinked="0"/>
        <majorTickMark val="none"/>
        <minorTickMark val="none"/>
        <tickLblPos val="nextTo"/>
        <crossAx val="10"/>
        <crosses val="autoZero"/>
        <crossBetween val="between"/>
      </valAx>
    </plotArea>
    <plotVisOnly val="1"/>
    <dispBlanksAs val="gap"/>
  </chart>
</chartSpace>
</file>

<file path=xl/charts/chart5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Ёмкость </a:t>
            </a:r>
            <a:r>
              <a:rPr lang="en-US"/>
              <a:t xml:space="preserve">vs </a:t>
            </a:r>
            <a:r>
              <a:rPr lang="ru-RU"/>
              <a:t>Спрос по кварталам</a:t>
            </a:r>
          </a:p>
        </rich>
      </tx>
      <overlay val="0"/>
    </title>
    <plotArea>
      <layout/>
      <barChart>
        <barDir val="col"/>
        <grouping val="clustered"/>
        <varyColors val="1"/>
        <ser>
          <idx val="0"/>
          <order val="0"/>
          <tx>
            <strRef>
              <f>'Ёмкость на горизонт'!$B$5</f>
              <strCache>
                <ptCount val="1"/>
                <pt idx="0">
                  <v>Ёмкость (дн)</v>
                </pt>
              </strCache>
            </strRef>
          </tx>
          <spPr>
            <a:solidFill xmlns:a="http://schemas.openxmlformats.org/drawingml/2006/main">
              <a:srgbClr val="8EAADB"/>
            </a:solidFill>
            <a:ln xmlns:a="http://schemas.openxmlformats.org/drawingml/2006/main">
              <a:prstDash val="solid"/>
            </a:ln>
          </spPr>
          <invertIfNegative val="1"/>
          <cat>
            <strRef>
              <f>'Ёмкость на горизонт'!$A$6:$A$8</f>
              <strCache>
                <ptCount val="3"/>
                <pt idx="0">
                  <v>Q3 2026</v>
                </pt>
                <pt idx="1">
                  <v>Q4 2026</v>
                </pt>
                <pt idx="2">
                  <v>Q1 2027</v>
                </pt>
              </strCache>
            </strRef>
          </cat>
          <val>
            <numRef>
              <f>'Ёмкость на горизонт'!$B$6:$B$8</f>
              <numCache>
                <formatCode>#\ ##0.0</formatCode>
                <ptCount val="3"/>
                <pt idx="0">
                  <v>471.6</v>
                </pt>
                <pt idx="1">
                  <v>548.1600000000001</v>
                </pt>
                <pt idx="2">
                  <v>0</v>
                </pt>
              </numCache>
            </numRef>
          </val>
        </ser>
        <ser>
          <idx val="1"/>
          <order val="1"/>
          <tx>
            <strRef>
              <f>'Ёмкость на горизонт'!$C$5</f>
              <strCache>
                <ptCount val="1"/>
                <pt idx="0">
                  <v>Спрос (дн)</v>
                </pt>
              </strCache>
            </strRef>
          </tx>
          <spPr>
            <a:solidFill xmlns:a="http://schemas.openxmlformats.org/drawingml/2006/main">
              <a:srgbClr val="FFC000"/>
            </a:solidFill>
            <a:ln xmlns:a="http://schemas.openxmlformats.org/drawingml/2006/main">
              <a:prstDash val="solid"/>
            </a:ln>
          </spPr>
          <invertIfNegative val="1"/>
          <cat>
            <strRef>
              <f>'Ёмкость на горизонт'!$A$6:$A$8</f>
              <strCache>
                <ptCount val="3"/>
                <pt idx="0">
                  <v>Q3 2026</v>
                </pt>
                <pt idx="1">
                  <v>Q4 2026</v>
                </pt>
                <pt idx="2">
                  <v>Q1 2027</v>
                </pt>
              </strCache>
            </strRef>
          </cat>
          <val>
            <numRef>
              <f>'Ёмкость на горизонт'!$C$6:$C$8</f>
              <numCache>
                <formatCode>#\ ##0.0</formatCode>
                <ptCount val="3"/>
                <pt idx="0">
                  <v>107</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5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Диаграмма Ганта — задачи по спринтам (цвет = спринт)</a:t>
            </a:r>
          </a:p>
        </rich>
      </tx>
      <layout>
        <manualLayout>
          <xMode val="edge"/>
          <yMode val="edge"/>
          <wMode val="factor"/>
          <hMode val="factor"/>
          <x val="0.22"/>
          <y val="0.96"/>
        </manualLayout>
      </layout>
      <overlay val="0"/>
    </title>
    <plotArea>
      <layout/>
      <barChart>
        <barDir val="bar"/>
        <grouping val="stacked"/>
        <varyColors val="1"/>
        <ser>
          <idx val="0"/>
          <order val="0"/>
          <tx>
            <strRef>
              <f>Гант!$G$4</f>
              <strCache>
                <ptCount val="1"/>
                <pt idx="0">
                  <v>Начало</v>
                </pt>
              </strCache>
            </strRef>
          </tx>
          <spPr>
            <a:noFill xmlns:a="http://schemas.openxmlformats.org/drawingml/2006/main"/>
            <a:ln xmlns:a="http://schemas.openxmlformats.org/drawingml/2006/main">
              <a:noFill/>
              <a:prstDash val="solid"/>
            </a:ln>
          </spPr>
          <invertIfNegative val="1"/>
          <cat>
            <strRef>
              <f>Гант!$B$5:$B$44</f>
              <strCache>
                <ptCount val="20"/>
                <pt idx="0">
                  <v>Проектирование API заказов</v>
                </pt>
                <pt idx="1">
                  <v>Экран корзины (вёрстка)</v>
                </pt>
                <pt idx="2">
                  <v>Настройка CI/CD</v>
                </pt>
                <pt idx="3">
                  <v>Модель данных заказа</v>
                </pt>
                <pt idx="4">
                  <v>Интеграция платежей</v>
                </pt>
                <pt idx="5">
                  <v>Тест-кейсы оформления</v>
                </pt>
                <pt idx="6">
                  <v>Уведомления по e-mail</v>
                </pt>
                <pt idx="7">
                  <v>API промокодов</v>
                </pt>
                <pt idx="8">
                  <v>Логирование и метрики</v>
                </pt>
                <pt idx="9">
                  <v>Рефакторинг авторизации</v>
                </pt>
                <pt idx="10">
                  <v>Аналитика воронки</v>
                </pt>
                <pt idx="11">
                  <v>Регресс-тестирование релиза</v>
                </pt>
                <pt idx="12">
                  <v>Экран оплаты</v>
                </pt>
                <pt idx="13">
                  <v>Вебхуки платежей</v>
                </pt>
                <pt idx="14">
                  <v>История заказов</v>
                </pt>
                <pt idx="15">
                  <v>Личный кабинет</v>
                </pt>
                <pt idx="16">
                  <v>Фильтры каталога</v>
                </pt>
                <pt idx="17">
                  <v>Отзывы и рейтинги</v>
                </pt>
                <pt idx="18">
                  <v>Рекомендации</v>
                </pt>
                <pt idx="19">
                  <v>A/B тесты чекаута</v>
                </pt>
              </strCache>
            </strRef>
          </cat>
          <val>
            <numRef>
              <f>Гант!$G$5:$G$44</f>
              <numCache>
                <formatCode>dd\.mm\.yyyy</formatCode>
                <ptCount val="40"/>
                <pt idx="0">
                  <v>46237</v>
                </pt>
                <pt idx="1">
                  <v>46242</v>
                </pt>
                <pt idx="2">
                  <v>46237</v>
                </pt>
                <pt idx="3">
                  <v>46237</v>
                </pt>
                <pt idx="4">
                  <v>46251</v>
                </pt>
                <pt idx="5">
                  <v>46251</v>
                </pt>
                <pt idx="6">
                  <v>46251</v>
                </pt>
                <pt idx="7">
                  <v>46251</v>
                </pt>
                <pt idx="8">
                  <v>46251</v>
                </pt>
                <pt idx="9">
                  <v>46265</v>
                </pt>
                <pt idx="10">
                  <v>46265</v>
                </pt>
                <pt idx="11">
                  <v>46265</v>
                </pt>
                <pt idx="12">
                  <v>46265</v>
                </pt>
                <pt idx="13">
                  <v>46273</v>
                </pt>
                <pt idx="14">
                  <v>46265</v>
                </pt>
                <pt idx="15">
                  <v>46279</v>
                </pt>
                <pt idx="16">
                  <v>46287</v>
                </pt>
                <pt idx="17">
                  <v>46279</v>
                </pt>
                <pt idx="18">
                  <v>46293</v>
                </pt>
                <pt idx="19">
                  <v>46293</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numCache>
            </numRef>
          </val>
        </ser>
        <ser>
          <idx val="1"/>
          <order val="1"/>
          <tx>
            <strRef>
              <f>Гант!$I$4</f>
              <strCache>
                <ptCount val="1"/>
                <pt idx="0">
                  <v>Длит. (дн)</v>
                </pt>
              </strCache>
            </strRef>
          </tx>
          <spPr>
            <a:solidFill xmlns:a="http://schemas.openxmlformats.org/drawingml/2006/main">
              <a:srgbClr val="4472C4"/>
            </a:solidFill>
            <a:ln xmlns:a="http://schemas.openxmlformats.org/drawingml/2006/main">
              <a:prstDash val="solid"/>
            </a:ln>
          </spPr>
          <invertIfNegative val="1"/>
          <dPt>
            <idx val="0"/>
            <invertIfNegative val="1"/>
            <bubble3D val="0"/>
            <spPr>
              <a:solidFill xmlns:a="http://schemas.openxmlformats.org/drawingml/2006/main">
                <a:srgbClr val="4472C4"/>
              </a:solidFill>
              <a:ln xmlns:a="http://schemas.openxmlformats.org/drawingml/2006/main" w="34925">
                <a:solidFill>
                  <a:srgbClr val="C00000"/>
                </a:solidFill>
                <a:prstDash val="solid"/>
              </a:ln>
            </spPr>
          </dPt>
          <dPt>
            <idx val="1"/>
            <invertIfNegative val="1"/>
            <bubble3D val="0"/>
            <spPr>
              <a:ln xmlns:a="http://schemas.openxmlformats.org/drawingml/2006/main">
                <a:prstDash val="solid"/>
              </a:ln>
            </spPr>
          </dPt>
          <dPt>
            <idx val="2"/>
            <invertIfNegative val="1"/>
            <bubble3D val="0"/>
            <spPr>
              <a:ln xmlns:a="http://schemas.openxmlformats.org/drawingml/2006/main">
                <a:prstDash val="solid"/>
              </a:ln>
            </spPr>
          </dPt>
          <dPt>
            <idx val="3"/>
            <invertIfNegative val="1"/>
            <bubble3D val="0"/>
            <spPr>
              <a:ln xmlns:a="http://schemas.openxmlformats.org/drawingml/2006/main">
                <a:prstDash val="solid"/>
              </a:ln>
            </spPr>
          </dPt>
          <dPt>
            <idx val="4"/>
            <invertIfNegative val="1"/>
            <bubble3D val="0"/>
            <spPr>
              <a:solidFill xmlns:a="http://schemas.openxmlformats.org/drawingml/2006/main">
                <a:srgbClr val="ED7D31"/>
              </a:solidFill>
              <a:ln xmlns:a="http://schemas.openxmlformats.org/drawingml/2006/main" w="34925">
                <a:solidFill>
                  <a:srgbClr val="C00000"/>
                </a:solidFill>
                <a:prstDash val="solid"/>
              </a:ln>
            </spPr>
          </dPt>
          <dPt>
            <idx val="5"/>
            <invertIfNegative val="1"/>
            <bubble3D val="0"/>
            <spPr>
              <a:solidFill xmlns:a="http://schemas.openxmlformats.org/drawingml/2006/main">
                <a:srgbClr val="ED7D31"/>
              </a:solidFill>
              <a:ln xmlns:a="http://schemas.openxmlformats.org/drawingml/2006/main">
                <a:prstDash val="solid"/>
              </a:ln>
            </spPr>
          </dPt>
          <dPt>
            <idx val="6"/>
            <invertIfNegative val="1"/>
            <bubble3D val="0"/>
            <spPr>
              <a:solidFill xmlns:a="http://schemas.openxmlformats.org/drawingml/2006/main">
                <a:srgbClr val="ED7D31"/>
              </a:solidFill>
              <a:ln xmlns:a="http://schemas.openxmlformats.org/drawingml/2006/main">
                <a:prstDash val="solid"/>
              </a:ln>
            </spPr>
          </dPt>
          <dPt>
            <idx val="7"/>
            <invertIfNegative val="1"/>
            <bubble3D val="0"/>
            <spPr>
              <a:solidFill xmlns:a="http://schemas.openxmlformats.org/drawingml/2006/main">
                <a:srgbClr val="ED7D31"/>
              </a:solidFill>
              <a:ln xmlns:a="http://schemas.openxmlformats.org/drawingml/2006/main">
                <a:prstDash val="solid"/>
              </a:ln>
            </spPr>
          </dPt>
          <dPt>
            <idx val="8"/>
            <invertIfNegative val="1"/>
            <bubble3D val="0"/>
            <spPr>
              <a:solidFill xmlns:a="http://schemas.openxmlformats.org/drawingml/2006/main">
                <a:srgbClr val="ED7D31"/>
              </a:solidFill>
              <a:ln xmlns:a="http://schemas.openxmlformats.org/drawingml/2006/main">
                <a:prstDash val="solid"/>
              </a:ln>
            </spPr>
          </dPt>
          <dPt>
            <idx val="9"/>
            <invertIfNegative val="1"/>
            <bubble3D val="0"/>
            <spPr>
              <a:solidFill xmlns:a="http://schemas.openxmlformats.org/drawingml/2006/main">
                <a:srgbClr val="70AD47"/>
              </a:solidFill>
              <a:ln xmlns:a="http://schemas.openxmlformats.org/drawingml/2006/main">
                <a:prstDash val="solid"/>
              </a:ln>
            </spPr>
          </dPt>
          <dPt>
            <idx val="10"/>
            <invertIfNegative val="1"/>
            <bubble3D val="0"/>
            <spPr>
              <a:solidFill xmlns:a="http://schemas.openxmlformats.org/drawingml/2006/main">
                <a:srgbClr val="70AD47"/>
              </a:solidFill>
              <a:ln xmlns:a="http://schemas.openxmlformats.org/drawingml/2006/main">
                <a:prstDash val="solid"/>
              </a:ln>
            </spPr>
          </dPt>
          <dPt>
            <idx val="11"/>
            <invertIfNegative val="1"/>
            <bubble3D val="0"/>
            <spPr>
              <a:solidFill xmlns:a="http://schemas.openxmlformats.org/drawingml/2006/main">
                <a:srgbClr val="70AD47"/>
              </a:solidFill>
              <a:ln xmlns:a="http://schemas.openxmlformats.org/drawingml/2006/main">
                <a:prstDash val="solid"/>
              </a:ln>
            </spPr>
          </dPt>
          <dPt>
            <idx val="12"/>
            <invertIfNegative val="1"/>
            <bubble3D val="0"/>
            <spPr>
              <a:solidFill xmlns:a="http://schemas.openxmlformats.org/drawingml/2006/main">
                <a:srgbClr val="70AD47"/>
              </a:solidFill>
              <a:ln xmlns:a="http://schemas.openxmlformats.org/drawingml/2006/main" w="34925">
                <a:solidFill>
                  <a:srgbClr val="C00000"/>
                </a:solidFill>
                <a:prstDash val="solid"/>
              </a:ln>
            </spPr>
          </dPt>
          <dPt>
            <idx val="13"/>
            <invertIfNegative val="1"/>
            <bubble3D val="0"/>
            <spPr>
              <a:solidFill xmlns:a="http://schemas.openxmlformats.org/drawingml/2006/main">
                <a:srgbClr val="70AD47"/>
              </a:solidFill>
              <a:ln xmlns:a="http://schemas.openxmlformats.org/drawingml/2006/main" w="34925">
                <a:solidFill>
                  <a:srgbClr val="C00000"/>
                </a:solidFill>
                <a:prstDash val="solid"/>
              </a:ln>
            </spPr>
          </dPt>
          <dPt>
            <idx val="14"/>
            <invertIfNegative val="1"/>
            <bubble3D val="0"/>
            <spPr>
              <a:solidFill xmlns:a="http://schemas.openxmlformats.org/drawingml/2006/main">
                <a:srgbClr val="70AD47"/>
              </a:solidFill>
              <a:ln xmlns:a="http://schemas.openxmlformats.org/drawingml/2006/main">
                <a:prstDash val="solid"/>
              </a:ln>
            </spPr>
          </dPt>
          <dPt>
            <idx val="15"/>
            <invertIfNegative val="1"/>
            <bubble3D val="0"/>
            <spPr>
              <a:solidFill xmlns:a="http://schemas.openxmlformats.org/drawingml/2006/main">
                <a:srgbClr val="FFC000"/>
              </a:solidFill>
              <a:ln xmlns:a="http://schemas.openxmlformats.org/drawingml/2006/main">
                <a:prstDash val="solid"/>
              </a:ln>
            </spPr>
          </dPt>
          <dPt>
            <idx val="16"/>
            <invertIfNegative val="1"/>
            <bubble3D val="0"/>
            <spPr>
              <a:solidFill xmlns:a="http://schemas.openxmlformats.org/drawingml/2006/main">
                <a:srgbClr val="FFC000"/>
              </a:solidFill>
              <a:ln xmlns:a="http://schemas.openxmlformats.org/drawingml/2006/main">
                <a:prstDash val="solid"/>
              </a:ln>
            </spPr>
          </dPt>
          <dPt>
            <idx val="17"/>
            <invertIfNegative val="1"/>
            <bubble3D val="0"/>
            <spPr>
              <a:solidFill xmlns:a="http://schemas.openxmlformats.org/drawingml/2006/main">
                <a:srgbClr val="FFC000"/>
              </a:solidFill>
              <a:ln xmlns:a="http://schemas.openxmlformats.org/drawingml/2006/main">
                <a:prstDash val="solid"/>
              </a:ln>
            </spPr>
          </dPt>
          <dPt>
            <idx val="18"/>
            <invertIfNegative val="1"/>
            <bubble3D val="0"/>
            <spPr>
              <a:solidFill xmlns:a="http://schemas.openxmlformats.org/drawingml/2006/main">
                <a:srgbClr val="7030A0"/>
              </a:solidFill>
              <a:ln xmlns:a="http://schemas.openxmlformats.org/drawingml/2006/main">
                <a:prstDash val="solid"/>
              </a:ln>
            </spPr>
          </dPt>
          <dPt>
            <idx val="19"/>
            <invertIfNegative val="1"/>
            <bubble3D val="0"/>
            <spPr>
              <a:solidFill xmlns:a="http://schemas.openxmlformats.org/drawingml/2006/main">
                <a:srgbClr val="7030A0"/>
              </a:solidFill>
              <a:ln xmlns:a="http://schemas.openxmlformats.org/drawingml/2006/main">
                <a:prstDash val="solid"/>
              </a:ln>
            </spPr>
          </dPt>
          <cat>
            <strRef>
              <f>Гант!$B$5:$B$44</f>
              <strCache>
                <ptCount val="20"/>
                <pt idx="0">
                  <v>Проектирование API заказов</v>
                </pt>
                <pt idx="1">
                  <v>Экран корзины (вёрстка)</v>
                </pt>
                <pt idx="2">
                  <v>Настройка CI/CD</v>
                </pt>
                <pt idx="3">
                  <v>Модель данных заказа</v>
                </pt>
                <pt idx="4">
                  <v>Интеграция платежей</v>
                </pt>
                <pt idx="5">
                  <v>Тест-кейсы оформления</v>
                </pt>
                <pt idx="6">
                  <v>Уведомления по e-mail</v>
                </pt>
                <pt idx="7">
                  <v>API промокодов</v>
                </pt>
                <pt idx="8">
                  <v>Логирование и метрики</v>
                </pt>
                <pt idx="9">
                  <v>Рефакторинг авторизации</v>
                </pt>
                <pt idx="10">
                  <v>Аналитика воронки</v>
                </pt>
                <pt idx="11">
                  <v>Регресс-тестирование релиза</v>
                </pt>
                <pt idx="12">
                  <v>Экран оплаты</v>
                </pt>
                <pt idx="13">
                  <v>Вебхуки платежей</v>
                </pt>
                <pt idx="14">
                  <v>История заказов</v>
                </pt>
                <pt idx="15">
                  <v>Личный кабинет</v>
                </pt>
                <pt idx="16">
                  <v>Фильтры каталога</v>
                </pt>
                <pt idx="17">
                  <v>Отзывы и рейтинги</v>
                </pt>
                <pt idx="18">
                  <v>Рекомендации</v>
                </pt>
                <pt idx="19">
                  <v>A/B тесты чекаута</v>
                </pt>
              </strCache>
            </strRef>
          </cat>
          <val>
            <numRef>
              <f>Гант!$I$5:$I$44</f>
              <numCache>
                <formatCode>0</formatCode>
                <ptCount val="40"/>
                <pt idx="0">
                  <v>5</v>
                </pt>
                <pt idx="1">
                  <v>8</v>
                </pt>
                <pt idx="2">
                  <v>4</v>
                </pt>
                <pt idx="3">
                  <v>5</v>
                </pt>
                <pt idx="4">
                  <v>8</v>
                </pt>
                <pt idx="5">
                  <v>4</v>
                </pt>
                <pt idx="6">
                  <v>4</v>
                </pt>
                <pt idx="7">
                  <v>5</v>
                </pt>
                <pt idx="8">
                  <v>3</v>
                </pt>
                <pt idx="9">
                  <v>3</v>
                </pt>
                <pt idx="10">
                  <v>3</v>
                </pt>
                <pt idx="11">
                  <v>5</v>
                </pt>
                <pt idx="12">
                  <v>8</v>
                </pt>
                <pt idx="13">
                  <v>5</v>
                </pt>
                <pt idx="14">
                  <v>5</v>
                </pt>
                <pt idx="15">
                  <v>8</v>
                </pt>
                <pt idx="16">
                  <v>6</v>
                </pt>
                <pt idx="17">
                  <v>5</v>
                </pt>
                <pt idx="18">
                  <v>8</v>
                </pt>
                <pt idx="19">
                  <v>5</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numCache>
            </numRef>
          </val>
        </ser>
        <dLbls>
          <showLegendKey val="0"/>
          <showVal val="0"/>
          <showCatName val="0"/>
          <showSerName val="0"/>
          <showPercent val="0"/>
          <showBubbleSize val="0"/>
        </dLbls>
        <gapWidth val="150"/>
        <overlap val="100"/>
        <axId val="10"/>
        <axId val="100"/>
      </barChart>
      <catAx>
        <axId val="10"/>
        <scaling>
          <orientation val="maxMin"/>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max val="46332"/>
          <min val="46237"/>
        </scaling>
        <delete val="0"/>
        <axPos val="t"/>
        <numFmt formatCode="dd\.mm" sourceLinked="0"/>
        <majorTickMark val="none"/>
        <minorTickMark val="none"/>
        <tickLblPos val="nextTo"/>
        <crossAx val="10"/>
        <crosses val="autoZero"/>
        <crossBetween val="between"/>
      </valAx>
    </plotArea>
    <plotVisOnly val="1"/>
    <dispBlanksAs val="gap"/>
  </chart>
</chartSpace>
</file>

<file path=xl/charts/chart5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Зависимости по статусам</a:t>
            </a:r>
          </a:p>
        </rich>
      </tx>
      <overlay val="1"/>
    </title>
    <plotArea>
      <layout/>
      <barChart>
        <barDir val="col"/>
        <grouping val="clustered"/>
        <varyColors val="1"/>
        <ser>
          <idx val="0"/>
          <order val="0"/>
          <tx>
            <strRef>
              <f>Зависимости!$B$15</f>
              <strCache>
                <ptCount val="1"/>
                <pt idx="0">
                  <v>Кол-во</v>
                </pt>
              </strCache>
            </strRef>
          </tx>
          <spPr>
            <a:ln xmlns:a="http://schemas.openxmlformats.org/drawingml/2006/main">
              <a:prstDash val="solid"/>
            </a:ln>
          </spPr>
          <invertIfNegative val="1"/>
          <cat>
            <strRef>
              <f>Зависимости!$A$16:$A$20</f>
              <strCache>
                <ptCount val="5"/>
                <pt idx="0">
                  <v>Ожидается</v>
                </pt>
                <pt idx="1">
                  <v>Подтверждено</v>
                </pt>
                <pt idx="2">
                  <v>Получено</v>
                </pt>
                <pt idx="3">
                  <v>Заблокировано</v>
                </pt>
                <pt idx="4">
                  <v>Просрочено</v>
                </pt>
              </strCache>
            </strRef>
          </cat>
          <val>
            <numRef>
              <f>Зависимости!$B$16:$B$20</f>
              <numCache>
                <formatCode>General</formatCode>
                <ptCount val="5"/>
                <pt idx="0">
                  <v>3</v>
                </pt>
                <pt idx="1">
                  <v>2</v>
                </pt>
                <pt idx="2">
                  <v>1</v>
                </pt>
                <pt idx="3">
                  <v>2</v>
                </pt>
                <pt idx="4">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5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Капасити </a:t>
            </a:r>
            <a:r>
              <a:rPr lang="en-US"/>
              <a:t xml:space="preserve">vs </a:t>
            </a:r>
            <a:r>
              <a:rPr lang="ru-RU"/>
              <a:t>Спрос по ролям (текущий спринт)</a:t>
            </a:r>
          </a:p>
        </rich>
      </tx>
      <overlay val="0"/>
    </title>
    <plotArea>
      <layout/>
      <barChart>
        <barDir val="col"/>
        <grouping val="clustered"/>
        <varyColors val="1"/>
        <ser>
          <idx val="0"/>
          <order val="0"/>
          <tx>
            <strRef>
              <f>'Загрузка по ролям'!$B$5</f>
              <strCache>
                <ptCount val="1"/>
                <pt idx="0">
                  <v>Капасити (дн)</v>
                </pt>
              </strCache>
            </strRef>
          </tx>
          <spPr>
            <a:solidFill xmlns:a="http://schemas.openxmlformats.org/drawingml/2006/main">
              <a:srgbClr val="8EAADB"/>
            </a:solidFill>
            <a:ln xmlns:a="http://schemas.openxmlformats.org/drawingml/2006/main">
              <a:prstDash val="solid"/>
            </a:ln>
          </spPr>
          <invertIfNegative val="1"/>
          <cat>
            <strRef>
              <f>'Загрузка по ролям'!$A$6:$A$11</f>
              <strCache>
                <ptCount val="6"/>
                <pt idx="0">
                  <v>Backend</v>
                </pt>
                <pt idx="1">
                  <v>Frontend</v>
                </pt>
                <pt idx="2">
                  <v>QA</v>
                </pt>
                <pt idx="3">
                  <v>DevOps</v>
                </pt>
                <pt idx="4">
                  <v>Analyst</v>
                </pt>
                <pt idx="5">
                  <v>Designer</v>
                </pt>
              </strCache>
            </strRef>
          </cat>
          <val>
            <numRef>
              <f>'Загрузка по ролям'!$B$6:$B$11</f>
              <numCache>
                <formatCode>#\ ##0.0</formatCode>
                <ptCount val="6"/>
                <pt idx="0">
                  <v>32</v>
                </pt>
                <pt idx="1">
                  <v>24</v>
                </pt>
                <pt idx="2">
                  <v>14.4</v>
                </pt>
                <pt idx="3">
                  <v>6.4</v>
                </pt>
                <pt idx="4">
                  <v>12</v>
                </pt>
                <pt idx="5">
                  <v>6.4</v>
                </pt>
              </numCache>
            </numRef>
          </val>
        </ser>
        <ser>
          <idx val="1"/>
          <order val="1"/>
          <tx>
            <strRef>
              <f>'Загрузка по ролям'!$C$5</f>
              <strCache>
                <ptCount val="1"/>
                <pt idx="0">
                  <v>Спрос / План (дн)</v>
                </pt>
              </strCache>
            </strRef>
          </tx>
          <spPr>
            <a:solidFill xmlns:a="http://schemas.openxmlformats.org/drawingml/2006/main">
              <a:srgbClr val="C00000"/>
            </a:solidFill>
            <a:ln xmlns:a="http://schemas.openxmlformats.org/drawingml/2006/main">
              <a:prstDash val="solid"/>
            </a:ln>
          </spPr>
          <invertIfNegative val="1"/>
          <cat>
            <strRef>
              <f>'Загрузка по ролям'!$A$6:$A$11</f>
              <strCache>
                <ptCount val="6"/>
                <pt idx="0">
                  <v>Backend</v>
                </pt>
                <pt idx="1">
                  <v>Frontend</v>
                </pt>
                <pt idx="2">
                  <v>QA</v>
                </pt>
                <pt idx="3">
                  <v>DevOps</v>
                </pt>
                <pt idx="4">
                  <v>Analyst</v>
                </pt>
                <pt idx="5">
                  <v>Designer</v>
                </pt>
              </strCache>
            </strRef>
          </cat>
          <val>
            <numRef>
              <f>'Загрузка по ролям'!$C$6:$C$11</f>
              <numCache>
                <formatCode>#\ ##0.0</formatCode>
                <ptCount val="6"/>
                <pt idx="0">
                  <v>8</v>
                </pt>
                <pt idx="1">
                  <v>13</v>
                </pt>
                <pt idx="2">
                  <v>5</v>
                </pt>
                <pt idx="3">
                  <v>0</v>
                </pt>
                <pt idx="4">
                  <v>3</v>
                </pt>
                <pt idx="5">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Роль</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Burndown — </a:t>
            </a:r>
            <a:r>
              <a:rPr lang="ru-RU"/>
              <a:t>сгорание задач (дни)</a:t>
            </a:r>
          </a:p>
        </rich>
      </tx>
      <overlay val="0"/>
    </title>
    <plotArea>
      <layout/>
      <lineChart>
        <grouping val="standard"/>
        <varyColors val="1"/>
        <ser>
          <idx val="0"/>
          <order val="0"/>
          <tx>
            <strRef>
              <f>Сгорание!$C$6</f>
              <strCache>
                <ptCount val="1"/>
                <pt idx="0">
                  <v>Идеальный остаток (дн)</v>
                </pt>
              </strCache>
            </strRef>
          </tx>
          <spPr>
            <a:ln xmlns:a="http://schemas.openxmlformats.org/drawingml/2006/main">
              <a:solidFill>
                <a:srgbClr val="808080"/>
              </a:solidFill>
              <a:prstDash val="dash"/>
            </a:ln>
          </spPr>
          <marker>
            <symbol val="circle"/>
            <size val="6"/>
            <spPr>
              <a:ln xmlns:a="http://schemas.openxmlformats.org/drawingml/2006/main">
                <a:prstDash val="solid"/>
              </a:ln>
            </spPr>
          </marker>
          <cat>
            <numRef>
              <f>Сгорание!$A$7:$A$17</f>
              <numCache>
                <formatCode>General</formatCode>
                <ptCount val="11"/>
                <pt idx="0">
                  <v>0</v>
                </pt>
                <pt idx="1">
                  <v>1</v>
                </pt>
                <pt idx="2">
                  <v>2</v>
                </pt>
                <pt idx="3">
                  <v>3</v>
                </pt>
                <pt idx="4">
                  <v>4</v>
                </pt>
                <pt idx="5">
                  <v>5</v>
                </pt>
                <pt idx="6">
                  <v>6</v>
                </pt>
                <pt idx="7">
                  <v>7</v>
                </pt>
                <pt idx="8">
                  <v>8</v>
                </pt>
                <pt idx="9">
                  <v>9</v>
                </pt>
                <pt idx="10">
                  <v>10</v>
                </pt>
              </numCache>
            </numRef>
          </cat>
          <val>
            <numRef>
              <f>Сгорание!$C$7:$C$17</f>
              <numCache>
                <formatCode>#\ ##0.0</formatCode>
                <ptCount val="11"/>
                <pt idx="0">
                  <v>29</v>
                </pt>
                <pt idx="1">
                  <v>26.1</v>
                </pt>
                <pt idx="2">
                  <v>23.2</v>
                </pt>
                <pt idx="3">
                  <v>20.3</v>
                </pt>
                <pt idx="4">
                  <v>17.4</v>
                </pt>
                <pt idx="5">
                  <v>14.5</v>
                </pt>
                <pt idx="6">
                  <v>11.6</v>
                </pt>
                <pt idx="7">
                  <v>8.699999999999999</v>
                </pt>
                <pt idx="8">
                  <v>5.8</v>
                </pt>
                <pt idx="9">
                  <v>2.9</v>
                </pt>
                <pt idx="10">
                  <v>0</v>
                </pt>
              </numCache>
            </numRef>
          </val>
          <smooth val="0"/>
        </ser>
        <ser>
          <idx val="1"/>
          <order val="1"/>
          <tx>
            <strRef>
              <f>Сгорание!$D$6</f>
              <strCache>
                <ptCount val="1"/>
                <pt idx="0">
                  <v>Факт. остаток (дн)</v>
                </pt>
              </strCache>
            </strRef>
          </tx>
          <spPr>
            <a:ln xmlns:a="http://schemas.openxmlformats.org/drawingml/2006/main" w="28000">
              <a:solidFill>
                <a:srgbClr val="C00000"/>
              </a:solidFill>
              <a:prstDash val="solid"/>
            </a:ln>
          </spPr>
          <marker>
            <symbol val="circle"/>
            <size val="6"/>
            <spPr>
              <a:ln xmlns:a="http://schemas.openxmlformats.org/drawingml/2006/main">
                <a:prstDash val="solid"/>
              </a:ln>
            </spPr>
          </marker>
          <cat>
            <numRef>
              <f>Сгорание!$A$7:$A$17</f>
              <numCache>
                <formatCode>General</formatCode>
                <ptCount val="11"/>
                <pt idx="0">
                  <v>0</v>
                </pt>
                <pt idx="1">
                  <v>1</v>
                </pt>
                <pt idx="2">
                  <v>2</v>
                </pt>
                <pt idx="3">
                  <v>3</v>
                </pt>
                <pt idx="4">
                  <v>4</v>
                </pt>
                <pt idx="5">
                  <v>5</v>
                </pt>
                <pt idx="6">
                  <v>6</v>
                </pt>
                <pt idx="7">
                  <v>7</v>
                </pt>
                <pt idx="8">
                  <v>8</v>
                </pt>
                <pt idx="9">
                  <v>9</v>
                </pt>
                <pt idx="10">
                  <v>10</v>
                </pt>
              </numCache>
            </numRef>
          </cat>
          <val>
            <numRef>
              <f>Сгорание!$D$7:$D$17</f>
              <numCache>
                <formatCode>#\ ##0.0</formatCode>
                <ptCount val="11"/>
                <pt idx="0">
                  <v>29</v>
                </pt>
                <pt idx="1">
                  <v>28.4</v>
                </pt>
                <pt idx="2">
                  <v>26.1</v>
                </pt>
                <pt idx="3">
                  <v>24.9</v>
                </pt>
                <pt idx="4">
                  <v>20.9</v>
                </pt>
                <pt idx="5">
                  <v>17.4</v>
                </pt>
                <pt idx="6">
                  <v>16</v>
                </pt>
                <pt idx="7">
                  <v>11.6</v>
                </pt>
                <pt idx="8">
                  <v>8.1</v>
                </pt>
                <pt idx="9">
                  <v>3.5</v>
                </pt>
                <pt idx="10">
                  <v>0</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День спринта</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Остаток (дни)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Burn-up: </a:t>
            </a:r>
            <a:r>
              <a:rPr lang="ru-RU"/>
              <a:t xml:space="preserve">объём </a:t>
            </a:r>
            <a:r>
              <a:rPr lang="en-US"/>
              <a:t xml:space="preserve">vs </a:t>
            </a:r>
            <a:r>
              <a:rPr lang="ru-RU"/>
              <a:t>сделано</a:t>
            </a:r>
          </a:p>
        </rich>
      </tx>
      <overlay val="0"/>
    </title>
    <plotArea>
      <layout/>
      <lineChart>
        <grouping val="standard"/>
        <varyColors val="1"/>
        <ser>
          <idx val="0"/>
          <order val="0"/>
          <tx>
            <strRef>
              <f>Сгорание!$B$21</f>
              <strCache>
                <ptCount val="1"/>
                <pt idx="0">
                  <v>Накопл.
сделано (дн)</v>
                </pt>
              </strCache>
            </strRef>
          </tx>
          <spPr>
            <a:ln xmlns:a="http://schemas.openxmlformats.org/drawingml/2006/main" w="28000">
              <a:solidFill>
                <a:srgbClr val="70AD47"/>
              </a:solidFill>
              <a:prstDash val="solid"/>
            </a:ln>
          </spPr>
          <marker>
            <symbol val="circle"/>
            <size val="6"/>
            <spPr>
              <a:ln xmlns:a="http://schemas.openxmlformats.org/drawingml/2006/main">
                <a:prstDash val="solid"/>
              </a:ln>
            </spPr>
          </marker>
          <cat>
            <numRef>
              <f>Сгорание!$A$22:$A$32</f>
              <numCache>
                <formatCode>General</formatCode>
                <ptCount val="11"/>
                <pt idx="0">
                  <v>1</v>
                </pt>
                <pt idx="1">
                  <v>2</v>
                </pt>
                <pt idx="2">
                  <v>3</v>
                </pt>
                <pt idx="3">
                  <v>4</v>
                </pt>
                <pt idx="4">
                  <v>5</v>
                </pt>
                <pt idx="5">
                  <v>6</v>
                </pt>
                <pt idx="6">
                  <v>7</v>
                </pt>
                <pt idx="7">
                  <v>8</v>
                </pt>
                <pt idx="8">
                  <v>9</v>
                </pt>
                <pt idx="9">
                  <v>10</v>
                </pt>
                <pt idx="10">
                  <v>11</v>
                </pt>
              </numCache>
            </numRef>
          </cat>
          <val>
            <numRef>
              <f>Сгорание!$B$22:$B$32</f>
              <numCache>
                <formatCode>#\ ##0.0</formatCode>
                <ptCount val="11"/>
                <pt idx="0">
                  <v>17</v>
                </pt>
                <pt idx="1">
                  <v>38</v>
                </pt>
                <pt idx="2">
                  <v>38</v>
                </pt>
                <pt idx="3">
                  <v>38</v>
                </pt>
                <pt idx="4">
                  <v>38</v>
                </pt>
                <pt idx="5">
                  <v>38</v>
                </pt>
                <pt idx="6">
                  <v>38</v>
                </pt>
                <pt idx="7">
                  <v>38</v>
                </pt>
                <pt idx="8">
                  <v>38</v>
                </pt>
                <pt idx="9">
                  <v>38</v>
                </pt>
                <pt idx="10">
                  <v>38</v>
                </pt>
              </numCache>
            </numRef>
          </val>
          <smooth val="0"/>
        </ser>
        <ser>
          <idx val="1"/>
          <order val="1"/>
          <tx>
            <strRef>
              <f>Сгорание!$C$21</f>
              <strCache>
                <ptCount val="1"/>
                <pt idx="0">
                  <v>Общий
объём (дн)</v>
                </pt>
              </strCache>
            </strRef>
          </tx>
          <spPr>
            <a:ln xmlns:a="http://schemas.openxmlformats.org/drawingml/2006/main">
              <a:solidFill>
                <a:srgbClr val="C00000"/>
              </a:solidFill>
              <a:prstDash val="dash"/>
            </a:ln>
          </spPr>
          <marker>
            <symbol val="circle"/>
            <size val="6"/>
            <spPr>
              <a:ln xmlns:a="http://schemas.openxmlformats.org/drawingml/2006/main">
                <a:prstDash val="solid"/>
              </a:ln>
            </spPr>
          </marker>
          <cat>
            <numRef>
              <f>Сгорание!$A$22:$A$32</f>
              <numCache>
                <formatCode>General</formatCode>
                <ptCount val="11"/>
                <pt idx="0">
                  <v>1</v>
                </pt>
                <pt idx="1">
                  <v>2</v>
                </pt>
                <pt idx="2">
                  <v>3</v>
                </pt>
                <pt idx="3">
                  <v>4</v>
                </pt>
                <pt idx="4">
                  <v>5</v>
                </pt>
                <pt idx="5">
                  <v>6</v>
                </pt>
                <pt idx="6">
                  <v>7</v>
                </pt>
                <pt idx="7">
                  <v>8</v>
                </pt>
                <pt idx="8">
                  <v>9</v>
                </pt>
                <pt idx="9">
                  <v>10</v>
                </pt>
                <pt idx="10">
                  <v>11</v>
                </pt>
              </numCache>
            </numRef>
          </cat>
          <val>
            <numRef>
              <f>Сгорание!$C$22:$C$32</f>
              <numCache>
                <formatCode>#\ ##0.0</formatCode>
                <ptCount val="11"/>
                <pt idx="0">
                  <v>107</v>
                </pt>
                <pt idx="1">
                  <v>107</v>
                </pt>
                <pt idx="2">
                  <v>107</v>
                </pt>
                <pt idx="3">
                  <v>107</v>
                </pt>
                <pt idx="4">
                  <v>107</v>
                </pt>
                <pt idx="5">
                  <v>107</v>
                </pt>
                <pt idx="6">
                  <v>107</v>
                </pt>
                <pt idx="7">
                  <v>107</v>
                </pt>
                <pt idx="8">
                  <v>107</v>
                </pt>
                <pt idx="9">
                  <v>107</v>
                </pt>
                <pt idx="10">
                  <v>107</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Дефекты: найдено </a:t>
            </a:r>
            <a:r>
              <a:rPr lang="en-US"/>
              <a:t xml:space="preserve">vs </a:t>
            </a:r>
            <a:r>
              <a:rPr lang="ru-RU"/>
              <a:t>закрыто</a:t>
            </a:r>
          </a:p>
        </rich>
      </tx>
      <overlay val="0"/>
    </title>
    <plotArea>
      <layout/>
      <barChart>
        <barDir val="col"/>
        <grouping val="clustered"/>
        <varyColors val="1"/>
        <ser>
          <idx val="0"/>
          <order val="0"/>
          <tx>
            <strRef>
              <f>Качество!$B$4</f>
              <strCache>
                <ptCount val="1"/>
                <pt idx="0">
                  <v>Найдено</v>
                </pt>
              </strCache>
            </strRef>
          </tx>
          <spPr>
            <a:solidFill xmlns:a="http://schemas.openxmlformats.org/drawingml/2006/main">
              <a:srgbClr val="ED7D31"/>
            </a:solidFill>
            <a:ln xmlns:a="http://schemas.openxmlformats.org/drawingml/2006/main">
              <a:prstDash val="solid"/>
            </a:ln>
          </spPr>
          <invertIfNegative val="1"/>
          <cat>
            <strRef>
              <f>Качество!$A$5:$A$15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Качество!$B$5:$B$15</f>
              <numCache>
                <formatCode>General</formatCode>
                <ptCount val="11"/>
                <pt idx="0">
                  <v>5</v>
                </pt>
                <pt idx="1">
                  <v>6</v>
                </pt>
                <pt idx="2">
                  <v>2</v>
                </pt>
                <pt idx="3">
                  <v>0</v>
                </pt>
                <pt idx="4">
                  <v>0</v>
                </pt>
                <pt idx="5">
                  <v>0</v>
                </pt>
                <pt idx="6">
                  <v>0</v>
                </pt>
                <pt idx="7">
                  <v>0</v>
                </pt>
                <pt idx="8">
                  <v>0</v>
                </pt>
                <pt idx="9">
                  <v>0</v>
                </pt>
                <pt idx="10">
                  <v>0</v>
                </pt>
              </numCache>
            </numRef>
          </val>
        </ser>
        <ser>
          <idx val="1"/>
          <order val="1"/>
          <tx>
            <strRef>
              <f>Качество!$C$4</f>
              <strCache>
                <ptCount val="1"/>
                <pt idx="0">
                  <v>Закрыто</v>
                </pt>
              </strCache>
            </strRef>
          </tx>
          <spPr>
            <a:solidFill xmlns:a="http://schemas.openxmlformats.org/drawingml/2006/main">
              <a:srgbClr val="70AD47"/>
            </a:solidFill>
            <a:ln xmlns:a="http://schemas.openxmlformats.org/drawingml/2006/main">
              <a:prstDash val="solid"/>
            </a:ln>
          </spPr>
          <invertIfNegative val="1"/>
          <cat>
            <strRef>
              <f>Качество!$A$5:$A$15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Качество!$C$5:$C$15</f>
              <numCache>
                <formatCode>General</formatCode>
                <ptCount val="11"/>
                <pt idx="0">
                  <v>4</v>
                </pt>
                <pt idx="1">
                  <v>6</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Багов</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6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Баги по спринтам (кол-во)</a:t>
            </a:r>
          </a:p>
        </rich>
      </tx>
      <overlay val="1"/>
    </title>
    <plotArea>
      <layout/>
      <barChart>
        <barDir val="col"/>
        <grouping val="stacked"/>
        <varyColors val="1"/>
        <ser>
          <idx val="0"/>
          <order val="0"/>
          <tx>
            <strRef>
              <f>Баги!$L$5</f>
              <strCache>
                <ptCount val="1"/>
                <pt idx="0">
                  <v>Закрыто</v>
                </pt>
              </strCache>
            </strRef>
          </tx>
          <spPr>
            <a:solidFill xmlns:a="http://schemas.openxmlformats.org/drawingml/2006/main">
              <a:srgbClr val="70AD47"/>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Баги!$L$6:$L$16</f>
              <numCache>
                <formatCode>General</formatCode>
                <ptCount val="11"/>
                <pt idx="0">
                  <v>4</v>
                </pt>
                <pt idx="1">
                  <v>6</v>
                </pt>
                <pt idx="2">
                  <v>0</v>
                </pt>
                <pt idx="3">
                  <v>0</v>
                </pt>
                <pt idx="4">
                  <v>0</v>
                </pt>
                <pt idx="5">
                  <v>0</v>
                </pt>
                <pt idx="6">
                  <v>0</v>
                </pt>
                <pt idx="7">
                  <v>0</v>
                </pt>
                <pt idx="8">
                  <v>0</v>
                </pt>
                <pt idx="9">
                  <v>0</v>
                </pt>
                <pt idx="10">
                  <v>0</v>
                </pt>
              </numCache>
            </numRef>
          </val>
        </ser>
        <ser>
          <idx val="1"/>
          <order val="1"/>
          <tx>
            <strRef>
              <f>Баги!$M$5</f>
              <strCache>
                <ptCount val="1"/>
                <pt idx="0">
                  <v>Открыто</v>
                </pt>
              </strCache>
            </strRef>
          </tx>
          <spPr>
            <a:solidFill xmlns:a="http://schemas.openxmlformats.org/drawingml/2006/main">
              <a:srgbClr val="C00000"/>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Баги!$M$6:$M$16</f>
              <numCache>
                <formatCode>General</formatCode>
                <ptCount val="11"/>
                <pt idx="0">
                  <v>1</v>
                </pt>
                <pt idx="1">
                  <v>0</v>
                </pt>
                <pt idx="2">
                  <v>2</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overlap val="10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6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закрытых по спринтам</a:t>
            </a:r>
          </a:p>
        </rich>
      </tx>
      <overlay val="1"/>
    </title>
    <plotArea>
      <layout/>
      <barChart>
        <barDir val="col"/>
        <grouping val="clustered"/>
        <varyColors val="1"/>
        <ser>
          <idx val="0"/>
          <order val="0"/>
          <tx>
            <strRef>
              <f>Баги!$N$5</f>
              <strCache>
                <ptCount val="1"/>
                <pt idx="0">
                  <v>% закрытых</v>
                </pt>
              </strCache>
            </strRef>
          </tx>
          <spPr>
            <a:solidFill xmlns:a="http://schemas.openxmlformats.org/drawingml/2006/main">
              <a:srgbClr val="4472C4"/>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Баги!$N$6:$N$16</f>
              <numCache>
                <formatCode>0%</formatCode>
                <ptCount val="11"/>
                <pt idx="0">
                  <v>0.8</v>
                </pt>
                <pt idx="1">
                  <v>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0"/>
        <majorTickMark val="none"/>
        <minorTickMark val="none"/>
        <tickLblPos val="nextTo"/>
        <crossAx val="10"/>
        <crosses val="autoZero"/>
        <crossBetween val="between"/>
      </valAx>
    </plotArea>
    <plotVisOnly val="1"/>
    <dispBlanksAs val="gap"/>
  </chart>
</chartSpace>
</file>

<file path=xl/charts/chart6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Доля багов по спринтам</a:t>
            </a:r>
          </a:p>
        </rich>
      </tx>
      <overlay val="1"/>
    </title>
    <plotArea>
      <layout/>
      <pieChart>
        <varyColors val="1"/>
        <ser>
          <idx val="0"/>
          <order val="0"/>
          <spPr>
            <a:ln xmlns:a="http://schemas.openxmlformats.org/drawingml/2006/main">
              <a:prstDash val="solid"/>
            </a:ln>
          </spPr>
          <dLbls>
            <spPr>
              <a:noFill xmlns:a="http://schemas.openxmlformats.org/drawingml/2006/main"/>
              <a:ln xmlns:a="http://schemas.openxmlformats.org/drawingml/2006/main">
                <a:noFill/>
                <a:prstDash val="solid"/>
              </a:ln>
            </spPr>
            <showLegendKey val="0"/>
            <showVal val="0"/>
            <showCatName val="0"/>
            <showSerName val="0"/>
            <showPercent val="1"/>
            <showBubbleSize val="1"/>
            <showLeaderLines val="1"/>
          </dLbls>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Баги!$P$6:$P$16</f>
              <numCache>
                <formatCode>General</formatCode>
                <ptCount val="11"/>
                <pt idx="0">
                  <v>5</v>
                </pt>
                <pt idx="1">
                  <v>6</v>
                </pt>
                <pt idx="2">
                  <v>2</v>
                </pt>
                <pt idx="3">
                  <v>#N/A</v>
                </pt>
                <pt idx="4">
                  <v>#N/A</v>
                </pt>
                <pt idx="5">
                  <v>#N/A</v>
                </pt>
                <pt idx="6">
                  <v>#N/A</v>
                </pt>
                <pt idx="7">
                  <v>#N/A</v>
                </pt>
                <pt idx="8">
                  <v>#N/A</v>
                </pt>
                <pt idx="9">
                  <v>#N/A</v>
                </pt>
                <pt idx="10">
                  <v>#N/A</v>
                </pt>
              </numCache>
            </numRef>
          </val>
        </ser>
        <dLbls>
          <showLegendKey val="0"/>
          <showVal val="0"/>
          <showCatName val="0"/>
          <showSerName val="0"/>
          <showPercent val="1"/>
          <showBubbleSize val="1"/>
          <showLeaderLines val="1"/>
        </dLbls>
        <firstSliceAng val="0"/>
      </pieChart>
    </plotArea>
    <legend>
      <legendPos val="r"/>
      <overlay val="0"/>
    </legend>
    <plotVisOnly val="0"/>
    <dispBlanksAs val="gap"/>
  </chart>
</chartSpace>
</file>

<file path=xl/charts/chart6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Cumulative Flow Diagram</a:t>
            </a:r>
          </a:p>
        </rich>
      </tx>
      <overlay val="0"/>
    </title>
    <plotArea>
      <layout/>
      <barChart>
        <barDir val="col"/>
        <grouping val="stacked"/>
        <varyColors val="1"/>
        <ser>
          <idx val="0"/>
          <order val="0"/>
          <tx>
            <strRef>
              <f>CFD!$B$4</f>
              <strCache>
                <ptCount val="1"/>
                <pt idx="0">
                  <v>To Do</v>
                </pt>
              </strCache>
            </strRef>
          </tx>
          <spPr>
            <a:solidFill xmlns:a="http://schemas.openxmlformats.org/drawingml/2006/main">
              <a:srgbClr val="BFBFBF"/>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CFD!$B$5:$B$15</f>
              <numCache>
                <formatCode>General</formatCode>
                <ptCount val="11"/>
                <pt idx="0">
                  <v>8</v>
                </pt>
                <pt idx="1">
                  <v>7</v>
                </pt>
                <pt idx="2">
                  <v>6</v>
                </pt>
                <pt idx="3">
                  <v>5</v>
                </pt>
                <pt idx="4">
                  <v>4</v>
                </pt>
                <pt idx="5">
                  <v>3</v>
                </pt>
                <pt idx="6">
                  <v>3</v>
                </pt>
                <pt idx="7">
                  <v>2</v>
                </pt>
                <pt idx="8">
                  <v>1</v>
                </pt>
                <pt idx="9">
                  <v>1</v>
                </pt>
                <pt idx="10">
                  <v>0</v>
                </pt>
              </numCache>
            </numRef>
          </val>
        </ser>
        <ser>
          <idx val="1"/>
          <order val="1"/>
          <tx>
            <strRef>
              <f>CFD!$C$4</f>
              <strCache>
                <ptCount val="1"/>
                <pt idx="0">
                  <v>В работе</v>
                </pt>
              </strCache>
            </strRef>
          </tx>
          <spPr>
            <a:solidFill xmlns:a="http://schemas.openxmlformats.org/drawingml/2006/main">
              <a:srgbClr val="FFC000"/>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CFD!$C$5:$C$15</f>
              <numCache>
                <formatCode>General</formatCode>
                <ptCount val="11"/>
                <pt idx="0">
                  <v>0</v>
                </pt>
                <pt idx="1">
                  <v>1</v>
                </pt>
                <pt idx="2">
                  <v>2</v>
                </pt>
                <pt idx="3">
                  <v>2</v>
                </pt>
                <pt idx="4">
                  <v>3</v>
                </pt>
                <pt idx="5">
                  <v>3</v>
                </pt>
                <pt idx="6">
                  <v>2</v>
                </pt>
                <pt idx="7">
                  <v>2</v>
                </pt>
                <pt idx="8">
                  <v>2</v>
                </pt>
                <pt idx="9">
                  <v>1</v>
                </pt>
                <pt idx="10">
                  <v>0</v>
                </pt>
              </numCache>
            </numRef>
          </val>
        </ser>
        <ser>
          <idx val="2"/>
          <order val="2"/>
          <tx>
            <strRef>
              <f>CFD!$D$4</f>
              <strCache>
                <ptCount val="1"/>
                <pt idx="0">
                  <v>Готово</v>
                </pt>
              </strCache>
            </strRef>
          </tx>
          <spPr>
            <a:solidFill xmlns:a="http://schemas.openxmlformats.org/drawingml/2006/main">
              <a:srgbClr val="70AD47"/>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CFD!$D$5:$D$15</f>
              <numCache>
                <formatCode>General</formatCode>
                <ptCount val="11"/>
                <pt idx="0">
                  <v>0</v>
                </pt>
                <pt idx="1">
                  <v>0</v>
                </pt>
                <pt idx="2">
                  <v>0</v>
                </pt>
                <pt idx="3">
                  <v>1</v>
                </pt>
                <pt idx="4">
                  <v>1</v>
                </pt>
                <pt idx="5">
                  <v>2</v>
                </pt>
                <pt idx="6">
                  <v>3</v>
                </pt>
                <pt idx="7">
                  <v>4</v>
                </pt>
                <pt idx="8">
                  <v>5</v>
                </pt>
                <pt idx="9">
                  <v>6</v>
                </pt>
                <pt idx="10">
                  <v>8</v>
                </pt>
              </numCache>
            </numRef>
          </val>
        </ser>
        <dLbls>
          <showLegendKey val="0"/>
          <showVal val="0"/>
          <showCatName val="0"/>
          <showSerName val="0"/>
          <showPercent val="0"/>
          <showBubbleSize val="0"/>
        </dLbls>
        <gapWidth val="150"/>
        <overlap val="10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День спринта</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Задач</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6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Velocity: </a:t>
            </a:r>
            <a:r>
              <a:rPr lang="ru-RU"/>
              <a:t>тренд и прогноз</a:t>
            </a:r>
          </a:p>
        </rich>
      </tx>
      <overlay val="0"/>
    </title>
    <plotArea>
      <layout/>
      <lineChart>
        <grouping val="standard"/>
        <varyColors val="1"/>
        <ser>
          <idx val="0"/>
          <order val="0"/>
          <spPr>
            <a:ln xmlns:a="http://schemas.openxmlformats.org/drawingml/2006/main" w="26000">
              <a:solidFill>
                <a:srgbClr val="C00000"/>
              </a:solidFill>
              <a:prstDash val="solid"/>
            </a:ln>
          </spPr>
          <marker>
            <symbol val="none"/>
            <spPr>
              <a:ln xmlns:a="http://schemas.openxmlformats.org/drawingml/2006/main">
                <a:prstDash val="solid"/>
              </a:ln>
            </spPr>
          </marker>
          <trendline>
            <trendlineType val="linear"/>
            <forward val="3"/>
            <dispRSqr val="1"/>
            <dispEq val="0"/>
            <trendlineLbl>
              <numFmt formatCode="General" sourceLinked="0"/>
            </trendlineLbl>
          </trendline>
          <cat>
            <numRef>
              <f>'Метрики и прогноз'!$E$3:$E$13</f>
              <numCache>
                <formatCode>General</formatCode>
                <ptCount val="11"/>
                <pt idx="0">
                  <v>1</v>
                </pt>
                <pt idx="1">
                  <v>2</v>
                </pt>
                <pt idx="2">
                  <v>3</v>
                </pt>
                <pt idx="3">
                  <v>4</v>
                </pt>
                <pt idx="4">
                  <v>5</v>
                </pt>
                <pt idx="5">
                  <v>6</v>
                </pt>
                <pt idx="6">
                  <v>7</v>
                </pt>
                <pt idx="7">
                  <v>8</v>
                </pt>
                <pt idx="8">
                  <v>9</v>
                </pt>
                <pt idx="9">
                  <v>10</v>
                </pt>
                <pt idx="10">
                  <v>11</v>
                </pt>
              </numCache>
            </numRef>
          </cat>
          <val>
            <numRef>
              <f>'Метрики и прогноз'!$F$2:$F$13</f>
              <numCache>
                <formatCode>General</formatCode>
                <ptCount val="12"/>
                <pt idx="1">
                  <v>17</v>
                </pt>
                <pt idx="2">
                  <v>21</v>
                </pt>
                <pt idx="3">
                  <v>0</v>
                </pt>
                <pt idx="4">
                  <v>0</v>
                </pt>
                <pt idx="5">
                  <v>0</v>
                </pt>
                <pt idx="6">
                  <v>0</v>
                </pt>
                <pt idx="7">
                  <v>0</v>
                </pt>
                <pt idx="8">
                  <v>0</v>
                </pt>
                <pt idx="9">
                  <v>0</v>
                </pt>
                <pt idx="10">
                  <v>0</v>
                </pt>
                <pt idx="11">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6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Throughput </a:t>
            </a:r>
            <a:r>
              <a:rPr lang="ru-RU"/>
              <a:t>по спринтам</a:t>
            </a:r>
          </a:p>
        </rich>
      </tx>
      <overlay val="0"/>
    </title>
    <plotArea>
      <layout/>
      <barChart>
        <barDir val="col"/>
        <grouping val="clustered"/>
        <varyColors val="1"/>
        <ser>
          <idx val="0"/>
          <order val="0"/>
          <tx>
            <strRef>
              <f>'Метрики и прогноз'!$B$11</f>
              <strCache>
                <ptCount val="1"/>
                <pt idx="0">
                  <v>Задач сделано</v>
                </pt>
              </strCache>
            </strRef>
          </tx>
          <spPr>
            <a:solidFill xmlns:a="http://schemas.openxmlformats.org/drawingml/2006/main">
              <a:srgbClr val="4472C4"/>
            </a:solidFill>
            <a:ln xmlns:a="http://schemas.openxmlformats.org/drawingml/2006/main">
              <a:prstDash val="solid"/>
            </a:ln>
          </spPr>
          <invertIfNegative val="1"/>
          <cat>
            <numRef>
              <f>'Метрики и прогноз'!$A$12:$A$22</f>
              <numCache>
                <formatCode>General</formatCode>
                <ptCount val="11"/>
                <pt idx="0">
                  <v>1</v>
                </pt>
                <pt idx="1">
                  <v>2</v>
                </pt>
                <pt idx="2">
                  <v>3</v>
                </pt>
                <pt idx="3">
                  <v>4</v>
                </pt>
                <pt idx="4">
                  <v>5</v>
                </pt>
                <pt idx="5">
                  <v>6</v>
                </pt>
                <pt idx="6">
                  <v>7</v>
                </pt>
                <pt idx="7">
                  <v>8</v>
                </pt>
                <pt idx="8">
                  <v>9</v>
                </pt>
                <pt idx="9">
                  <v>10</v>
                </pt>
                <pt idx="10">
                  <v>11</v>
                </pt>
              </numCache>
            </numRef>
          </cat>
          <val>
            <numRef>
              <f>'Метрики и прогноз'!$B$12:$B$22</f>
              <numCache>
                <formatCode>General</formatCode>
                <ptCount val="11"/>
                <pt idx="0">
                  <v>3</v>
                </pt>
                <pt idx="1">
                  <v>4</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6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Парето: причины багов</a:t>
            </a:r>
          </a:p>
        </rich>
      </tx>
      <overlay val="0"/>
    </title>
    <plotArea>
      <layout/>
      <barChart>
        <barDir val="col"/>
        <grouping val="clustered"/>
        <varyColors val="1"/>
        <ser>
          <idx val="0"/>
          <order val="0"/>
          <tx>
            <strRef>
              <f>'Метрики и прогноз'!$B$47</f>
              <strCache>
                <ptCount val="1"/>
                <pt idx="0">
                  <v>Кол-во</v>
                </pt>
              </strCache>
            </strRef>
          </tx>
          <spPr>
            <a:solidFill xmlns:a="http://schemas.openxmlformats.org/drawingml/2006/main">
              <a:srgbClr val="ED7D31"/>
            </a:solidFill>
            <a:ln xmlns:a="http://schemas.openxmlformats.org/drawingml/2006/main">
              <a:prstDash val="solid"/>
            </a:ln>
          </spPr>
          <invertIfNegative val="1"/>
          <cat>
            <strRef>
              <f>'Метрики и прогноз'!$A$48:$A$53</f>
              <strCache>
                <ptCount val="6"/>
                <pt idx="0">
                  <v>Интеграция</v>
                </pt>
                <pt idx="1">
                  <v>Код</v>
                </pt>
                <pt idx="2">
                  <v>Требования</v>
                </pt>
                <pt idx="3">
                  <v>Тестирование</v>
                </pt>
                <pt idx="4">
                  <v>Данные</v>
                </pt>
                <pt idx="5">
                  <v>Инфраструктура</v>
                </pt>
              </strCache>
            </strRef>
          </cat>
          <val>
            <numRef>
              <f>'Метрики и прогноз'!$B$48:$B$53</f>
              <numCache>
                <formatCode>General</formatCode>
                <ptCount val="6"/>
                <pt idx="0">
                  <v>4</v>
                </pt>
                <pt idx="1">
                  <v>3</v>
                </pt>
                <pt idx="2">
                  <v>3</v>
                </pt>
                <pt idx="3">
                  <v>2</v>
                </pt>
                <pt idx="4">
                  <v>1</v>
                </pt>
                <pt idx="5">
                  <v>0</v>
                </pt>
              </numCache>
            </numRef>
          </val>
        </ser>
        <dLbls>
          <showLegendKey val="0"/>
          <showVal val="0"/>
          <showCatName val="0"/>
          <showSerName val="0"/>
          <showPercent val="0"/>
          <showBubbleSize val="0"/>
        </dLbls>
        <gapWidth val="150"/>
        <axId val="10"/>
        <axId val="100"/>
      </barChart>
      <lineChart>
        <grouping val="standard"/>
        <varyColors val="1"/>
        <ser>
          <idx val="1"/>
          <order val="1"/>
          <tx>
            <strRef>
              <f>'Метрики и прогноз'!$C$47</f>
              <strCache>
                <ptCount val="1"/>
                <pt idx="0">
                  <v>Накопл. %</v>
                </pt>
              </strCache>
            </strRef>
          </tx>
          <spPr>
            <a:ln xmlns:a="http://schemas.openxmlformats.org/drawingml/2006/main">
              <a:solidFill>
                <a:srgbClr val="C00000"/>
              </a:solidFill>
              <a:prstDash val="solid"/>
            </a:ln>
          </spPr>
          <marker>
            <symbol val="none"/>
            <spPr>
              <a:ln xmlns:a="http://schemas.openxmlformats.org/drawingml/2006/main">
                <a:prstDash val="solid"/>
              </a:ln>
            </spPr>
          </marker>
          <val>
            <numRef>
              <f>'Метрики и прогноз'!$C$48:$C$53</f>
              <numCache>
                <formatCode>0%</formatCode>
                <ptCount val="6"/>
                <pt idx="0">
                  <v>0.3076923076923077</v>
                </pt>
                <pt idx="1">
                  <v>0.5384615384615384</v>
                </pt>
                <pt idx="2">
                  <v>0.7692307692307693</v>
                </pt>
                <pt idx="3">
                  <v>0.9230769230769231</v>
                </pt>
                <pt idx="4">
                  <v>1</v>
                </pt>
                <pt idx="5">
                  <v>1</v>
                </pt>
              </numCache>
            </numRef>
          </val>
          <smooth val="1"/>
        </ser>
        <dLbls>
          <showLegendKey val="0"/>
          <showVal val="0"/>
          <showCatName val="0"/>
          <showSerName val="0"/>
          <showPercent val="0"/>
          <showBubbleSize val="0"/>
        </dLbls>
        <marker val="1"/>
        <smooth val="0"/>
        <axId val="10"/>
        <axId val="2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valAx>
        <axId val="200"/>
        <scaling>
          <orientation val="minMax"/>
        </scaling>
        <delete val="1"/>
        <axPos val="r"/>
        <majorGridlines/>
        <numFmt formatCode="0%" sourceLinked="0"/>
        <majorTickMark val="none"/>
        <minorTickMark val="none"/>
        <tickLblPos val="nextTo"/>
        <crossAx val="10"/>
        <crosses val="max"/>
        <crossBetween val="between"/>
      </valAx>
    </plotArea>
    <legend>
      <legendPos val="r"/>
      <overlay val="1"/>
    </legend>
    <plotVisOnly val="1"/>
    <dispBlanksAs val="gap"/>
  </chart>
</chartSpace>
</file>

<file path=xl/charts/chart6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Нагрузка по ролям: ёмкость </a:t>
            </a:r>
            <a:r>
              <a:rPr lang="en-US"/>
              <a:t xml:space="preserve">vs </a:t>
            </a:r>
            <a:r>
              <a:rPr lang="ru-RU"/>
              <a:t>спрос</a:t>
            </a:r>
          </a:p>
        </rich>
      </tx>
      <overlay val="0"/>
    </title>
    <plotArea>
      <layout/>
      <radarChart>
        <radarStyle val="filled"/>
        <varyColors val="1"/>
        <ser>
          <idx val="0"/>
          <order val="0"/>
          <tx>
            <strRef>
              <f>'Ёмкость на горизонт'!$B$11</f>
              <strCache>
                <ptCount val="1"/>
                <pt idx="0">
                  <v>Ёмкость (дн)</v>
                </pt>
              </strCache>
            </strRef>
          </tx>
          <spPr>
            <a:ln xmlns:a="http://schemas.openxmlformats.org/drawingml/2006/main">
              <a:prstDash val="solid"/>
            </a:ln>
          </spPr>
          <marker>
            <symbol val="none"/>
            <spPr>
              <a:ln xmlns:a="http://schemas.openxmlformats.org/drawingml/2006/main">
                <a:prstDash val="solid"/>
              </a:ln>
            </spPr>
          </marker>
          <cat>
            <strRef>
              <f>'Ёмкость на горизонт'!$A$12:$A$17</f>
              <strCache>
                <ptCount val="6"/>
                <pt idx="0">
                  <v>Backend</v>
                </pt>
                <pt idx="1">
                  <v>Frontend</v>
                </pt>
                <pt idx="2">
                  <v>QA</v>
                </pt>
                <pt idx="3">
                  <v>DevOps</v>
                </pt>
                <pt idx="4">
                  <v>Analyst</v>
                </pt>
                <pt idx="5">
                  <v>Designer</v>
                </pt>
              </strCache>
            </strRef>
          </cat>
          <val>
            <numRef>
              <f>'Ёмкость на горизонт'!$B$12:$B$17</f>
              <numCache>
                <formatCode>#\ ##0.0</formatCode>
                <ptCount val="6"/>
                <pt idx="0">
                  <v>339.9999999999999</v>
                </pt>
                <pt idx="1">
                  <v>258.3999999999999</v>
                </pt>
                <pt idx="2">
                  <v>155.52</v>
                </pt>
                <pt idx="3">
                  <v>69.11999999999999</v>
                </pt>
                <pt idx="4">
                  <v>127.6</v>
                </pt>
                <pt idx="5">
                  <v>69.11999999999999</v>
                </pt>
              </numCache>
            </numRef>
          </val>
        </ser>
        <ser>
          <idx val="1"/>
          <order val="1"/>
          <tx>
            <strRef>
              <f>'Ёмкость на горизонт'!$C$11</f>
              <strCache>
                <ptCount val="1"/>
                <pt idx="0">
                  <v>Спрос (дн)</v>
                </pt>
              </strCache>
            </strRef>
          </tx>
          <spPr>
            <a:ln xmlns:a="http://schemas.openxmlformats.org/drawingml/2006/main">
              <a:prstDash val="solid"/>
            </a:ln>
          </spPr>
          <marker>
            <symbol val="none"/>
            <spPr>
              <a:ln xmlns:a="http://schemas.openxmlformats.org/drawingml/2006/main">
                <a:prstDash val="solid"/>
              </a:ln>
            </spPr>
          </marker>
          <cat>
            <strRef>
              <f>'Ёмкость на горизонт'!$A$12:$A$17</f>
              <strCache>
                <ptCount val="6"/>
                <pt idx="0">
                  <v>Backend</v>
                </pt>
                <pt idx="1">
                  <v>Frontend</v>
                </pt>
                <pt idx="2">
                  <v>QA</v>
                </pt>
                <pt idx="3">
                  <v>DevOps</v>
                </pt>
                <pt idx="4">
                  <v>Analyst</v>
                </pt>
                <pt idx="5">
                  <v>Designer</v>
                </pt>
              </strCache>
            </strRef>
          </cat>
          <val>
            <numRef>
              <f>'Ёмкость на горизонт'!$C$12:$C$17</f>
              <numCache>
                <formatCode>#\ ##0.0</formatCode>
                <ptCount val="6"/>
                <pt idx="0">
                  <v>35</v>
                </pt>
                <pt idx="1">
                  <v>29</v>
                </pt>
                <pt idx="2">
                  <v>20</v>
                </pt>
                <pt idx="3">
                  <v>7</v>
                </pt>
                <pt idx="4">
                  <v>11</v>
                </pt>
                <pt idx="5">
                  <v>5</v>
                </pt>
              </numCache>
            </numRef>
          </val>
        </ser>
        <dLbls>
          <showLegendKey val="0"/>
          <showVal val="0"/>
          <showCatName val="0"/>
          <showSerName val="0"/>
          <showPercent val="0"/>
          <showBubbleSize val="0"/>
        </dLbls>
        <axId val="10"/>
        <axId val="100"/>
      </rad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numFmt formatCode="#\ ##0.0" sourceLinked="1"/>
        <majorTickMark val="none"/>
        <minorTickMark val="none"/>
        <tickLblPos val="nextTo"/>
        <crossAx val="10"/>
        <crosses val="autoZero"/>
        <crossBetween val="between"/>
      </valAx>
    </plotArea>
    <legend>
      <legendPos val="r"/>
      <overlay val="1"/>
    </legend>
    <plotVisOnly val="1"/>
    <dispBlanksAs val="gap"/>
  </chart>
</chartSpace>
</file>

<file path=xl/charts/chart6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Burn-up </a:t>
            </a:r>
            <a:r>
              <a:rPr lang="ru-RU"/>
              <a:t>к релизу</a:t>
            </a:r>
          </a:p>
        </rich>
      </tx>
      <overlay val="0"/>
    </title>
    <plotArea>
      <layout/>
      <lineChart>
        <grouping val="standard"/>
        <varyColors val="1"/>
        <ser>
          <idx val="0"/>
          <order val="0"/>
          <tx>
            <strRef>
              <f>'Метрики и прогноз'!$F$18</f>
              <strCache>
                <ptCount val="1"/>
                <pt idx="0">
                  <v>Сделано (накопл.)</v>
                </pt>
              </strCache>
            </strRef>
          </tx>
          <spPr>
            <a:ln xmlns:a="http://schemas.openxmlformats.org/drawingml/2006/main" w="26000">
              <a:solidFill>
                <a:srgbClr val="70AD47"/>
              </a:solidFill>
              <a:prstDash val="solid"/>
            </a:ln>
          </spPr>
          <marker>
            <symbol val="none"/>
            <spPr>
              <a:ln xmlns:a="http://schemas.openxmlformats.org/drawingml/2006/main">
                <a:prstDash val="solid"/>
              </a:ln>
            </spPr>
          </marker>
          <cat>
            <numRef>
              <f>'Метрики и прогноз'!$E$19:$E$29</f>
              <numCache>
                <formatCode>#\ ##0.0</formatCode>
                <ptCount val="11"/>
                <pt idx="0">
                  <v>1</v>
                </pt>
                <pt idx="1">
                  <v>2</v>
                </pt>
                <pt idx="2">
                  <v>3</v>
                </pt>
                <pt idx="3">
                  <v>4</v>
                </pt>
                <pt idx="4">
                  <v>5</v>
                </pt>
                <pt idx="5">
                  <v>6</v>
                </pt>
                <pt idx="6">
                  <v>7</v>
                </pt>
                <pt idx="7">
                  <v>8</v>
                </pt>
                <pt idx="8">
                  <v>9</v>
                </pt>
                <pt idx="9">
                  <v>10</v>
                </pt>
                <pt idx="10">
                  <v>11</v>
                </pt>
              </numCache>
            </numRef>
          </cat>
          <val>
            <numRef>
              <f>'Метрики и прогноз'!$F$19:$F$29</f>
              <numCache>
                <formatCode>#\ ##0.0</formatCode>
                <ptCount val="11"/>
                <pt idx="0">
                  <v>17</v>
                </pt>
                <pt idx="1">
                  <v>38</v>
                </pt>
                <pt idx="2">
                  <v>38</v>
                </pt>
                <pt idx="3">
                  <v>38</v>
                </pt>
                <pt idx="4">
                  <v>38</v>
                </pt>
                <pt idx="5">
                  <v>38</v>
                </pt>
                <pt idx="6">
                  <v>38</v>
                </pt>
                <pt idx="7">
                  <v>38</v>
                </pt>
                <pt idx="8">
                  <v>38</v>
                </pt>
                <pt idx="9">
                  <v>38</v>
                </pt>
                <pt idx="10">
                  <v>38</v>
                </pt>
              </numCache>
            </numRef>
          </val>
          <smooth val="1"/>
        </ser>
        <ser>
          <idx val="1"/>
          <order val="1"/>
          <tx>
            <strRef>
              <f>'Метрики и прогноз'!$G$18</f>
              <strCache>
                <ptCount val="1"/>
                <pt idx="0">
                  <v>Объём (scope)</v>
                </pt>
              </strCache>
            </strRef>
          </tx>
          <spPr>
            <a:ln xmlns:a="http://schemas.openxmlformats.org/drawingml/2006/main">
              <a:solidFill>
                <a:srgbClr val="C00000"/>
              </a:solidFill>
              <a:prstDash val="dash"/>
            </a:ln>
          </spPr>
          <marker>
            <symbol val="none"/>
            <spPr>
              <a:ln xmlns:a="http://schemas.openxmlformats.org/drawingml/2006/main">
                <a:prstDash val="solid"/>
              </a:ln>
            </spPr>
          </marker>
          <cat>
            <numRef>
              <f>'Метрики и прогноз'!$E$19:$E$29</f>
              <numCache>
                <formatCode>#\ ##0.0</formatCode>
                <ptCount val="11"/>
                <pt idx="0">
                  <v>1</v>
                </pt>
                <pt idx="1">
                  <v>2</v>
                </pt>
                <pt idx="2">
                  <v>3</v>
                </pt>
                <pt idx="3">
                  <v>4</v>
                </pt>
                <pt idx="4">
                  <v>5</v>
                </pt>
                <pt idx="5">
                  <v>6</v>
                </pt>
                <pt idx="6">
                  <v>7</v>
                </pt>
                <pt idx="7">
                  <v>8</v>
                </pt>
                <pt idx="8">
                  <v>9</v>
                </pt>
                <pt idx="9">
                  <v>10</v>
                </pt>
                <pt idx="10">
                  <v>11</v>
                </pt>
              </numCache>
            </numRef>
          </cat>
          <val>
            <numRef>
              <f>'Метрики и прогноз'!$G$19:$G$29</f>
              <numCache>
                <formatCode>#\ ##0.0</formatCode>
                <ptCount val="11"/>
                <pt idx="0">
                  <v>107</v>
                </pt>
                <pt idx="1">
                  <v>107</v>
                </pt>
                <pt idx="2">
                  <v>107</v>
                </pt>
                <pt idx="3">
                  <v>107</v>
                </pt>
                <pt idx="4">
                  <v>107</v>
                </pt>
                <pt idx="5">
                  <v>107</v>
                </pt>
                <pt idx="6">
                  <v>107</v>
                </pt>
                <pt idx="7">
                  <v>107</v>
                </pt>
                <pt idx="8">
                  <v>107</v>
                </pt>
                <pt idx="9">
                  <v>107</v>
                </pt>
                <pt idx="10">
                  <v>107</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 ##0.0"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6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Cycle time (</a:t>
            </a:r>
            <a:r>
              <a:rPr lang="ru-RU"/>
              <a:t>контрольная карта)</a:t>
            </a:r>
          </a:p>
        </rich>
      </tx>
      <overlay val="0"/>
    </title>
    <plotArea>
      <layout/>
      <lineChart>
        <grouping val="standard"/>
        <varyColors val="1"/>
        <ser>
          <idx val="0"/>
          <order val="0"/>
          <tx>
            <strRef>
              <f>'Cycle time'!$G$9</f>
              <strCache>
                <ptCount val="1"/>
                <pt idx="0">
                  <v>Cycle (дн)</v>
                </pt>
              </strCache>
            </strRef>
          </tx>
          <spPr>
            <a:ln xmlns:a="http://schemas.openxmlformats.org/drawingml/2006/main" w="20000">
              <a:solidFill>
                <a:srgbClr val="4472C4"/>
              </a:solidFill>
              <a:prstDash val="solid"/>
            </a:ln>
          </spPr>
          <marker>
            <symbol val="circle"/>
            <size val="7"/>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time'!$G$10:$G$29</f>
              <numCache>
                <formatCode>General</formatCode>
                <ptCount val="20"/>
                <pt idx="0">
                  <v>3</v>
                </pt>
                <pt idx="1">
                  <v>8</v>
                </pt>
                <pt idx="2">
                  <v>2</v>
                </pt>
                <pt idx="3">
                  <v>#N/A</v>
                </pt>
                <pt idx="4">
                  <v>7</v>
                </pt>
                <pt idx="5">
                  <v>2</v>
                </pt>
                <pt idx="6">
                  <v>7</v>
                </pt>
                <pt idx="7">
                  <v>8</v>
                </pt>
                <pt idx="8">
                  <v>#N/A</v>
                </pt>
                <pt idx="9">
                  <v>#N/A</v>
                </pt>
                <pt idx="10">
                  <v>#N/A</v>
                </pt>
                <pt idx="11">
                  <v>#N/A</v>
                </pt>
                <pt idx="12">
                  <v>#N/A</v>
                </pt>
                <pt idx="13">
                  <v>#N/A</v>
                </pt>
                <pt idx="14">
                  <v>#N/A</v>
                </pt>
                <pt idx="15">
                  <v>#N/A</v>
                </pt>
                <pt idx="16">
                  <v>#N/A</v>
                </pt>
                <pt idx="17">
                  <v>#N/A</v>
                </pt>
                <pt idx="18">
                  <v>#N/A</v>
                </pt>
                <pt idx="19">
                  <v>#N/A</v>
                </pt>
              </numCache>
            </numRef>
          </val>
          <smooth val="1"/>
        </ser>
        <ser>
          <idx val="1"/>
          <order val="1"/>
          <tx>
            <strRef>
              <f>'Cycle time'!$C$9</f>
              <strCache>
                <ptCount val="1"/>
                <pt idx="0">
                  <v>CL</v>
                </pt>
              </strCache>
            </strRef>
          </tx>
          <spPr>
            <a:ln xmlns:a="http://schemas.openxmlformats.org/drawingml/2006/main" w="18000">
              <a:solidFill>
                <a:srgbClr val="000000"/>
              </a:solidFill>
              <a:prstDash val="solid"/>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time'!$C$10:$C$29</f>
              <numCache>
                <formatCode>General</formatCode>
                <ptCount val="20"/>
                <pt idx="0">
                  <v>5.285714285714286</v>
                </pt>
                <pt idx="1">
                  <v>5.285714285714286</v>
                </pt>
                <pt idx="2">
                  <v>5.285714285714286</v>
                </pt>
                <pt idx="3">
                  <v>5.285714285714286</v>
                </pt>
                <pt idx="4">
                  <v>5.285714285714286</v>
                </pt>
                <pt idx="5">
                  <v>5.285714285714286</v>
                </pt>
                <pt idx="6">
                  <v>5.285714285714286</v>
                </pt>
                <pt idx="7">
                  <v>5.285714285714286</v>
                </pt>
                <pt idx="8">
                  <v>5.285714285714286</v>
                </pt>
                <pt idx="9">
                  <v>5.285714285714286</v>
                </pt>
                <pt idx="10">
                  <v>5.285714285714286</v>
                </pt>
                <pt idx="11">
                  <v>5.285714285714286</v>
                </pt>
                <pt idx="12">
                  <v>5.285714285714286</v>
                </pt>
                <pt idx="13">
                  <v>5.285714285714286</v>
                </pt>
                <pt idx="14">
                  <v>5.285714285714286</v>
                </pt>
                <pt idx="15">
                  <v>5.285714285714286</v>
                </pt>
                <pt idx="16">
                  <v>5.285714285714286</v>
                </pt>
                <pt idx="17">
                  <v>5.285714285714286</v>
                </pt>
                <pt idx="18">
                  <v>5.285714285714286</v>
                </pt>
                <pt idx="19">
                  <v>5.285714285714286</v>
                </pt>
              </numCache>
            </numRef>
          </val>
          <smooth val="1"/>
        </ser>
        <ser>
          <idx val="2"/>
          <order val="2"/>
          <tx>
            <strRef>
              <f>'Cycle time'!$D$9</f>
              <strCache>
                <ptCount val="1"/>
                <pt idx="0">
                  <v>UCL</v>
                </pt>
              </strCache>
            </strRef>
          </tx>
          <spPr>
            <a:ln xmlns:a="http://schemas.openxmlformats.org/drawingml/2006/main">
              <a:solidFill>
                <a:srgbClr val="C00000"/>
              </a:solidFill>
              <a:prstDash val="dash"/>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time'!$D$10:$D$29</f>
              <numCache>
                <formatCode>General</formatCode>
                <ptCount val="20"/>
                <pt idx="0">
                  <v>13.72033681092886</v>
                </pt>
                <pt idx="1">
                  <v>13.72033681092886</v>
                </pt>
                <pt idx="2">
                  <v>13.72033681092886</v>
                </pt>
                <pt idx="3">
                  <v>13.72033681092886</v>
                </pt>
                <pt idx="4">
                  <v>13.72033681092886</v>
                </pt>
                <pt idx="5">
                  <v>13.72033681092886</v>
                </pt>
                <pt idx="6">
                  <v>13.72033681092886</v>
                </pt>
                <pt idx="7">
                  <v>13.72033681092886</v>
                </pt>
                <pt idx="8">
                  <v>13.72033681092886</v>
                </pt>
                <pt idx="9">
                  <v>13.72033681092886</v>
                </pt>
                <pt idx="10">
                  <v>13.72033681092886</v>
                </pt>
                <pt idx="11">
                  <v>13.72033681092886</v>
                </pt>
                <pt idx="12">
                  <v>13.72033681092886</v>
                </pt>
                <pt idx="13">
                  <v>13.72033681092886</v>
                </pt>
                <pt idx="14">
                  <v>13.72033681092886</v>
                </pt>
                <pt idx="15">
                  <v>13.72033681092886</v>
                </pt>
                <pt idx="16">
                  <v>13.72033681092886</v>
                </pt>
                <pt idx="17">
                  <v>13.72033681092886</v>
                </pt>
                <pt idx="18">
                  <v>13.72033681092886</v>
                </pt>
                <pt idx="19">
                  <v>13.72033681092886</v>
                </pt>
              </numCache>
            </numRef>
          </val>
          <smooth val="1"/>
        </ser>
        <ser>
          <idx val="3"/>
          <order val="3"/>
          <tx>
            <strRef>
              <f>'Cycle time'!$E$9</f>
              <strCache>
                <ptCount val="1"/>
                <pt idx="0">
                  <v>LCL</v>
                </pt>
              </strCache>
            </strRef>
          </tx>
          <spPr>
            <a:ln xmlns:a="http://schemas.openxmlformats.org/drawingml/2006/main">
              <a:solidFill>
                <a:srgbClr val="C00000"/>
              </a:solidFill>
              <a:prstDash val="dash"/>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time'!$E$10:$E$29</f>
              <numCache>
                <formatCode>General</formatCode>
                <ptCount val="20"/>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0"/>
    <dispBlanksAs val="gap"/>
  </chart>
</chartSpace>
</file>

<file path=xl/charts/chart7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Матрица рисков (Вероятность × Влияние)</a:t>
            </a:r>
          </a:p>
        </rich>
      </tx>
      <overlay val="0"/>
    </title>
    <plotArea>
      <layout/>
      <scatterChart>
        <scatterStyle val="lineMarker"/>
        <varyColors val="1"/>
        <ser>
          <idx val="0"/>
          <order val="0"/>
          <tx>
            <v>Риски</v>
          </tx>
          <spPr>
            <a:ln xmlns:a="http://schemas.openxmlformats.org/drawingml/2006/main">
              <a:noFill/>
              <a:prstDash val="solid"/>
            </a:ln>
          </spPr>
          <marker>
            <symbol val="circle"/>
            <size val="9"/>
            <spPr>
              <a:ln xmlns:a="http://schemas.openxmlformats.org/drawingml/2006/main">
                <a:prstDash val="solid"/>
              </a:ln>
            </spPr>
          </marker>
          <xVal>
            <numRef>
              <f>Риски!$C$5:$C$8</f>
              <numCache>
                <formatCode>General</formatCode>
                <ptCount val="4"/>
                <pt idx="0">
                  <v>4</v>
                </pt>
                <pt idx="1">
                  <v>5</v>
                </pt>
                <pt idx="2">
                  <v>3</v>
                </pt>
                <pt idx="3">
                  <v>2</v>
                </pt>
              </numCache>
            </numRef>
          </xVal>
          <yVal>
            <numRef>
              <f>Риски!$D$5:$D$8</f>
              <numCache>
                <formatCode>General</formatCode>
                <ptCount val="4"/>
                <pt idx="0">
                  <v>5</v>
                </pt>
                <pt idx="1">
                  <v>3</v>
                </pt>
                <pt idx="2">
                  <v>4</v>
                </pt>
                <pt idx="3">
                  <v>4</v>
                </pt>
              </numCache>
            </numRef>
          </yVal>
          <smooth val="1"/>
        </ser>
        <dLbls>
          <showLegendKey val="0"/>
          <showVal val="0"/>
          <showCatName val="0"/>
          <showSerName val="0"/>
          <showPercent val="0"/>
          <showBubbleSize val="0"/>
        </dLbls>
        <axId val="10"/>
        <axId val="20"/>
      </scatterChart>
      <valAx>
        <axId val="10"/>
        <scaling>
          <orientation val="minMax"/>
          <max val="5"/>
          <min val="0"/>
        </scaling>
        <delete val="0"/>
        <axPos val="b"/>
        <majorGridlines/>
        <title>
          <tx>
            <rich>
              <a:bodyPr xmlns:a="http://schemas.openxmlformats.org/drawingml/2006/main"/>
              <a:lstStyle xmlns:a="http://schemas.openxmlformats.org/drawingml/2006/main"/>
              <a:p xmlns:a="http://schemas.openxmlformats.org/drawingml/2006/main">
                <a:pPr>
                  <a:defRPr/>
                </a:pPr>
                <a:r>
                  <a:rPr lang="ru-RU"/>
                  <a:t>Вероятность</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20"/>
        <crosses val="autoZero"/>
        <crossBetween val="midCat"/>
      </valAx>
      <valAx>
        <axId val="20"/>
        <scaling>
          <orientation val="minMax"/>
          <max val="5"/>
          <min val="0"/>
        </scaling>
        <delete val="0"/>
        <axPos val="l"/>
        <majorGridlines/>
        <title>
          <tx>
            <rich>
              <a:bodyPr xmlns:a="http://schemas.openxmlformats.org/drawingml/2006/main"/>
              <a:lstStyle xmlns:a="http://schemas.openxmlformats.org/drawingml/2006/main"/>
              <a:p xmlns:a="http://schemas.openxmlformats.org/drawingml/2006/main">
                <a:pPr>
                  <a:defRPr/>
                </a:pPr>
                <a:r>
                  <a:rPr lang="ru-RU"/>
                  <a:t>Влияние</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midCat"/>
      </valAx>
    </plotArea>
    <legend>
      <legendPos val="r"/>
      <overlay val="0"/>
    </legend>
    <plotVisOnly val="1"/>
    <dispBlanksAs val="gap"/>
  </chart>
</chartSpace>
</file>

<file path=xl/charts/chart7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Риски по баллу (Вероятность × Влияние)</a:t>
            </a:r>
          </a:p>
        </rich>
      </tx>
      <overlay val="0"/>
    </title>
    <plotArea>
      <layout/>
      <barChart>
        <barDir val="bar"/>
        <grouping val="clustered"/>
        <varyColors val="1"/>
        <ser>
          <idx val="0"/>
          <order val="0"/>
          <tx>
            <strRef>
              <f>'Матрица рисков'!$E$4</f>
              <strCache>
                <ptCount val="1"/>
                <pt idx="0">
                  <v>Балл</v>
                </pt>
              </strCache>
            </strRef>
          </tx>
          <spPr>
            <a:solidFill xmlns:a="http://schemas.openxmlformats.org/drawingml/2006/main">
              <a:srgbClr val="C00000"/>
            </a:solidFill>
            <a:ln xmlns:a="http://schemas.openxmlformats.org/drawingml/2006/main">
              <a:prstDash val="solid"/>
            </a:ln>
          </spPr>
          <invertIfNegative val="1"/>
          <cat>
            <strRef>
              <f>'Матрица рисков'!$B$5:$B$8</f>
              <strCache>
                <ptCount val="4"/>
                <pt idx="0">
                  <v>Зависимость от внешнего API оплаты</v>
                </pt>
                <pt idx="1">
                  <v>Отпуска в декабре (Спринт 11)</v>
                </pt>
                <pt idx="2">
                  <v>Недооценка интеграции</v>
                </pt>
                <pt idx="3">
                  <v>Текучесть в QA</v>
                </pt>
              </strCache>
            </strRef>
          </cat>
          <val>
            <numRef>
              <f>'Матрица рисков'!$E$5:$E$8</f>
              <numCache>
                <formatCode>General</formatCode>
                <ptCount val="4"/>
                <pt idx="0">
                  <v>20</v>
                </pt>
                <pt idx="1">
                  <v>15</v>
                </pt>
                <pt idx="2">
                  <v>12</v>
                </pt>
                <pt idx="3">
                  <v>8</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General" sourceLinked="1"/>
        <majorTickMark val="none"/>
        <minorTickMark val="none"/>
        <tickLblPos val="nextTo"/>
        <crossAx val="10"/>
        <crosses val="autoZero"/>
        <crossBetween val="between"/>
      </valAx>
    </plotArea>
    <plotVisOnly val="1"/>
    <dispBlanksAs val="gap"/>
  </chart>
</chartSpace>
</file>

<file path=xl/charts/chart7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Дней по исполнителям</a:t>
            </a:r>
          </a:p>
        </rich>
      </tx>
      <overlay val="0"/>
    </title>
    <plotArea>
      <layout/>
      <barChart>
        <barDir val="bar"/>
        <grouping val="clustered"/>
        <varyColors val="1"/>
        <ser>
          <idx val="0"/>
          <order val="0"/>
          <tx>
            <strRef>
              <f>Распределение!$C$4</f>
              <strCache>
                <ptCount val="1"/>
                <pt idx="0">
                  <v>Дней</v>
                </pt>
              </strCache>
            </strRef>
          </tx>
          <spPr>
            <a:solidFill xmlns:a="http://schemas.openxmlformats.org/drawingml/2006/main">
              <a:srgbClr val="8EAADB"/>
            </a:solidFill>
            <a:ln xmlns:a="http://schemas.openxmlformats.org/drawingml/2006/main">
              <a:prstDash val="solid"/>
            </a:ln>
          </spPr>
          <invertIfNegative val="1"/>
          <cat>
            <strRef>
              <f>Распределение!$A$5:$A$17</f>
              <strCache>
                <ptCount val="13"/>
                <pt idx="0">
                  <v>Иванов А.</v>
                </pt>
                <pt idx="1">
                  <v>Петрова М.</v>
                </pt>
                <pt idx="2">
                  <v>Сидоров К.</v>
                </pt>
                <pt idx="3">
                  <v>Кузнецов Д.</v>
                </pt>
                <pt idx="4">
                  <v>Орлова Е.</v>
                </pt>
                <pt idx="5">
                  <v>Смирнов П.</v>
                </pt>
                <pt idx="6">
                  <v>Волкова Н.</v>
                </pt>
                <pt idx="7">
                  <v>Морозов И.</v>
                </pt>
                <pt idx="8">
                  <v>Новиков А.</v>
                </pt>
                <pt idx="9">
                  <v>Фёдорова О.</v>
                </pt>
                <pt idx="10">
                  <v>Козлов В.</v>
                </pt>
                <pt idx="11">
                  <v>Лебедева Т.</v>
                </pt>
                <pt idx="12">
                  <v>Соколов Р.</v>
                </pt>
              </strCache>
            </strRef>
          </cat>
          <val>
            <numRef>
              <f>Распределение!$C$5:$C$17</f>
              <numCache>
                <formatCode>#\ ##0.0</formatCode>
                <ptCount val="13"/>
                <pt idx="0">
                  <v>5</v>
                </pt>
                <pt idx="1">
                  <v>0</v>
                </pt>
                <pt idx="2">
                  <v>5</v>
                </pt>
                <pt idx="3">
                  <v>3</v>
                </pt>
                <pt idx="4">
                  <v>3</v>
                </pt>
                <pt idx="5">
                  <v>0</v>
                </pt>
                <pt idx="6">
                  <v>8</v>
                </pt>
                <pt idx="7">
                  <v>0</v>
                </pt>
                <pt idx="8">
                  <v>0</v>
                </pt>
                <pt idx="9">
                  <v>0</v>
                </pt>
                <pt idx="10">
                  <v>0</v>
                </pt>
                <pt idx="11">
                  <v>0</v>
                </pt>
                <pt idx="12">
                  <v>5</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b"/>
        <majorGridlines/>
        <title>
          <tx>
            <rich>
              <a:bodyPr xmlns:a="http://schemas.openxmlformats.org/drawingml/2006/main"/>
              <a:lstStyle xmlns:a="http://schemas.openxmlformats.org/drawingml/2006/main"/>
              <a:p xmlns:a="http://schemas.openxmlformats.org/drawingml/2006/main">
                <a:pPr>
                  <a:defRPr/>
                </a:pPr>
                <a:r>
                  <a:rPr lang="ru-RU"/>
                  <a:t>Дней</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plotVisOnly val="1"/>
    <dispBlanksAs val="gap"/>
  </chart>
</chartSpace>
</file>

<file path=xl/charts/chart7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Time to Market </a:t>
            </a:r>
            <a:r>
              <a:rPr lang="ru-RU"/>
              <a:t>по задачам (цель 15 дн, линия тренда)</a:t>
            </a:r>
          </a:p>
        </rich>
      </tx>
      <overlay val="0"/>
    </title>
    <plotArea>
      <layout/>
      <lineChart>
        <grouping val="standard"/>
        <varyColors val="1"/>
        <ser>
          <idx val="0"/>
          <order val="0"/>
          <tx>
            <strRef>
              <f>'Time to Market'!$F$6</f>
              <strCache>
                <ptCount val="1"/>
                <pt idx="0">
                  <v>TTM (дн)</v>
                </pt>
              </strCache>
            </strRef>
          </tx>
          <spPr>
            <a:ln xmlns:a="http://schemas.openxmlformats.org/drawingml/2006/main" w="22000">
              <a:solidFill>
                <a:srgbClr val="4472C4"/>
              </a:solidFill>
              <a:prstDash val="solid"/>
            </a:ln>
          </spPr>
          <marker>
            <symbol val="circle"/>
            <size val="7"/>
            <spPr>
              <a:ln xmlns:a="http://schemas.openxmlformats.org/drawingml/2006/main">
                <a:prstDash val="solid"/>
              </a:ln>
            </spPr>
          </marker>
          <trendline>
            <trendlineType val="linear"/>
            <dispRSqr val="1"/>
            <dispEq val="1"/>
            <trendlineLbl>
              <numFmt formatCode="General" sourceLinked="0"/>
            </trendlineLbl>
          </trendline>
          <cat>
            <strRef>
              <f>'Time to Market'!$A$7:$A$26</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'Time to Market'!$F$7:$F$26</f>
              <numCache>
                <formatCode>General</formatCode>
                <ptCount val="20"/>
                <pt idx="0">
                  <v>25</v>
                </pt>
                <pt idx="1">
                  <v>24</v>
                </pt>
                <pt idx="2">
                  <v>25</v>
                </pt>
                <pt idx="3">
                  <v>23</v>
                </pt>
                <pt idx="4">
                  <v>11</v>
                </pt>
                <pt idx="5">
                  <v>10</v>
                </pt>
                <pt idx="6">
                  <v>9</v>
                </pt>
                <pt idx="7">
                  <v>11</v>
                </pt>
                <pt idx="8">
                  <v>#N/A</v>
                </pt>
                <pt idx="9">
                  <v>23</v>
                </pt>
                <pt idx="10">
                  <v>#N/A</v>
                </pt>
                <pt idx="11">
                  <v>#N/A</v>
                </pt>
                <pt idx="12">
                  <v>24</v>
                </pt>
                <pt idx="13">
                  <v>#N/A</v>
                </pt>
                <pt idx="14">
                  <v>#N/A</v>
                </pt>
                <pt idx="15">
                  <v>#N/A</v>
                </pt>
                <pt idx="16">
                  <v>#N/A</v>
                </pt>
                <pt idx="17">
                  <v>#N/A</v>
                </pt>
                <pt idx="18">
                  <v>#N/A</v>
                </pt>
                <pt idx="19">
                  <v>#N/A</v>
                </pt>
              </numCache>
            </numRef>
          </val>
          <smooth val="1"/>
        </ser>
        <ser>
          <idx val="1"/>
          <order val="1"/>
          <tx>
            <strRef>
              <f>'Time to Market'!$E$6</f>
              <strCache>
                <ptCount val="1"/>
                <pt idx="0">
                  <v>Цель (дн)</v>
                </pt>
              </strCache>
            </strRef>
          </tx>
          <spPr>
            <a:ln xmlns:a="http://schemas.openxmlformats.org/drawingml/2006/main" w="24000">
              <a:solidFill>
                <a:srgbClr val="C00000"/>
              </a:solidFill>
              <a:prstDash val="dash"/>
            </a:ln>
          </spPr>
          <marker>
            <symbol val="none"/>
            <spPr>
              <a:ln xmlns:a="http://schemas.openxmlformats.org/drawingml/2006/main">
                <a:prstDash val="solid"/>
              </a:ln>
            </spPr>
          </marker>
          <cat>
            <strRef>
              <f>'Time to Market'!$A$7:$A$26</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'Time to Market'!$E$7:$E$26</f>
              <numCache>
                <formatCode>0</formatCode>
                <ptCount val="20"/>
                <pt idx="0">
                  <v>21</v>
                </pt>
                <pt idx="1">
                  <v>21</v>
                </pt>
                <pt idx="2">
                  <v>21</v>
                </pt>
                <pt idx="3">
                  <v>21</v>
                </pt>
                <pt idx="4">
                  <v>21</v>
                </pt>
                <pt idx="5">
                  <v>21</v>
                </pt>
                <pt idx="6">
                  <v>21</v>
                </pt>
                <pt idx="7">
                  <v>21</v>
                </pt>
                <pt idx="8">
                  <v>21</v>
                </pt>
                <pt idx="9">
                  <v>21</v>
                </pt>
                <pt idx="10">
                  <v>21</v>
                </pt>
                <pt idx="11">
                  <v>21</v>
                </pt>
                <pt idx="12">
                  <v>21</v>
                </pt>
                <pt idx="13">
                  <v>21</v>
                </pt>
                <pt idx="14">
                  <v>21</v>
                </pt>
                <pt idx="15">
                  <v>21</v>
                </pt>
                <pt idx="16">
                  <v>21</v>
                </pt>
                <pt idx="17">
                  <v>21</v>
                </pt>
                <pt idx="18">
                  <v>21</v>
                </pt>
                <pt idx="19">
                  <v>21</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 Type="http://schemas.openxmlformats.org/officeDocument/2006/relationships/chart" Target="/xl/charts/chart10.xml" Id="rId10"/><Relationship Type="http://schemas.openxmlformats.org/officeDocument/2006/relationships/chart" Target="/xl/charts/chart11.xml" Id="rId11"/><Relationship Type="http://schemas.openxmlformats.org/officeDocument/2006/relationships/chart" Target="/xl/charts/chart12.xml" Id="rId12"/><Relationship Type="http://schemas.openxmlformats.org/officeDocument/2006/relationships/chart" Target="/xl/charts/chart13.xml" Id="rId13"/><Relationship Type="http://schemas.openxmlformats.org/officeDocument/2006/relationships/chart" Target="/xl/charts/chart14.xml" Id="rId14"/><Relationship Type="http://schemas.openxmlformats.org/officeDocument/2006/relationships/chart" Target="/xl/charts/chart15.xml" Id="rId15"/><Relationship Type="http://schemas.openxmlformats.org/officeDocument/2006/relationships/chart" Target="/xl/charts/chart16.xml" Id="rId16"/><Relationship Type="http://schemas.openxmlformats.org/officeDocument/2006/relationships/chart" Target="/xl/charts/chart17.xml" Id="rId17"/><Relationship Type="http://schemas.openxmlformats.org/officeDocument/2006/relationships/chart" Target="/xl/charts/chart18.xml" Id="rId18"/><Relationship Type="http://schemas.openxmlformats.org/officeDocument/2006/relationships/chart" Target="/xl/charts/chart19.xml" Id="rId19"/><Relationship Type="http://schemas.openxmlformats.org/officeDocument/2006/relationships/chart" Target="/xl/charts/chart20.xml" Id="rId20"/><Relationship Type="http://schemas.openxmlformats.org/officeDocument/2006/relationships/chart" Target="/xl/charts/chart21.xml" Id="rId21"/><Relationship Type="http://schemas.openxmlformats.org/officeDocument/2006/relationships/chart" Target="/xl/charts/chart22.xml" Id="rId22"/><Relationship Type="http://schemas.openxmlformats.org/officeDocument/2006/relationships/chart" Target="/xl/charts/chart23.xml" Id="rId23"/><Relationship Type="http://schemas.openxmlformats.org/officeDocument/2006/relationships/chart" Target="/xl/charts/chart24.xml" Id="rId24"/><Relationship Type="http://schemas.openxmlformats.org/officeDocument/2006/relationships/chart" Target="/xl/charts/chart25.xml" Id="rId25"/><Relationship Type="http://schemas.openxmlformats.org/officeDocument/2006/relationships/chart" Target="/xl/charts/chart26.xml" Id="rId26"/><Relationship Type="http://schemas.openxmlformats.org/officeDocument/2006/relationships/chart" Target="/xl/charts/chart27.xml" Id="rId27"/><Relationship Type="http://schemas.openxmlformats.org/officeDocument/2006/relationships/chart" Target="/xl/charts/chart28.xml" Id="rId28"/><Relationship Type="http://schemas.openxmlformats.org/officeDocument/2006/relationships/chart" Target="/xl/charts/chart29.xml" Id="rId29"/><Relationship Type="http://schemas.openxmlformats.org/officeDocument/2006/relationships/chart" Target="/xl/charts/chart30.xml" Id="rId30"/><Relationship Type="http://schemas.openxmlformats.org/officeDocument/2006/relationships/chart" Target="/xl/charts/chart31.xml" Id="rId31"/><Relationship Type="http://schemas.openxmlformats.org/officeDocument/2006/relationships/chart" Target="/xl/charts/chart32.xml" Id="rId32"/><Relationship Type="http://schemas.openxmlformats.org/officeDocument/2006/relationships/chart" Target="/xl/charts/chart33.xml" Id="rId33"/><Relationship Type="http://schemas.openxmlformats.org/officeDocument/2006/relationships/chart" Target="/xl/charts/chart34.xml" Id="rId34"/><Relationship Type="http://schemas.openxmlformats.org/officeDocument/2006/relationships/chart" Target="/xl/charts/chart35.xml" Id="rId35"/><Relationship Type="http://schemas.openxmlformats.org/officeDocument/2006/relationships/image" Target="/xl/media/image1.png" Id="rId36"/></Relationships>
</file>

<file path=xl/drawings/_rels/drawing2.xml.rels><Relationships xmlns="http://schemas.openxmlformats.org/package/2006/relationships"><Relationship Type="http://schemas.openxmlformats.org/officeDocument/2006/relationships/chart" Target="/xl/charts/chart36.xml" Id="rId1"/><Relationship Type="http://schemas.openxmlformats.org/officeDocument/2006/relationships/chart" Target="/xl/charts/chart37.xml" Id="rId2"/></Relationships>
</file>

<file path=xl/drawings/_rels/drawing3.xml.rels><Relationships xmlns="http://schemas.openxmlformats.org/package/2006/relationships"><Relationship Type="http://schemas.openxmlformats.org/officeDocument/2006/relationships/chart" Target="/xl/charts/chart38.xml" Id="rId1"/><Relationship Type="http://schemas.openxmlformats.org/officeDocument/2006/relationships/chart" Target="/xl/charts/chart39.xml" Id="rId2"/><Relationship Type="http://schemas.openxmlformats.org/officeDocument/2006/relationships/chart" Target="/xl/charts/chart40.xml" Id="rId3"/></Relationships>
</file>

<file path=xl/drawings/_rels/drawing4.xml.rels><Relationships xmlns="http://schemas.openxmlformats.org/package/2006/relationships"><Relationship Type="http://schemas.openxmlformats.org/officeDocument/2006/relationships/chart" Target="/xl/charts/chart41.xml" Id="rId1"/><Relationship Type="http://schemas.openxmlformats.org/officeDocument/2006/relationships/chart" Target="/xl/charts/chart42.xml" Id="rId2"/></Relationships>
</file>

<file path=xl/drawings/_rels/drawing5.xml.rels><Relationships xmlns="http://schemas.openxmlformats.org/package/2006/relationships"><Relationship Type="http://schemas.openxmlformats.org/officeDocument/2006/relationships/chart" Target="/xl/charts/chart43.xml" Id="rId1"/></Relationships>
</file>

<file path=xl/drawings/_rels/drawing6.xml.rels><Relationships xmlns="http://schemas.openxmlformats.org/package/2006/relationships"><Relationship Type="http://schemas.openxmlformats.org/officeDocument/2006/relationships/chart" Target="/xl/charts/chart44.xml" Id="rId1"/></Relationships>
</file>

<file path=xl/drawings/_rels/drawing7.xml.rels><Relationships xmlns="http://schemas.openxmlformats.org/package/2006/relationships"><Relationship Type="http://schemas.openxmlformats.org/officeDocument/2006/relationships/chart" Target="/xl/charts/chart45.xml" Id="rId1"/></Relationships>
</file>

<file path=xl/drawings/_rels/drawing8.xml.rels><Relationships xmlns="http://schemas.openxmlformats.org/package/2006/relationships"><Relationship Type="http://schemas.openxmlformats.org/officeDocument/2006/relationships/chart" Target="/xl/charts/chart46.xml" Id="rId1"/></Relationships>
</file>

<file path=xl/drawings/_rels/drawing9.xml.rels><Relationships xmlns="http://schemas.openxmlformats.org/package/2006/relationships"><Relationship Type="http://schemas.openxmlformats.org/officeDocument/2006/relationships/chart" Target="/xl/charts/chart47.xml" Id="rId1"/></Relationships>
</file>

<file path=xl/drawings/_rels/drawing10.xml.rels><Relationships xmlns="http://schemas.openxmlformats.org/package/2006/relationships"><Relationship Type="http://schemas.openxmlformats.org/officeDocument/2006/relationships/chart" Target="/xl/charts/chart48.xml" Id="rId1"/><Relationship Type="http://schemas.openxmlformats.org/officeDocument/2006/relationships/chart" Target="/xl/charts/chart49.xml" Id="rId2"/><Relationship Type="http://schemas.openxmlformats.org/officeDocument/2006/relationships/chart" Target="/xl/charts/chart50.xml" Id="rId3"/></Relationships>
</file>

<file path=xl/drawings/_rels/drawing11.xml.rels><Relationships xmlns="http://schemas.openxmlformats.org/package/2006/relationships"><Relationship Type="http://schemas.openxmlformats.org/officeDocument/2006/relationships/chart" Target="/xl/charts/chart51.xml" Id="rId1"/></Relationships>
</file>

<file path=xl/drawings/_rels/drawing12.xml.rels><Relationships xmlns="http://schemas.openxmlformats.org/package/2006/relationships"><Relationship Type="http://schemas.openxmlformats.org/officeDocument/2006/relationships/chart" Target="/xl/charts/chart52.xml" Id="rId1"/></Relationships>
</file>

<file path=xl/drawings/_rels/drawing13.xml.rels><Relationships xmlns="http://schemas.openxmlformats.org/package/2006/relationships"><Relationship Type="http://schemas.openxmlformats.org/officeDocument/2006/relationships/chart" Target="/xl/charts/chart53.xml" Id="rId1"/></Relationships>
</file>

<file path=xl/drawings/_rels/drawing14.xml.rels><Relationships xmlns="http://schemas.openxmlformats.org/package/2006/relationships"><Relationship Type="http://schemas.openxmlformats.org/officeDocument/2006/relationships/chart" Target="/xl/charts/chart54.xml" Id="rId1"/></Relationships>
</file>

<file path=xl/drawings/_rels/drawing15.xml.rels><Relationships xmlns="http://schemas.openxmlformats.org/package/2006/relationships"><Relationship Type="http://schemas.openxmlformats.org/officeDocument/2006/relationships/chart" Target="/xl/charts/chart55.xml" Id="rId1"/></Relationships>
</file>

<file path=xl/drawings/_rels/drawing16.xml.rels><Relationships xmlns="http://schemas.openxmlformats.org/package/2006/relationships"><Relationship Type="http://schemas.openxmlformats.org/officeDocument/2006/relationships/chart" Target="/xl/charts/chart56.xml" Id="rId1"/></Relationships>
</file>

<file path=xl/drawings/_rels/drawing17.xml.rels><Relationships xmlns="http://schemas.openxmlformats.org/package/2006/relationships"><Relationship Type="http://schemas.openxmlformats.org/officeDocument/2006/relationships/chart" Target="/xl/charts/chart57.xml" Id="rId1"/><Relationship Type="http://schemas.openxmlformats.org/officeDocument/2006/relationships/chart" Target="/xl/charts/chart58.xml" Id="rId2"/></Relationships>
</file>

<file path=xl/drawings/_rels/drawing18.xml.rels><Relationships xmlns="http://schemas.openxmlformats.org/package/2006/relationships"><Relationship Type="http://schemas.openxmlformats.org/officeDocument/2006/relationships/chart" Target="/xl/charts/chart59.xml" Id="rId1"/></Relationships>
</file>

<file path=xl/drawings/_rels/drawing19.xml.rels><Relationships xmlns="http://schemas.openxmlformats.org/package/2006/relationships"><Relationship Type="http://schemas.openxmlformats.org/officeDocument/2006/relationships/chart" Target="/xl/charts/chart60.xml" Id="rId1"/><Relationship Type="http://schemas.openxmlformats.org/officeDocument/2006/relationships/chart" Target="/xl/charts/chart61.xml" Id="rId2"/><Relationship Type="http://schemas.openxmlformats.org/officeDocument/2006/relationships/chart" Target="/xl/charts/chart62.xml" Id="rId3"/></Relationships>
</file>

<file path=xl/drawings/_rels/drawing20.xml.rels><Relationships xmlns="http://schemas.openxmlformats.org/package/2006/relationships"><Relationship Type="http://schemas.openxmlformats.org/officeDocument/2006/relationships/chart" Target="/xl/charts/chart63.xml" Id="rId1"/></Relationships>
</file>

<file path=xl/drawings/_rels/drawing21.xml.rels><Relationships xmlns="http://schemas.openxmlformats.org/package/2006/relationships"><Relationship Type="http://schemas.openxmlformats.org/officeDocument/2006/relationships/chart" Target="/xl/charts/chart64.xml" Id="rId1"/><Relationship Type="http://schemas.openxmlformats.org/officeDocument/2006/relationships/chart" Target="/xl/charts/chart65.xml" Id="rId2"/><Relationship Type="http://schemas.openxmlformats.org/officeDocument/2006/relationships/chart" Target="/xl/charts/chart66.xml" Id="rId3"/><Relationship Type="http://schemas.openxmlformats.org/officeDocument/2006/relationships/chart" Target="/xl/charts/chart67.xml" Id="rId4"/><Relationship Type="http://schemas.openxmlformats.org/officeDocument/2006/relationships/chart" Target="/xl/charts/chart68.xml" Id="rId5"/></Relationships>
</file>

<file path=xl/drawings/_rels/drawing22.xml.rels><Relationships xmlns="http://schemas.openxmlformats.org/package/2006/relationships"><Relationship Type="http://schemas.openxmlformats.org/officeDocument/2006/relationships/chart" Target="/xl/charts/chart69.xml" Id="rId1"/></Relationships>
</file>

<file path=xl/drawings/_rels/drawing23.xml.rels><Relationships xmlns="http://schemas.openxmlformats.org/package/2006/relationships"><Relationship Type="http://schemas.openxmlformats.org/officeDocument/2006/relationships/chart" Target="/xl/charts/chart70.xml" Id="rId1"/></Relationships>
</file>

<file path=xl/drawings/_rels/drawing24.xml.rels><Relationships xmlns="http://schemas.openxmlformats.org/package/2006/relationships"><Relationship Type="http://schemas.openxmlformats.org/officeDocument/2006/relationships/chart" Target="/xl/charts/chart71.xml" Id="rId1"/><Relationship Type="http://schemas.openxmlformats.org/officeDocument/2006/relationships/image" Target="/xl/media/image2.png" Id="rId2"/></Relationships>
</file>

<file path=xl/drawings/_rels/drawing25.xml.rels><Relationships xmlns="http://schemas.openxmlformats.org/package/2006/relationships"><Relationship Type="http://schemas.openxmlformats.org/officeDocument/2006/relationships/chart" Target="/xl/charts/chart72.xml" Id="rId1"/></Relationships>
</file>

<file path=xl/drawings/_rels/drawing26.xml.rels><Relationships xmlns="http://schemas.openxmlformats.org/package/2006/relationships"><Relationship Type="http://schemas.openxmlformats.org/officeDocument/2006/relationships/chart" Target="/xl/charts/chart73.xml" Id="rId1"/></Relationships>
</file>

<file path=xl/drawings/drawing1.xml><?xml version="1.0" encoding="utf-8"?>
<wsDr xmlns="http://schemas.openxmlformats.org/drawingml/2006/spreadsheetDrawing">
  <oneCellAnchor>
    <from>
      <col>0</col>
      <colOff>0</colOff>
      <row>4</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4</row>
      <rowOff>0</rowOff>
    </from>
    <ext cx="540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24</row>
      <rowOff>0</rowOff>
    </from>
    <ext cx="540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24</row>
      <rowOff>0</rowOff>
    </from>
    <ext cx="5400000" cy="27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44</row>
      <rowOff>0</rowOff>
    </from>
    <ext cx="5400000" cy="27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13</col>
      <colOff>0</colOff>
      <row>44</row>
      <rowOff>0</rowOff>
    </from>
    <ext cx="5400000" cy="270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64</row>
      <rowOff>0</rowOff>
    </from>
    <ext cx="5400000" cy="27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13</col>
      <colOff>0</colOff>
      <row>64</row>
      <rowOff>0</rowOff>
    </from>
    <ext cx="5400000" cy="270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84</row>
      <rowOff>0</rowOff>
    </from>
    <ext cx="5400000" cy="270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13</col>
      <colOff>0</colOff>
      <row>84</row>
      <rowOff>0</rowOff>
    </from>
    <ext cx="5400000" cy="270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104</row>
      <rowOff>0</rowOff>
    </from>
    <ext cx="5400000" cy="270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13</col>
      <colOff>0</colOff>
      <row>104</row>
      <rowOff>0</rowOff>
    </from>
    <ext cx="5400000" cy="270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124</row>
      <rowOff>0</rowOff>
    </from>
    <ext cx="5400000" cy="270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13</col>
      <colOff>0</colOff>
      <row>124</row>
      <rowOff>0</rowOff>
    </from>
    <ext cx="5400000" cy="270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144</row>
      <rowOff>0</rowOff>
    </from>
    <ext cx="5400000" cy="270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13</col>
      <colOff>0</colOff>
      <row>144</row>
      <rowOff>0</rowOff>
    </from>
    <ext cx="5400000" cy="270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164</row>
      <rowOff>0</rowOff>
    </from>
    <ext cx="5400000" cy="270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13</col>
      <colOff>0</colOff>
      <row>164</row>
      <rowOff>0</rowOff>
    </from>
    <ext cx="5400000" cy="270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184</row>
      <rowOff>0</rowOff>
    </from>
    <ext cx="5400000" cy="270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13</col>
      <colOff>0</colOff>
      <row>184</row>
      <rowOff>0</rowOff>
    </from>
    <ext cx="5400000" cy="270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204</row>
      <rowOff>0</rowOff>
    </from>
    <ext cx="5400000" cy="270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13</col>
      <colOff>0</colOff>
      <row>204</row>
      <rowOff>0</rowOff>
    </from>
    <ext cx="5400000" cy="270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224</row>
      <rowOff>0</rowOff>
    </from>
    <ext cx="5400000" cy="270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13</col>
      <colOff>0</colOff>
      <row>224</row>
      <rowOff>0</rowOff>
    </from>
    <ext cx="5400000" cy="270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244</row>
      <rowOff>0</rowOff>
    </from>
    <ext cx="5400000" cy="270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13</col>
      <colOff>0</colOff>
      <row>244</row>
      <rowOff>0</rowOff>
    </from>
    <ext cx="5400000" cy="270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264</row>
      <rowOff>0</rowOff>
    </from>
    <ext cx="5400000" cy="270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13</col>
      <colOff>0</colOff>
      <row>264</row>
      <rowOff>0</rowOff>
    </from>
    <ext cx="5400000" cy="270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284</row>
      <rowOff>0</rowOff>
    </from>
    <ext cx="5400000" cy="270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13</col>
      <colOff>0</colOff>
      <row>284</row>
      <rowOff>0</rowOff>
    </from>
    <ext cx="5400000" cy="270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304</row>
      <rowOff>0</rowOff>
    </from>
    <ext cx="5400000" cy="270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13</col>
      <colOff>0</colOff>
      <row>304</row>
      <rowOff>0</rowOff>
    </from>
    <ext cx="5400000" cy="270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324</row>
      <rowOff>0</rowOff>
    </from>
    <ext cx="5400000" cy="270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0</col>
      <colOff>0</colOff>
      <row>344</row>
      <rowOff>0</rowOff>
    </from>
    <ext cx="5400000" cy="270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13</col>
      <colOff>0</colOff>
      <row>344</row>
      <rowOff>0</rowOff>
    </from>
    <ext cx="5400000" cy="270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13</col>
      <colOff>0</colOff>
      <row>324</row>
      <rowOff>0</rowOff>
    </from>
    <ext cx="14859000" cy="7810500"/>
    <pic>
      <nvPicPr>
        <cNvPr id="37"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drawings/drawing2.xml><?xml version="1.0" encoding="utf-8"?>
<wsDr xmlns="http://schemas.openxmlformats.org/drawingml/2006/spreadsheetDrawing">
  <oneCellAnchor>
    <from>
      <col>3</col>
      <colOff>0</colOff>
      <row>5</row>
      <rowOff>0</rowOff>
    </from>
    <ext cx="612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106680</colOff>
      <row>19</row>
      <rowOff>160020</rowOff>
    </from>
    <ext cx="612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13</col>
      <colOff>279400</colOff>
      <row>5</row>
      <rowOff>42333</rowOff>
    </from>
    <ext cx="72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21</row>
      <rowOff>0</rowOff>
    </from>
    <ext cx="72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38</row>
      <rowOff>0</rowOff>
    </from>
    <ext cx="72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8</col>
      <colOff>449580</colOff>
      <row>4</row>
      <rowOff>129540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64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5.xml><?xml version="1.0" encoding="utf-8"?>
<wsDr xmlns="http://schemas.openxmlformats.org/drawingml/2006/spreadsheetDrawing">
  <oneCellAnchor>
    <from>
      <col>10</col>
      <colOff>0</colOff>
      <row>3</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6</col>
      <colOff>0</colOff>
      <row>4</row>
      <rowOff>167640</rowOff>
    </from>
    <ext cx="468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6</col>
      <colOff>0</colOff>
      <row>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11</col>
      <colOff>167640</colOff>
      <row>4</row>
      <rowOff>76200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7</col>
      <colOff>342900</colOff>
      <row>4</row>
      <rowOff>99060</rowOff>
    </from>
    <ext cx="43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11</col>
      <colOff>76200</colOff>
      <row>4</row>
      <rowOff>91440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21</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39</row>
      <rowOff>0</rowOff>
    </from>
    <ext cx="72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1.xml><?xml version="1.0" encoding="utf-8"?>
<wsDr xmlns="http://schemas.openxmlformats.org/drawingml/2006/spreadsheetDrawing">
  <oneCellAnchor>
    <from>
      <col>7</col>
      <colOff>0</colOff>
      <row>5</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8</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7</col>
      <colOff>38100</colOff>
      <row>5</row>
      <rowOff>83820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10</col>
      <colOff>213360</colOff>
      <row>4</row>
      <rowOff>121920</rowOff>
    </from>
    <ext cx="10080000" cy="72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12</col>
      <colOff>0</colOff>
      <row>3</row>
      <rowOff>0</rowOff>
    </from>
    <ext cx="46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8</col>
      <colOff>274320</colOff>
      <row>5</row>
      <rowOff>167640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7.xml><?xml version="1.0" encoding="utf-8"?>
<wsDr xmlns="http://schemas.openxmlformats.org/drawingml/2006/spreadsheetDrawing">
  <oneCellAnchor>
    <from>
      <col>5</col>
      <colOff>0</colOff>
      <row>7</row>
      <rowOff>53340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480060</colOff>
      <row>24</row>
      <rowOff>22860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8.xml><?xml version="1.0" encoding="utf-8"?>
<wsDr xmlns="http://schemas.openxmlformats.org/drawingml/2006/spreadsheetDrawing">
  <oneCellAnchor>
    <from>
      <col>9</col>
      <colOff>198120</colOff>
      <row>4</row>
      <rowOff>137160</rowOff>
    </from>
    <ext cx="6903720" cy="322326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9.xml><?xml version="1.0" encoding="utf-8"?>
<wsDr xmlns="http://schemas.openxmlformats.org/drawingml/2006/spreadsheetDrawing">
  <oneCellAnchor>
    <from>
      <col>9</col>
      <colOff>0</colOff>
      <row>21</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38</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182880</colOff>
      <row>20</row>
      <rowOff>121920</rowOff>
    </from>
    <ext cx="432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6</col>
      <colOff>60960</colOff>
      <row>4</row>
      <rowOff>83820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1.xml><?xml version="1.0" encoding="utf-8"?>
<wsDr xmlns="http://schemas.openxmlformats.org/drawingml/2006/spreadsheetDrawing">
  <oneCellAnchor>
    <from>
      <col>7</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19</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36</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16</col>
      <colOff>0</colOff>
      <row>2</row>
      <rowOff>0</rowOff>
    </from>
    <ext cx="432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16</col>
      <colOff>0</colOff>
      <row>19</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22.xml><?xml version="1.0" encoding="utf-8"?>
<wsDr xmlns="http://schemas.openxmlformats.org/drawingml/2006/spreadsheetDrawing">
  <oneCellAnchor>
    <from>
      <col>5</col>
      <colOff>541020</colOff>
      <row>9</row>
      <rowOff>38100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10</col>
      <colOff>0</colOff>
      <row>3</row>
      <rowOff>0</rowOff>
    </from>
    <ext cx="43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4.xml><?xml version="1.0" encoding="utf-8"?>
<wsDr xmlns="http://schemas.openxmlformats.org/drawingml/2006/spreadsheetDrawing">
  <oneCellAnchor>
    <from>
      <col>10</col>
      <colOff>0</colOff>
      <row>3</row>
      <rowOff>0</rowOff>
    </from>
    <ext cx="64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20</row>
      <rowOff>0</rowOff>
    </from>
    <ext cx="9906000" cy="5200650"/>
    <pic>
      <nvPicPr>
        <cNvPr id="3"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drawings/drawing25.xml><?xml version="1.0" encoding="utf-8"?>
<wsDr xmlns="http://schemas.openxmlformats.org/drawingml/2006/spreadsheetDrawing">
  <oneCellAnchor>
    <from>
      <col>6</col>
      <colOff>457200</colOff>
      <row>4</row>
      <rowOff>76200</rowOff>
    </from>
    <ext cx="57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6.xml><?xml version="1.0" encoding="utf-8"?>
<wsDr xmlns="http://schemas.openxmlformats.org/drawingml/2006/spreadsheetDrawing">
  <oneCellAnchor>
    <from>
      <col>7</col>
      <colOff>0</colOff>
      <row>5</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3.xml.rels><Relationships xmlns="http://schemas.openxmlformats.org/package/2006/relationships"><Relationship Type="http://schemas.openxmlformats.org/officeDocument/2006/relationships/drawing" Target="/xl/drawings/drawing11.xml" Id="rId1"/></Relationships>
</file>

<file path=xl/worksheets/_rels/sheet14.xml.rels><Relationships xmlns="http://schemas.openxmlformats.org/package/2006/relationships"><Relationship Type="http://schemas.openxmlformats.org/officeDocument/2006/relationships/drawing" Target="/xl/drawings/drawing12.xml" Id="rId1"/></Relationships>
</file>

<file path=xl/worksheets/_rels/sheet15.xml.rels><Relationships xmlns="http://schemas.openxmlformats.org/package/2006/relationships"><Relationship Type="http://schemas.openxmlformats.org/officeDocument/2006/relationships/drawing" Target="/xl/drawings/drawing13.xml" Id="rId1"/></Relationships>
</file>

<file path=xl/worksheets/_rels/sheet16.xml.rels><Relationships xmlns="http://schemas.openxmlformats.org/package/2006/relationships"><Relationship Type="http://schemas.openxmlformats.org/officeDocument/2006/relationships/drawing" Target="/xl/drawings/drawing14.xml" Id="rId1"/></Relationships>
</file>

<file path=xl/worksheets/_rels/sheet17.xml.rels><Relationships xmlns="http://schemas.openxmlformats.org/package/2006/relationships"><Relationship Type="http://schemas.openxmlformats.org/officeDocument/2006/relationships/drawing" Target="/xl/drawings/drawing15.xml" Id="rId1"/></Relationships>
</file>

<file path=xl/worksheets/_rels/sheet20.xml.rels><Relationships xmlns="http://schemas.openxmlformats.org/package/2006/relationships"><Relationship Type="http://schemas.openxmlformats.org/officeDocument/2006/relationships/drawing" Target="/xl/drawings/drawing16.xml" Id="rId1"/></Relationships>
</file>

<file path=xl/worksheets/_rels/sheet22.xml.rels><Relationships xmlns="http://schemas.openxmlformats.org/package/2006/relationships"><Relationship Type="http://schemas.openxmlformats.org/officeDocument/2006/relationships/drawing" Target="/xl/drawings/drawing17.xml" Id="rId1"/></Relationships>
</file>

<file path=xl/worksheets/_rels/sheet23.xml.rels><Relationships xmlns="http://schemas.openxmlformats.org/package/2006/relationships"><Relationship Type="http://schemas.openxmlformats.org/officeDocument/2006/relationships/drawing" Target="/xl/drawings/drawing18.xml" Id="rId1"/></Relationships>
</file>

<file path=xl/worksheets/_rels/sheet24.xml.rels><Relationships xmlns="http://schemas.openxmlformats.org/package/2006/relationships"><Relationship Type="http://schemas.openxmlformats.org/officeDocument/2006/relationships/drawing" Target="/xl/drawings/drawing19.xml" Id="rId1"/></Relationships>
</file>

<file path=xl/worksheets/_rels/sheet25.xml.rels><Relationships xmlns="http://schemas.openxmlformats.org/package/2006/relationships"><Relationship Type="http://schemas.openxmlformats.org/officeDocument/2006/relationships/drawing" Target="/xl/drawings/drawing20.xml" Id="rId1"/></Relationships>
</file>

<file path=xl/worksheets/_rels/sheet26.xml.rels><Relationships xmlns="http://schemas.openxmlformats.org/package/2006/relationships"><Relationship Type="http://schemas.openxmlformats.org/officeDocument/2006/relationships/drawing" Target="/xl/drawings/drawing21.xml" Id="rId1"/></Relationships>
</file>

<file path=xl/worksheets/_rels/sheet27.xml.rels><Relationships xmlns="http://schemas.openxmlformats.org/package/2006/relationships"><Relationship Type="http://schemas.openxmlformats.org/officeDocument/2006/relationships/drawing" Target="/xl/drawings/drawing22.xml" Id="rId1"/></Relationships>
</file>

<file path=xl/worksheets/_rels/sheet28.xml.rels><Relationships xmlns="http://schemas.openxmlformats.org/package/2006/relationships"><Relationship Type="http://schemas.openxmlformats.org/officeDocument/2006/relationships/drawing" Target="/xl/drawings/drawing23.xml" Id="rId1"/></Relationships>
</file>

<file path=xl/worksheets/_rels/sheet29.xml.rels><Relationships xmlns="http://schemas.openxmlformats.org/package/2006/relationships"><Relationship Type="http://schemas.openxmlformats.org/officeDocument/2006/relationships/drawing" Target="/xl/drawings/drawing24.xml" Id="rId1"/></Relationships>
</file>

<file path=xl/worksheets/_rels/sheet30.xml.rels><Relationships xmlns="http://schemas.openxmlformats.org/package/2006/relationships"><Relationship Type="http://schemas.openxmlformats.org/officeDocument/2006/relationships/drawing" Target="/xl/drawings/drawing25.xml" Id="rId1"/></Relationships>
</file>

<file path=xl/worksheets/_rels/sheet31.xml.rels><Relationships xmlns="http://schemas.openxmlformats.org/package/2006/relationships"><Relationship Type="http://schemas.openxmlformats.org/officeDocument/2006/relationships/drawing" Target="/xl/drawings/drawing26.xml" Id="rId1"/></Relationships>
</file>

<file path=xl/worksheets/sheet1.xml><?xml version="1.0" encoding="utf-8"?>
<worksheet xmlns="http://schemas.openxmlformats.org/spreadsheetml/2006/main">
  <sheetPr>
    <outlinePr summaryBelow="1" summaryRight="1"/>
    <pageSetUpPr/>
  </sheetPr>
  <dimension ref="A1:N344"/>
  <sheetViews>
    <sheetView showGridLines="0" topLeftCell="A141" workbookViewId="0">
      <selection activeCell="A1" sqref="A1"/>
    </sheetView>
  </sheetViews>
  <sheetFormatPr baseColWidth="8" defaultRowHeight="14.4"/>
  <cols>
    <col width="12" customWidth="1" min="1" max="1"/>
  </cols>
  <sheetData>
    <row r="1" ht="17.4" customHeight="1">
      <c r="A1" s="213" t="inlineStr">
        <is>
          <t>Дашборды — все диаграммы книги</t>
        </is>
      </c>
    </row>
    <row r="2">
      <c r="A2" s="214" t="inlineStr">
        <is>
          <t>Копии всех диаграмм со всех листов (данные тянутся с исходных листов). Слева указан лист-источник.</t>
        </is>
      </c>
    </row>
    <row r="4">
      <c r="A4" s="222" t="inlineStr">
        <is>
          <t>1. Дашборд</t>
        </is>
      </c>
      <c r="N4" s="222" t="inlineStr">
        <is>
          <t>2. Дашборд</t>
        </is>
      </c>
    </row>
    <row r="24">
      <c r="A24" s="222" t="inlineStr">
        <is>
          <t>3. Дорожная карта</t>
        </is>
      </c>
      <c r="N24" s="222" t="inlineStr">
        <is>
          <t>4. Дорожная карта</t>
        </is>
      </c>
    </row>
    <row r="44">
      <c r="A44" s="222" t="inlineStr">
        <is>
          <t>5. Дорожная карта</t>
        </is>
      </c>
      <c r="N44" s="222" t="inlineStr">
        <is>
          <t>6. Кварталы</t>
        </is>
      </c>
    </row>
    <row r="64">
      <c r="A64" s="222" t="inlineStr">
        <is>
          <t>7. Кварталы</t>
        </is>
      </c>
      <c r="N64" s="222" t="inlineStr">
        <is>
          <t>8. Квартальный roadmap</t>
        </is>
      </c>
    </row>
    <row r="84">
      <c r="A84" s="222" t="inlineStr">
        <is>
          <t>9. Релизы</t>
        </is>
      </c>
      <c r="N84" s="222" t="inlineStr">
        <is>
          <t>10. Вехи</t>
        </is>
      </c>
    </row>
    <row r="104">
      <c r="A104" s="222" t="inlineStr">
        <is>
          <t>11. Технический долг</t>
        </is>
      </c>
      <c r="N104" s="222" t="inlineStr">
        <is>
          <t>12. Технический долг</t>
        </is>
      </c>
    </row>
    <row r="124">
      <c r="A124" s="222" t="inlineStr">
        <is>
          <t>13. Технический долг</t>
        </is>
      </c>
      <c r="N124" s="222" t="inlineStr">
        <is>
          <t>14. Бюджет</t>
        </is>
      </c>
    </row>
    <row r="144">
      <c r="A144" s="222" t="inlineStr">
        <is>
          <t>15. OKR</t>
        </is>
      </c>
      <c r="N144" s="222" t="inlineStr">
        <is>
          <t>16. Ёмкость на горизонт</t>
        </is>
      </c>
    </row>
    <row r="164">
      <c r="A164" s="222" t="inlineStr">
        <is>
          <t>17. Гант</t>
        </is>
      </c>
      <c r="N164" s="222" t="inlineStr">
        <is>
          <t>18. Загрузка по ролям</t>
        </is>
      </c>
    </row>
    <row r="184">
      <c r="A184" s="222" t="inlineStr">
        <is>
          <t>19. Сгорание</t>
        </is>
      </c>
      <c r="N184" s="222" t="inlineStr">
        <is>
          <t>20. Сгорание</t>
        </is>
      </c>
    </row>
    <row r="204">
      <c r="A204" s="222" t="inlineStr">
        <is>
          <t>21. Качество</t>
        </is>
      </c>
      <c r="N204" s="222" t="inlineStr">
        <is>
          <t>22. Баги</t>
        </is>
      </c>
    </row>
    <row r="224">
      <c r="A224" s="222" t="inlineStr">
        <is>
          <t>23. Баги</t>
        </is>
      </c>
      <c r="N224" s="222" t="inlineStr">
        <is>
          <t>24. Баги</t>
        </is>
      </c>
    </row>
    <row r="244">
      <c r="A244" s="222" t="inlineStr">
        <is>
          <t>25. CFD</t>
        </is>
      </c>
      <c r="N244" s="222" t="inlineStr">
        <is>
          <t>26. Метрики и прогноз</t>
        </is>
      </c>
    </row>
    <row r="264">
      <c r="A264" s="222" t="inlineStr">
        <is>
          <t>27. Метрики и прогноз</t>
        </is>
      </c>
      <c r="N264" s="222" t="inlineStr">
        <is>
          <t>28. Метрики и прогноз</t>
        </is>
      </c>
    </row>
    <row r="284">
      <c r="A284" s="222" t="inlineStr">
        <is>
          <t>29. Метрики и прогноз</t>
        </is>
      </c>
      <c r="N284" s="222" t="inlineStr">
        <is>
          <t>30. Метрики и прогноз</t>
        </is>
      </c>
    </row>
    <row r="304">
      <c r="A304" s="222" t="inlineStr">
        <is>
          <t>31. Cycle time</t>
        </is>
      </c>
      <c r="N304" s="222" t="inlineStr">
        <is>
          <t>32. Риски</t>
        </is>
      </c>
    </row>
    <row r="324">
      <c r="A324" s="222" t="inlineStr">
        <is>
          <t>33. Матрица рисков</t>
        </is>
      </c>
      <c r="N324" s="222" t="inlineStr">
        <is>
          <t>34. Матрица рисков</t>
        </is>
      </c>
    </row>
    <row r="344">
      <c r="A344" s="222" t="inlineStr">
        <is>
          <t>35. Распределение</t>
        </is>
      </c>
      <c r="N344" s="222" t="inlineStr">
        <is>
          <t>36. Time to Market</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5"/>
  <sheetViews>
    <sheetView showGridLines="0" workbookViewId="0">
      <selection activeCell="A1" sqref="A1"/>
    </sheetView>
  </sheetViews>
  <sheetFormatPr baseColWidth="8" defaultRowHeight="14.4"/>
  <cols>
    <col width="26" customWidth="1" min="1" max="1"/>
    <col width="16" customWidth="1" min="2" max="2"/>
    <col width="11" customWidth="1" min="3" max="11"/>
  </cols>
  <sheetData>
    <row r="1" ht="21" customHeight="1">
      <c r="A1" s="75" t="inlineStr">
        <is>
          <t>Дашборд спринт-планирования</t>
        </is>
      </c>
    </row>
    <row r="3">
      <c r="A3" s="14" t="inlineStr">
        <is>
          <t>Цель спринта:</t>
        </is>
      </c>
      <c r="B3" s="253">
        <f>Параметры!$B$19</f>
        <v/>
      </c>
      <c r="C3" s="254" t="n"/>
      <c r="D3" s="254" t="n"/>
      <c r="E3" s="255" t="n"/>
    </row>
    <row r="4">
      <c r="A4" s="38" t="inlineStr">
        <is>
          <t>Показатели тянутся с других листов; RAG-цвет — по порогам. Правьте исходные данные.</t>
        </is>
      </c>
    </row>
    <row r="6" ht="15.6" customHeight="1">
      <c r="A6" s="58" t="inlineStr">
        <is>
          <t>Текущий спринт</t>
        </is>
      </c>
    </row>
    <row r="7" ht="15.6" customHeight="1">
      <c r="A7" s="32" t="inlineStr">
        <is>
          <t>№ спринта</t>
        </is>
      </c>
      <c r="B7" s="76">
        <f>Параметры!$B$13</f>
        <v/>
      </c>
    </row>
    <row r="8" ht="15.6" customHeight="1">
      <c r="A8" s="32" t="inlineStr">
        <is>
          <t>Трудомощность (дн)</t>
        </is>
      </c>
      <c r="B8" s="77">
        <f>Параметры!$B$14</f>
        <v/>
      </c>
    </row>
    <row r="9" ht="15.6" customHeight="1">
      <c r="A9" s="32" t="inlineStr">
        <is>
          <t>Трудоёмкость (дн)</t>
        </is>
      </c>
      <c r="B9" s="77">
        <f>Параметры!$B$15</f>
        <v/>
      </c>
    </row>
    <row r="10" ht="15.6" customHeight="1">
      <c r="A10" s="32" t="inlineStr">
        <is>
          <t>Загрузка</t>
        </is>
      </c>
      <c r="B10" s="78">
        <f>Параметры!$B$16</f>
        <v/>
      </c>
    </row>
    <row r="11" ht="15.6" customHeight="1">
      <c r="A11" s="32" t="inlineStr">
        <is>
          <t>Баланс (дн)</t>
        </is>
      </c>
      <c r="B11" s="77">
        <f>Параметры!$B$17</f>
        <v/>
      </c>
    </row>
    <row r="12" ht="15.6" customHeight="1">
      <c r="A12" s="32" t="inlineStr">
        <is>
          <t>Готовность DoD</t>
        </is>
      </c>
      <c r="B12" s="78">
        <f>Параметры!$B$29</f>
        <v/>
      </c>
    </row>
    <row r="14" ht="15.6" customHeight="1">
      <c r="A14" s="58" t="inlineStr">
        <is>
          <t>Динамика и прогноз</t>
        </is>
      </c>
    </row>
    <row r="15" ht="15.6" customHeight="1">
      <c r="A15" s="32" t="inlineStr">
        <is>
          <t>Закрытых спринтов</t>
        </is>
      </c>
      <c r="B15" s="76">
        <f>'Дорожная карта'!$C$20</f>
        <v/>
      </c>
    </row>
    <row r="16" ht="15.6" customHeight="1">
      <c r="A16" s="32" t="inlineStr">
        <is>
          <t>Средняя velocity (дн)</t>
        </is>
      </c>
      <c r="B16" s="77">
        <f>'Дорожная карта'!$C$21</f>
        <v/>
      </c>
    </row>
    <row r="17" ht="15.6" customHeight="1">
      <c r="A17" s="32" t="inlineStr">
        <is>
          <t>Средний % выполнения</t>
        </is>
      </c>
      <c r="B17" s="78">
        <f>'Дорожная карта'!$C$22</f>
        <v/>
      </c>
    </row>
    <row r="18" ht="15.6" customHeight="1">
      <c r="A18" s="32" t="inlineStr">
        <is>
          <t>Остаток бэклога (дн)</t>
        </is>
      </c>
      <c r="B18" s="79">
        <f>'Дорожная карта'!$F$20</f>
        <v/>
      </c>
    </row>
    <row r="19" ht="15.6" customHeight="1">
      <c r="A19" s="32" t="inlineStr">
        <is>
          <t>Спринтов до завершения</t>
        </is>
      </c>
      <c r="B19" s="76">
        <f>'Дорожная карта'!$F$22</f>
        <v/>
      </c>
    </row>
    <row r="20" ht="15.6" customHeight="1">
      <c r="A20" s="32" t="inlineStr">
        <is>
          <t>Ожидаемая дата</t>
        </is>
      </c>
      <c r="B20" s="80">
        <f>'Дорожная карта'!$F$23</f>
        <v/>
      </c>
    </row>
    <row r="22" ht="15.6" customHeight="1">
      <c r="A22" s="58" t="inlineStr">
        <is>
          <t>Качество, точность, риски</t>
        </is>
      </c>
    </row>
    <row r="23" ht="15.6" customHeight="1">
      <c r="A23" s="32" t="inlineStr">
        <is>
          <t>Коэфф. точности оценок</t>
        </is>
      </c>
      <c r="B23" s="81">
        <f>Бэклог!$E$47</f>
        <v/>
      </c>
    </row>
    <row r="24" ht="15.6" customHeight="1">
      <c r="A24" s="32" t="inlineStr">
        <is>
          <t>Багов найдено (всего)</t>
        </is>
      </c>
      <c r="B24" s="76">
        <f>COUNTA(Баги!$A$5:$A$64)</f>
        <v/>
      </c>
    </row>
    <row r="25" ht="15.6" customHeight="1">
      <c r="A25" s="32" t="inlineStr">
        <is>
          <t>Багов открыто</t>
        </is>
      </c>
      <c r="B25" s="76">
        <f>COUNTIF(Баги!$F$5:$F$64,"Открыт")</f>
        <v/>
      </c>
    </row>
    <row r="26" ht="15.6" customHeight="1">
      <c r="A26" s="32" t="inlineStr">
        <is>
          <t>Заблокировано задач</t>
        </is>
      </c>
      <c r="B26" s="76">
        <f>COUNTIF(Бэклог!$K$5:$K$44,"Да")</f>
        <v/>
      </c>
    </row>
    <row r="27" ht="15.6" customHeight="1">
      <c r="A27" s="32" t="inlineStr">
        <is>
          <t>Дней в блоке (всего)</t>
        </is>
      </c>
      <c r="B27" s="77">
        <f>SUM(Бэклог!$L$5:$L$44)</f>
        <v/>
      </c>
    </row>
    <row r="29" ht="15.6" customHeight="1">
      <c r="A29" s="91" t="inlineStr">
        <is>
          <t>Поток и scope</t>
        </is>
      </c>
    </row>
    <row r="30" ht="15.6" customHeight="1">
      <c r="A30" s="88" t="inlineStr">
        <is>
          <t>Средний cycle time (дн)</t>
        </is>
      </c>
      <c r="B30" s="114">
        <f>Бэклог!$E$49</f>
        <v/>
      </c>
    </row>
    <row r="31" ht="15.6" customHeight="1">
      <c r="A31" s="88" t="inlineStr">
        <is>
          <t>Задач добавлено (scope)</t>
        </is>
      </c>
      <c r="B31" s="106">
        <f>COUNTIF(Бэклог!$N$5:$N$44,"Да")</f>
        <v/>
      </c>
    </row>
    <row r="32" ht="15.6" customHeight="1">
      <c r="A32" s="223" t="inlineStr">
        <is>
          <t>Средний TTM (дн)</t>
        </is>
      </c>
      <c r="B32" s="224">
        <f>'Time to Market'!$C$4</f>
        <v/>
      </c>
    </row>
    <row r="33">
      <c r="A33" s="82" t="inlineStr">
        <is>
          <t>Velocity по спринтам (для спарклайна):</t>
        </is>
      </c>
    </row>
    <row r="34">
      <c r="A34" s="115">
        <f>'Дорожная карта'!I6</f>
        <v/>
      </c>
      <c r="B34" s="115">
        <f>'Дорожная карта'!I7</f>
        <v/>
      </c>
      <c r="C34" s="115">
        <f>'Дорожная карта'!I8</f>
        <v/>
      </c>
      <c r="D34" s="115">
        <f>'Дорожная карта'!I9</f>
        <v/>
      </c>
      <c r="E34" s="115">
        <f>'Дорожная карта'!I10</f>
        <v/>
      </c>
      <c r="F34" s="115">
        <f>'Дорожная карта'!I11</f>
        <v/>
      </c>
      <c r="G34" s="115">
        <f>'Дорожная карта'!I12</f>
        <v/>
      </c>
      <c r="H34" s="115">
        <f>'Дорожная карта'!I13</f>
        <v/>
      </c>
      <c r="I34" s="115">
        <f>'Дорожная карта'!I14</f>
        <v/>
      </c>
      <c r="J34" s="115">
        <f>'Дорожная карта'!I15</f>
        <v/>
      </c>
      <c r="K34" s="115">
        <f>'Дорожная карта'!I16</f>
        <v/>
      </c>
    </row>
    <row r="35">
      <c r="A35" s="82" t="inlineStr">
        <is>
          <t>Выделите A34:K34 → Вставка → Спарклайны → График (в любую ячейку).</t>
        </is>
      </c>
    </row>
  </sheetData>
  <mergeCells count="1">
    <mergeCell ref="B3:E3"/>
  </mergeCells>
  <conditionalFormatting sqref="B10">
    <cfRule type="cellIs" priority="1" operator="greaterThan" dxfId="2">
      <formula>1</formula>
    </cfRule>
    <cfRule type="cellIs" priority="2" operator="between" dxfId="1">
      <formula>0.9</formula>
      <formula>1</formula>
    </cfRule>
    <cfRule type="cellIs" priority="3" operator="lessThan" dxfId="0">
      <formula>0.9</formula>
    </cfRule>
  </conditionalFormatting>
  <conditionalFormatting sqref="B11">
    <cfRule type="cellIs" priority="4" operator="lessThan" dxfId="2">
      <formula>0</formula>
    </cfRule>
    <cfRule type="cellIs" priority="5" operator="greaterThanOrEqual" dxfId="0">
      <formula>0</formula>
    </cfRule>
  </conditionalFormatting>
  <conditionalFormatting sqref="B12">
    <cfRule type="cellIs" priority="6" operator="lessThan" dxfId="2">
      <formula>0.8</formula>
    </cfRule>
    <cfRule type="cellIs" priority="7" operator="between" dxfId="1">
      <formula>0.8</formula>
      <formula>0.999</formula>
    </cfRule>
    <cfRule type="cellIs" priority="8" operator="greaterThanOrEqual" dxfId="0">
      <formula>1</formula>
    </cfRule>
  </conditionalFormatting>
  <conditionalFormatting sqref="B17">
    <cfRule type="cellIs" priority="9" operator="greaterThanOrEqual" dxfId="0">
      <formula>0.9</formula>
    </cfRule>
    <cfRule type="cellIs" priority="10" operator="between" dxfId="1">
      <formula>0.7</formula>
      <formula>0.899</formula>
    </cfRule>
    <cfRule type="cellIs" priority="11" operator="lessThan" dxfId="2">
      <formula>0.7</formula>
    </cfRule>
  </conditionalFormatting>
  <conditionalFormatting sqref="B23">
    <cfRule type="cellIs" priority="12" operator="between" dxfId="1">
      <formula>0.8</formula>
      <formula>1.2</formula>
    </cfRule>
    <cfRule type="cellIs" priority="13" operator="between" dxfId="0">
      <formula>0.9</formula>
      <formula>1.1</formula>
    </cfRule>
  </conditionalFormatting>
  <conditionalFormatting sqref="B25">
    <cfRule type="cellIs" priority="14" operator="greaterThan" dxfId="2">
      <formula>3</formula>
    </cfRule>
    <cfRule type="cellIs" priority="15" operator="between" dxfId="1">
      <formula>1</formula>
      <formula>3</formula>
    </cfRule>
    <cfRule type="cellIs" priority="16" operator="equal" dxfId="0">
      <formula>0</formula>
    </cfRule>
  </conditionalFormatting>
  <conditionalFormatting sqref="B32">
    <cfRule type="cellIs" priority="17" operator="lessThanOrEqual" dxfId="0">
      <formula>15</formula>
    </cfRule>
    <cfRule type="cellIs" priority="18" operator="greaterThan" dxfId="2">
      <formula>15</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C29"/>
  <sheetViews>
    <sheetView showGridLines="0" workbookViewId="0">
      <selection activeCell="B36" sqref="B36"/>
    </sheetView>
  </sheetViews>
  <sheetFormatPr baseColWidth="8" defaultRowHeight="14.4"/>
  <cols>
    <col width="37.6640625" customWidth="1" min="1" max="1"/>
    <col width="16" customWidth="1" min="2" max="2"/>
    <col width="52" customWidth="1" min="3" max="3"/>
  </cols>
  <sheetData>
    <row r="1" ht="17.4" customHeight="1">
      <c r="A1" s="1" t="inlineStr">
        <is>
          <t>Планирование спринта — параметры</t>
        </is>
      </c>
    </row>
    <row r="2">
      <c r="A2" s="2" t="inlineStr">
        <is>
          <t>Двухнедельный спринт. Жёлтые ячейки — заполняются вручную, серые — считаются формулами.</t>
        </is>
      </c>
    </row>
    <row r="4">
      <c r="A4" s="3" t="inlineStr">
        <is>
          <t>Параметр</t>
        </is>
      </c>
      <c r="B4" s="3" t="inlineStr">
        <is>
          <t>Значение</t>
        </is>
      </c>
      <c r="C4" s="3" t="inlineStr">
        <is>
          <t>Комментарий</t>
        </is>
      </c>
    </row>
    <row r="5">
      <c r="A5" s="4" t="inlineStr">
        <is>
          <t>Название спринта</t>
        </is>
      </c>
      <c r="B5" s="5" t="inlineStr">
        <is>
          <t>Sprint 24</t>
        </is>
      </c>
      <c r="C5" s="6" t="inlineStr">
        <is>
          <t>текст</t>
        </is>
      </c>
    </row>
    <row r="6">
      <c r="A6" s="4" t="inlineStr">
        <is>
          <t>Дата начала спринта</t>
        </is>
      </c>
      <c r="B6" s="16" t="n">
        <v>46237</v>
      </c>
      <c r="C6" s="6" t="inlineStr">
        <is>
          <t>дата (пн)</t>
        </is>
      </c>
    </row>
    <row r="7">
      <c r="A7" s="4" t="inlineStr">
        <is>
          <t>Длительность (рабочих дней)</t>
        </is>
      </c>
      <c r="B7" s="5" t="n">
        <v>10</v>
      </c>
      <c r="C7" s="6" t="inlineStr">
        <is>
          <t>справочно (раб. дни теперь из «Календаря»)</t>
        </is>
      </c>
    </row>
    <row r="8">
      <c r="A8" s="4" t="inlineStr">
        <is>
          <t>Часов в рабочем дне</t>
        </is>
      </c>
      <c r="B8" s="5" t="n">
        <v>8</v>
      </c>
      <c r="C8" s="6" t="inlineStr">
        <is>
          <t>справочно (перевод дни↔часы)</t>
        </is>
      </c>
    </row>
    <row r="9">
      <c r="A9" s="4" t="inlineStr">
        <is>
          <t>Focus factor (коэф. фокуса)</t>
        </is>
      </c>
      <c r="B9" s="7" t="n">
        <v>0.8</v>
      </c>
      <c r="C9" s="6" t="inlineStr">
        <is>
          <t>доля продуктивного времени, 0–1</t>
        </is>
      </c>
    </row>
    <row r="10">
      <c r="A10" s="14" t="inlineStr">
        <is>
          <t>Дата отсчёта (сегодня):</t>
        </is>
      </c>
      <c r="B10" s="107" t="n">
        <v>46275</v>
      </c>
      <c r="C10" s="82" t="inlineStr">
        <is>
          <t>Поставьте =СЕГОДНЯ() для реального времени</t>
        </is>
      </c>
    </row>
    <row r="11" ht="17.4" customHeight="1">
      <c r="A11" s="1" t="inlineStr">
        <is>
          <t>Сводка спринта</t>
        </is>
      </c>
    </row>
    <row r="12">
      <c r="A12" s="3" t="inlineStr">
        <is>
          <t>Показатель</t>
        </is>
      </c>
      <c r="B12" s="3" t="inlineStr">
        <is>
          <t>Значение</t>
        </is>
      </c>
      <c r="C12" s="3" t="inlineStr">
        <is>
          <t>Комментарий</t>
        </is>
      </c>
    </row>
    <row r="13">
      <c r="A13" s="32" t="inlineStr">
        <is>
          <t>Номер текущего спринта</t>
        </is>
      </c>
      <c r="B13" s="83">
        <f>MAX(1,COUNTIF('Дорожная карта'!$C$6:$C$16,"&lt;="&amp;$B$10))</f>
        <v/>
      </c>
      <c r="C13" s="34" t="inlineStr">
        <is>
          <t>Авто по дате отсчёта (активный спринт)</t>
        </is>
      </c>
    </row>
    <row r="14">
      <c r="A14" s="32" t="inlineStr">
        <is>
          <t>Трудомощность команды (дн)</t>
        </is>
      </c>
      <c r="B14" s="35">
        <f>SUMIF(Капасити!$A$5:$A$147,$B$13,Капасити!$H$5:$H$147)</f>
        <v/>
      </c>
      <c r="C14" s="34" t="inlineStr">
        <is>
          <t>Капасити выбранного спринта (лист «Капасити»)</t>
        </is>
      </c>
    </row>
    <row r="15">
      <c r="A15" s="32" t="inlineStr">
        <is>
          <t>Трудоёмкость спринта (дн)</t>
        </is>
      </c>
      <c r="B15" s="35">
        <f>SUMIF(Бэклог!$M$5:$M$44,$B$13,Бэклог!$E$5:$E$44)</f>
        <v/>
      </c>
      <c r="C15" s="34" t="inlineStr">
        <is>
          <t>Суммарная оценка запланированных задач</t>
        </is>
      </c>
    </row>
    <row r="16">
      <c r="A16" s="32" t="inlineStr">
        <is>
          <t>Загрузка команды</t>
        </is>
      </c>
      <c r="B16" s="36">
        <f>IFERROR(B15/B14,0)</f>
        <v/>
      </c>
      <c r="C16" s="34" t="inlineStr">
        <is>
          <t>Трудоёмкость / трудомощность. &gt;100% = перегруз</t>
        </is>
      </c>
    </row>
    <row r="17">
      <c r="A17" s="32" t="inlineStr">
        <is>
          <t>Баланс (дн)</t>
        </is>
      </c>
      <c r="B17" s="35">
        <f>B14-B15</f>
        <v/>
      </c>
      <c r="C17" s="34" t="inlineStr">
        <is>
          <t>Свободное капасити (+) или перегруз (−)</t>
        </is>
      </c>
    </row>
    <row r="19" ht="55.2" customHeight="1">
      <c r="A19" s="14" t="inlineStr">
        <is>
          <t>Цель спринта:</t>
        </is>
      </c>
      <c r="B19" s="57" t="inlineStr">
        <is>
          <t>Запустить оформление заказа с онлайн-оплатой</t>
        </is>
      </c>
      <c r="C19" s="38" t="inlineStr">
        <is>
          <t>Одна фраза — зачем этот спринт</t>
        </is>
      </c>
    </row>
    <row r="21" ht="15.6" customHeight="1">
      <c r="A21" s="58" t="inlineStr">
        <is>
          <t>Definition of Done (критерии готовности)</t>
        </is>
      </c>
    </row>
    <row r="22">
      <c r="A22" s="39" t="inlineStr">
        <is>
          <t>Критерий</t>
        </is>
      </c>
      <c r="B22" s="39" t="inlineStr">
        <is>
          <t>Выполнено</t>
        </is>
      </c>
    </row>
    <row r="23">
      <c r="A23" s="59" t="inlineStr">
        <is>
          <t>Код прошёл ревью</t>
        </is>
      </c>
      <c r="B23" s="50" t="inlineStr">
        <is>
          <t>Нет</t>
        </is>
      </c>
    </row>
    <row r="24">
      <c r="A24" s="59" t="inlineStr">
        <is>
          <t>Юнит/интеграционные тесты зелёные</t>
        </is>
      </c>
      <c r="B24" s="50" t="inlineStr">
        <is>
          <t>Нет</t>
        </is>
      </c>
    </row>
    <row r="25">
      <c r="A25" s="59" t="inlineStr">
        <is>
          <t>Документация обновлена</t>
        </is>
      </c>
      <c r="B25" s="50" t="inlineStr">
        <is>
          <t>Нет</t>
        </is>
      </c>
    </row>
    <row r="26">
      <c r="A26" s="59" t="inlineStr">
        <is>
          <t>Развёрнуто на stage</t>
        </is>
      </c>
      <c r="B26" s="50" t="inlineStr">
        <is>
          <t>Нет</t>
        </is>
      </c>
    </row>
    <row r="27">
      <c r="A27" s="59" t="inlineStr">
        <is>
          <t>Принято владельцем продукта</t>
        </is>
      </c>
      <c r="B27" s="50" t="inlineStr">
        <is>
          <t>Нет</t>
        </is>
      </c>
    </row>
    <row r="28">
      <c r="A28" s="59" t="inlineStr">
        <is>
          <t>Нет открытых блокеров</t>
        </is>
      </c>
      <c r="B28" s="50" t="inlineStr">
        <is>
          <t>Нет</t>
        </is>
      </c>
    </row>
    <row r="29">
      <c r="A29" s="32" t="inlineStr">
        <is>
          <t>Готовность DoD</t>
        </is>
      </c>
      <c r="B29" s="60">
        <f>COUNTIF(B23:B28,"Да")/6</f>
        <v/>
      </c>
    </row>
  </sheetData>
  <dataValidations count="1">
    <dataValidation sqref="B23 B24 B25 B26 B27 B28" showDropDown="0" showInputMessage="0" showErrorMessage="0" allowBlank="1" type="list">
      <formula1>"Да,Нет"</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62"/>
  <sheetViews>
    <sheetView showGridLines="0" zoomScale="90" zoomScaleNormal="90" workbookViewId="0">
      <pane ySplit="5" topLeftCell="A54" activePane="bottomLeft" state="frozen"/>
      <selection pane="bottomLeft" activeCell="K22" sqref="K22"/>
    </sheetView>
  </sheetViews>
  <sheetFormatPr baseColWidth="8" defaultRowHeight="14.4"/>
  <cols>
    <col width="9.77734375" customWidth="1" min="1" max="1"/>
    <col width="29.77734375" customWidth="1" min="2" max="2"/>
    <col width="13" customWidth="1" min="3" max="4"/>
    <col width="22.77734375" customWidth="1" min="5" max="5"/>
    <col width="17" customWidth="1" min="6" max="6"/>
    <col width="20.33203125" customWidth="1" min="7" max="7"/>
    <col width="10" customWidth="1" min="8" max="8"/>
    <col width="13" customWidth="1" min="9" max="9"/>
    <col width="12.109375" customWidth="1" min="10" max="10"/>
    <col width="16.6640625" customWidth="1" min="11" max="11"/>
    <col width="30" customWidth="1" min="12" max="12"/>
    <col width="11" customWidth="1" min="13" max="13"/>
    <col hidden="1" width="13" customWidth="1" min="28" max="31"/>
  </cols>
  <sheetData>
    <row r="1" ht="17.4" customHeight="1">
      <c r="A1" s="1" t="inlineStr">
        <is>
          <t>Дорожная карта спринтов — до конца 2026 года</t>
        </is>
      </c>
    </row>
    <row r="2">
      <c r="A2" s="2" t="inlineStr">
        <is>
          <t>Двухнедельные спринты (10 раб. дней), человеко-дни. Velocity и % выполнения — по закрытым спринтам. Жёлтые ячейки — заполняются вручную (пример замените фактом).</t>
        </is>
      </c>
    </row>
    <row r="3">
      <c r="A3" s="14" t="inlineStr">
        <is>
          <t>Старт Спринта 1:</t>
        </is>
      </c>
      <c r="B3" s="17">
        <f>Параметры!$B$6</f>
        <v/>
      </c>
    </row>
    <row r="5" ht="41.4" customHeight="1">
      <c r="A5" s="3" t="inlineStr">
        <is>
          <t>№</t>
        </is>
      </c>
      <c r="B5" s="3" t="inlineStr">
        <is>
          <t>Спринт</t>
        </is>
      </c>
      <c r="C5" s="3" t="inlineStr">
        <is>
          <t>Начало</t>
        </is>
      </c>
      <c r="D5" s="3" t="inlineStr">
        <is>
          <t>Конец</t>
        </is>
      </c>
      <c r="E5" s="3" t="inlineStr">
        <is>
          <t>Раб.
дней</t>
        </is>
      </c>
      <c r="F5" s="3" t="inlineStr">
        <is>
          <t>Трудомощность
(дн)</t>
        </is>
      </c>
      <c r="G5" s="3" t="inlineStr">
        <is>
          <t>План трудо-
ёмкости (дн)</t>
        </is>
      </c>
      <c r="H5" s="3" t="inlineStr">
        <is>
          <t>Загрузка
(план)</t>
        </is>
      </c>
      <c r="I5" s="3" t="inlineStr">
        <is>
          <t>Факт /
Velocity (дн)</t>
        </is>
      </c>
      <c r="J5" s="3" t="inlineStr">
        <is>
          <t>%
выполн.</t>
        </is>
      </c>
      <c r="K5" s="3" t="inlineStr">
        <is>
          <t>Статус</t>
        </is>
      </c>
      <c r="L5" s="3" t="inlineStr">
        <is>
          <t>Примечание</t>
        </is>
      </c>
      <c r="M5" s="161" t="inlineStr">
        <is>
          <t>Квартал</t>
        </is>
      </c>
      <c r="AB5" t="inlineStr">
        <is>
          <t>≥90%</t>
        </is>
      </c>
      <c r="AC5" t="inlineStr">
        <is>
          <t>70–90%</t>
        </is>
      </c>
      <c r="AD5" t="inlineStr">
        <is>
          <t>&lt;70%</t>
        </is>
      </c>
      <c r="AE5" t="inlineStr">
        <is>
          <t>Цель 100%</t>
        </is>
      </c>
    </row>
    <row r="6">
      <c r="A6" s="9" t="n">
        <v>1</v>
      </c>
      <c r="B6" s="10" t="inlineStr">
        <is>
          <t>Спринт 1</t>
        </is>
      </c>
      <c r="C6" s="18">
        <f>$B$3+(A6-1)*14</f>
        <v/>
      </c>
      <c r="D6" s="18">
        <f>C6+11</f>
        <v/>
      </c>
      <c r="E6" s="84">
        <f>NETWORKDAYS(C6,D6,Календарь!$A$5:$A$29)</f>
        <v/>
      </c>
      <c r="F6" s="23">
        <f>SUMIF(Капасити!$A$5:$A$147,A6,Капасити!$H$5:$H$147)</f>
        <v/>
      </c>
      <c r="G6" s="85">
        <f>SUMIF(Бэклог!$M$5:$M$44,A6,Бэклог!$E$5:$E$44)</f>
        <v/>
      </c>
      <c r="H6" s="8">
        <f>IFERROR(G6/F6,0)</f>
        <v/>
      </c>
      <c r="I6" s="85">
        <f>IF(K6="Закрыт",SUMIFS(Бэклог!$E$5:$E$44,Бэклог!$M$5:$M$44,A6,Бэклог!$F$5:$F$44,"Готово"),"")</f>
        <v/>
      </c>
      <c r="J6" s="8">
        <f>IF(I6="","",IFERROR(I6/G6,0))</f>
        <v/>
      </c>
      <c r="K6" s="86">
        <f>IF(Параметры!$B$10&gt;D6,"Закрыт",IF(Параметры!$B$10&gt;=C6,"Активный","Планируется"))</f>
        <v/>
      </c>
      <c r="L6" s="10" t="n"/>
      <c r="M6" s="162">
        <f>"Q"&amp;ROUNDUP(MONTH(C6)/3,0)&amp;" "&amp;YEAR(C6)</f>
        <v/>
      </c>
      <c r="AB6" s="27">
        <f>IF(AND($J6&lt;&gt;"",$J6&gt;=$C$29),$J6,NA())</f>
        <v/>
      </c>
      <c r="AC6" s="27">
        <f>IF(AND($J6&lt;&gt;"",$J6&gt;=$C$30,$J6&lt;$C$29),$J6,NA())</f>
        <v/>
      </c>
      <c r="AD6" s="27">
        <f>IF(AND($J6&lt;&gt;"",$J6&lt;$C$30),$J6,NA())</f>
        <v/>
      </c>
      <c r="AE6" s="27" t="n">
        <v>1</v>
      </c>
    </row>
    <row r="7">
      <c r="A7" s="9" t="n">
        <v>2</v>
      </c>
      <c r="B7" s="10" t="inlineStr">
        <is>
          <t>Спринт 2</t>
        </is>
      </c>
      <c r="C7" s="18">
        <f>$B$3+(A7-1)*14</f>
        <v/>
      </c>
      <c r="D7" s="18">
        <f>C7+11</f>
        <v/>
      </c>
      <c r="E7" s="84">
        <f>NETWORKDAYS(C7,D7,Календарь!$A$5:$A$29)</f>
        <v/>
      </c>
      <c r="F7" s="23">
        <f>SUMIF(Капасити!$A$5:$A$147,A7,Капасити!$H$5:$H$147)</f>
        <v/>
      </c>
      <c r="G7" s="85">
        <f>SUMIF(Бэклог!$M$5:$M$44,A7,Бэклог!$E$5:$E$44)</f>
        <v/>
      </c>
      <c r="H7" s="8">
        <f>IFERROR(G7/F7,0)</f>
        <v/>
      </c>
      <c r="I7" s="85">
        <f>IF(K7="Закрыт",SUMIFS(Бэклог!$E$5:$E$44,Бэклог!$M$5:$M$44,A7,Бэклог!$F$5:$F$44,"Готово"),"")</f>
        <v/>
      </c>
      <c r="J7" s="8">
        <f>IF(I7="","",IFERROR(I7/G7,0))</f>
        <v/>
      </c>
      <c r="K7" s="86">
        <f>IF(Параметры!$B$10&gt;D7,"Закрыт",IF(Параметры!$B$10&gt;=C7,"Активный","Планируется"))</f>
        <v/>
      </c>
      <c r="L7" s="10" t="n"/>
      <c r="M7" s="162">
        <f>"Q"&amp;ROUNDUP(MONTH(C7)/3,0)&amp;" "&amp;YEAR(C7)</f>
        <v/>
      </c>
      <c r="AB7" s="27">
        <f>IF(AND($J7&lt;&gt;"",$J7&gt;=$C$29),$J7,NA())</f>
        <v/>
      </c>
      <c r="AC7" s="27">
        <f>IF(AND($J7&lt;&gt;"",$J7&gt;=$C$30,$J7&lt;$C$29),$J7,NA())</f>
        <v/>
      </c>
      <c r="AD7" s="27">
        <f>IF(AND($J7&lt;&gt;"",$J7&lt;$C$30),$J7,NA())</f>
        <v/>
      </c>
      <c r="AE7" s="27" t="n">
        <v>1</v>
      </c>
    </row>
    <row r="8">
      <c r="A8" s="9" t="n">
        <v>3</v>
      </c>
      <c r="B8" s="10" t="inlineStr">
        <is>
          <t>Спринт 3</t>
        </is>
      </c>
      <c r="C8" s="18">
        <f>$B$3+(A8-1)*14</f>
        <v/>
      </c>
      <c r="D8" s="18">
        <f>C8+11</f>
        <v/>
      </c>
      <c r="E8" s="84">
        <f>NETWORKDAYS(C8,D8,Календарь!$A$5:$A$29)</f>
        <v/>
      </c>
      <c r="F8" s="23">
        <f>SUMIF(Капасити!$A$5:$A$147,A8,Капасити!$H$5:$H$147)</f>
        <v/>
      </c>
      <c r="G8" s="85">
        <f>SUMIF(Бэклог!$M$5:$M$44,A8,Бэклог!$E$5:$E$44)</f>
        <v/>
      </c>
      <c r="H8" s="8">
        <f>IFERROR(G8/F8,0)</f>
        <v/>
      </c>
      <c r="I8" s="85">
        <f>IF(K8="Закрыт",SUMIFS(Бэклог!$E$5:$E$44,Бэклог!$M$5:$M$44,A8,Бэклог!$F$5:$F$44,"Готово"),"")</f>
        <v/>
      </c>
      <c r="J8" s="8">
        <f>IF(I8="","",IFERROR(I8/G8,0))</f>
        <v/>
      </c>
      <c r="K8" s="86">
        <f>IF(Параметры!$B$10&gt;D8,"Закрыт",IF(Параметры!$B$10&gt;=C8,"Активный","Планируется"))</f>
        <v/>
      </c>
      <c r="L8" s="10" t="n"/>
      <c r="M8" s="162">
        <f>"Q"&amp;ROUNDUP(MONTH(C8)/3,0)&amp;" "&amp;YEAR(C8)</f>
        <v/>
      </c>
      <c r="AB8" s="27">
        <f>IF(AND($J8&lt;&gt;"",$J8&gt;=$C$29),$J8,NA())</f>
        <v/>
      </c>
      <c r="AC8" s="27">
        <f>IF(AND($J8&lt;&gt;"",$J8&gt;=$C$30,$J8&lt;$C$29),$J8,NA())</f>
        <v/>
      </c>
      <c r="AD8" s="27">
        <f>IF(AND($J8&lt;&gt;"",$J8&lt;$C$30),$J8,NA())</f>
        <v/>
      </c>
      <c r="AE8" s="27" t="n">
        <v>1</v>
      </c>
    </row>
    <row r="9">
      <c r="A9" s="9" t="n">
        <v>4</v>
      </c>
      <c r="B9" s="10" t="inlineStr">
        <is>
          <t>Спринт 4</t>
        </is>
      </c>
      <c r="C9" s="18">
        <f>$B$3+(A9-1)*14</f>
        <v/>
      </c>
      <c r="D9" s="18">
        <f>C9+11</f>
        <v/>
      </c>
      <c r="E9" s="84">
        <f>NETWORKDAYS(C9,D9,Календарь!$A$5:$A$29)</f>
        <v/>
      </c>
      <c r="F9" s="23">
        <f>SUMIF(Капасити!$A$5:$A$147,A9,Капасити!$H$5:$H$147)</f>
        <v/>
      </c>
      <c r="G9" s="85">
        <f>SUMIF(Бэклог!$M$5:$M$44,A9,Бэклог!$E$5:$E$44)</f>
        <v/>
      </c>
      <c r="H9" s="8">
        <f>IFERROR(G9/F9,0)</f>
        <v/>
      </c>
      <c r="I9" s="85">
        <f>IF(K9="Закрыт",SUMIFS(Бэклог!$E$5:$E$44,Бэклог!$M$5:$M$44,A9,Бэклог!$F$5:$F$44,"Готово"),"")</f>
        <v/>
      </c>
      <c r="J9" s="8">
        <f>IF(I9="","",IFERROR(I9/G9,0))</f>
        <v/>
      </c>
      <c r="K9" s="86">
        <f>IF(Параметры!$B$10&gt;D9,"Закрыт",IF(Параметры!$B$10&gt;=C9,"Активный","Планируется"))</f>
        <v/>
      </c>
      <c r="L9" s="10" t="n"/>
      <c r="M9" s="162">
        <f>"Q"&amp;ROUNDUP(MONTH(C9)/3,0)&amp;" "&amp;YEAR(C9)</f>
        <v/>
      </c>
      <c r="AB9" s="27">
        <f>IF(AND($J9&lt;&gt;"",$J9&gt;=$C$29),$J9,NA())</f>
        <v/>
      </c>
      <c r="AC9" s="27">
        <f>IF(AND($J9&lt;&gt;"",$J9&gt;=$C$30,$J9&lt;$C$29),$J9,NA())</f>
        <v/>
      </c>
      <c r="AD9" s="27">
        <f>IF(AND($J9&lt;&gt;"",$J9&lt;$C$30),$J9,NA())</f>
        <v/>
      </c>
      <c r="AE9" s="27" t="n">
        <v>1</v>
      </c>
    </row>
    <row r="10">
      <c r="A10" s="9" t="n">
        <v>5</v>
      </c>
      <c r="B10" s="10" t="inlineStr">
        <is>
          <t>Спринт 5</t>
        </is>
      </c>
      <c r="C10" s="18">
        <f>$B$3+(A10-1)*14</f>
        <v/>
      </c>
      <c r="D10" s="18">
        <f>C10+11</f>
        <v/>
      </c>
      <c r="E10" s="84">
        <f>NETWORKDAYS(C10,D10,Календарь!$A$5:$A$29)</f>
        <v/>
      </c>
      <c r="F10" s="23">
        <f>SUMIF(Капасити!$A$5:$A$147,A10,Капасити!$H$5:$H$147)</f>
        <v/>
      </c>
      <c r="G10" s="85">
        <f>SUMIF(Бэклог!$M$5:$M$44,A10,Бэклог!$E$5:$E$44)</f>
        <v/>
      </c>
      <c r="H10" s="8">
        <f>IFERROR(G10/F10,0)</f>
        <v/>
      </c>
      <c r="I10" s="85">
        <f>IF(K10="Закрыт",SUMIFS(Бэклог!$E$5:$E$44,Бэклог!$M$5:$M$44,A10,Бэклог!$F$5:$F$44,"Готово"),"")</f>
        <v/>
      </c>
      <c r="J10" s="8">
        <f>IF(I10="","",IFERROR(I10/G10,0))</f>
        <v/>
      </c>
      <c r="K10" s="86">
        <f>IF(Параметры!$B$10&gt;D10,"Закрыт",IF(Параметры!$B$10&gt;=C10,"Активный","Планируется"))</f>
        <v/>
      </c>
      <c r="L10" s="10" t="n"/>
      <c r="M10" s="162">
        <f>"Q"&amp;ROUNDUP(MONTH(C10)/3,0)&amp;" "&amp;YEAR(C10)</f>
        <v/>
      </c>
      <c r="AB10" s="27">
        <f>IF(AND($J10&lt;&gt;"",$J10&gt;=$C$29),$J10,NA())</f>
        <v/>
      </c>
      <c r="AC10" s="27">
        <f>IF(AND($J10&lt;&gt;"",$J10&gt;=$C$30,$J10&lt;$C$29),$J10,NA())</f>
        <v/>
      </c>
      <c r="AD10" s="27">
        <f>IF(AND($J10&lt;&gt;"",$J10&lt;$C$30),$J10,NA())</f>
        <v/>
      </c>
      <c r="AE10" s="27" t="n">
        <v>1</v>
      </c>
    </row>
    <row r="11">
      <c r="A11" s="9" t="n">
        <v>6</v>
      </c>
      <c r="B11" s="10" t="inlineStr">
        <is>
          <t>Спринт 6</t>
        </is>
      </c>
      <c r="C11" s="18">
        <f>$B$3+(A11-1)*14</f>
        <v/>
      </c>
      <c r="D11" s="18">
        <f>C11+11</f>
        <v/>
      </c>
      <c r="E11" s="84">
        <f>NETWORKDAYS(C11,D11,Календарь!$A$5:$A$29)</f>
        <v/>
      </c>
      <c r="F11" s="23">
        <f>SUMIF(Капасити!$A$5:$A$147,A11,Капасити!$H$5:$H$147)</f>
        <v/>
      </c>
      <c r="G11" s="85">
        <f>SUMIF(Бэклог!$M$5:$M$44,A11,Бэклог!$E$5:$E$44)</f>
        <v/>
      </c>
      <c r="H11" s="8">
        <f>IFERROR(G11/F11,0)</f>
        <v/>
      </c>
      <c r="I11" s="85">
        <f>IF(K11="Закрыт",SUMIFS(Бэклог!$E$5:$E$44,Бэклог!$M$5:$M$44,A11,Бэклог!$F$5:$F$44,"Готово"),"")</f>
        <v/>
      </c>
      <c r="J11" s="8">
        <f>IF(I11="","",IFERROR(I11/G11,0))</f>
        <v/>
      </c>
      <c r="K11" s="86">
        <f>IF(Параметры!$B$10&gt;D11,"Закрыт",IF(Параметры!$B$10&gt;=C11,"Активный","Планируется"))</f>
        <v/>
      </c>
      <c r="L11" s="10" t="n"/>
      <c r="M11" s="162">
        <f>"Q"&amp;ROUNDUP(MONTH(C11)/3,0)&amp;" "&amp;YEAR(C11)</f>
        <v/>
      </c>
      <c r="AB11" s="27">
        <f>IF(AND($J11&lt;&gt;"",$J11&gt;=$C$29),$J11,NA())</f>
        <v/>
      </c>
      <c r="AC11" s="27">
        <f>IF(AND($J11&lt;&gt;"",$J11&gt;=$C$30,$J11&lt;$C$29),$J11,NA())</f>
        <v/>
      </c>
      <c r="AD11" s="27">
        <f>IF(AND($J11&lt;&gt;"",$J11&lt;$C$30),$J11,NA())</f>
        <v/>
      </c>
      <c r="AE11" s="27" t="n">
        <v>1</v>
      </c>
    </row>
    <row r="12">
      <c r="A12" s="9" t="n">
        <v>7</v>
      </c>
      <c r="B12" s="10" t="inlineStr">
        <is>
          <t>Спринт 7</t>
        </is>
      </c>
      <c r="C12" s="18">
        <f>$B$3+(A12-1)*14</f>
        <v/>
      </c>
      <c r="D12" s="18">
        <f>C12+11</f>
        <v/>
      </c>
      <c r="E12" s="84">
        <f>NETWORKDAYS(C12,D12,Календарь!$A$5:$A$29)</f>
        <v/>
      </c>
      <c r="F12" s="23">
        <f>SUMIF(Капасити!$A$5:$A$147,A12,Капасити!$H$5:$H$147)</f>
        <v/>
      </c>
      <c r="G12" s="85">
        <f>SUMIF(Бэклог!$M$5:$M$44,A12,Бэклог!$E$5:$E$44)</f>
        <v/>
      </c>
      <c r="H12" s="8">
        <f>IFERROR(G12/F12,0)</f>
        <v/>
      </c>
      <c r="I12" s="85">
        <f>IF(K12="Закрыт",SUMIFS(Бэклог!$E$5:$E$44,Бэклог!$M$5:$M$44,A12,Бэклог!$F$5:$F$44,"Готово"),"")</f>
        <v/>
      </c>
      <c r="J12" s="8">
        <f>IF(I12="","",IFERROR(I12/G12,0))</f>
        <v/>
      </c>
      <c r="K12" s="86">
        <f>IF(Параметры!$B$10&gt;D12,"Закрыт",IF(Параметры!$B$10&gt;=C12,"Активный","Планируется"))</f>
        <v/>
      </c>
      <c r="L12" s="10" t="n"/>
      <c r="M12" s="162">
        <f>"Q"&amp;ROUNDUP(MONTH(C12)/3,0)&amp;" "&amp;YEAR(C12)</f>
        <v/>
      </c>
      <c r="AB12" s="27">
        <f>IF(AND($J12&lt;&gt;"",$J12&gt;=$C$29),$J12,NA())</f>
        <v/>
      </c>
      <c r="AC12" s="27">
        <f>IF(AND($J12&lt;&gt;"",$J12&gt;=$C$30,$J12&lt;$C$29),$J12,NA())</f>
        <v/>
      </c>
      <c r="AD12" s="27">
        <f>IF(AND($J12&lt;&gt;"",$J12&lt;$C$30),$J12,NA())</f>
        <v/>
      </c>
      <c r="AE12" s="27" t="n">
        <v>1</v>
      </c>
    </row>
    <row r="13">
      <c r="A13" s="9" t="n">
        <v>8</v>
      </c>
      <c r="B13" s="10" t="inlineStr">
        <is>
          <t>Спринт 8</t>
        </is>
      </c>
      <c r="C13" s="18">
        <f>$B$3+(A13-1)*14</f>
        <v/>
      </c>
      <c r="D13" s="18">
        <f>C13+11</f>
        <v/>
      </c>
      <c r="E13" s="84">
        <f>NETWORKDAYS(C13,D13,Календарь!$A$5:$A$29)</f>
        <v/>
      </c>
      <c r="F13" s="23">
        <f>SUMIF(Капасити!$A$5:$A$147,A13,Капасити!$H$5:$H$147)</f>
        <v/>
      </c>
      <c r="G13" s="85">
        <f>SUMIF(Бэклог!$M$5:$M$44,A13,Бэклог!$E$5:$E$44)</f>
        <v/>
      </c>
      <c r="H13" s="8">
        <f>IFERROR(G13/F13,0)</f>
        <v/>
      </c>
      <c r="I13" s="85">
        <f>IF(K13="Закрыт",SUMIFS(Бэклог!$E$5:$E$44,Бэклог!$M$5:$M$44,A13,Бэклог!$F$5:$F$44,"Готово"),"")</f>
        <v/>
      </c>
      <c r="J13" s="8">
        <f>IF(I13="","",IFERROR(I13/G13,0))</f>
        <v/>
      </c>
      <c r="K13" s="86">
        <f>IF(Параметры!$B$10&gt;D13,"Закрыт",IF(Параметры!$B$10&gt;=C13,"Активный","Планируется"))</f>
        <v/>
      </c>
      <c r="L13" s="10" t="n"/>
      <c r="M13" s="162">
        <f>"Q"&amp;ROUNDUP(MONTH(C13)/3,0)&amp;" "&amp;YEAR(C13)</f>
        <v/>
      </c>
      <c r="AB13" s="27">
        <f>IF(AND($J13&lt;&gt;"",$J13&gt;=$C$29),$J13,NA())</f>
        <v/>
      </c>
      <c r="AC13" s="27">
        <f>IF(AND($J13&lt;&gt;"",$J13&gt;=$C$30,$J13&lt;$C$29),$J13,NA())</f>
        <v/>
      </c>
      <c r="AD13" s="27">
        <f>IF(AND($J13&lt;&gt;"",$J13&lt;$C$30),$J13,NA())</f>
        <v/>
      </c>
      <c r="AE13" s="27" t="n">
        <v>1</v>
      </c>
    </row>
    <row r="14">
      <c r="A14" s="9" t="n">
        <v>9</v>
      </c>
      <c r="B14" s="10" t="inlineStr">
        <is>
          <t>Спринт 9</t>
        </is>
      </c>
      <c r="C14" s="18">
        <f>$B$3+(A14-1)*14</f>
        <v/>
      </c>
      <c r="D14" s="18">
        <f>C14+11</f>
        <v/>
      </c>
      <c r="E14" s="84">
        <f>NETWORKDAYS(C14,D14,Календарь!$A$5:$A$29)</f>
        <v/>
      </c>
      <c r="F14" s="23">
        <f>SUMIF(Капасити!$A$5:$A$147,A14,Капасити!$H$5:$H$147)</f>
        <v/>
      </c>
      <c r="G14" s="85">
        <f>SUMIF(Бэклог!$M$5:$M$44,A14,Бэклог!$E$5:$E$44)</f>
        <v/>
      </c>
      <c r="H14" s="8">
        <f>IFERROR(G14/F14,0)</f>
        <v/>
      </c>
      <c r="I14" s="85">
        <f>IF(K14="Закрыт",SUMIFS(Бэклог!$E$5:$E$44,Бэклог!$M$5:$M$44,A14,Бэклог!$F$5:$F$44,"Готово"),"")</f>
        <v/>
      </c>
      <c r="J14" s="8">
        <f>IF(I14="","",IFERROR(I14/G14,0))</f>
        <v/>
      </c>
      <c r="K14" s="86">
        <f>IF(Параметры!$B$10&gt;D14,"Закрыт",IF(Параметры!$B$10&gt;=C14,"Активный","Планируется"))</f>
        <v/>
      </c>
      <c r="L14" s="10" t="n"/>
      <c r="M14" s="162">
        <f>"Q"&amp;ROUNDUP(MONTH(C14)/3,0)&amp;" "&amp;YEAR(C14)</f>
        <v/>
      </c>
      <c r="AB14" s="27">
        <f>IF(AND($J14&lt;&gt;"",$J14&gt;=$C$29),$J14,NA())</f>
        <v/>
      </c>
      <c r="AC14" s="27">
        <f>IF(AND($J14&lt;&gt;"",$J14&gt;=$C$30,$J14&lt;$C$29),$J14,NA())</f>
        <v/>
      </c>
      <c r="AD14" s="27">
        <f>IF(AND($J14&lt;&gt;"",$J14&lt;$C$30),$J14,NA())</f>
        <v/>
      </c>
      <c r="AE14" s="27" t="n">
        <v>1</v>
      </c>
    </row>
    <row r="15">
      <c r="A15" s="9" t="n">
        <v>10</v>
      </c>
      <c r="B15" s="10" t="inlineStr">
        <is>
          <t>Спринт 10</t>
        </is>
      </c>
      <c r="C15" s="18">
        <f>$B$3+(A15-1)*14</f>
        <v/>
      </c>
      <c r="D15" s="18">
        <f>C15+11</f>
        <v/>
      </c>
      <c r="E15" s="84">
        <f>NETWORKDAYS(C15,D15,Календарь!$A$5:$A$29)</f>
        <v/>
      </c>
      <c r="F15" s="23">
        <f>SUMIF(Капасити!$A$5:$A$147,A15,Капасити!$H$5:$H$147)</f>
        <v/>
      </c>
      <c r="G15" s="85">
        <f>SUMIF(Бэклог!$M$5:$M$44,A15,Бэклог!$E$5:$E$44)</f>
        <v/>
      </c>
      <c r="H15" s="8">
        <f>IFERROR(G15/F15,0)</f>
        <v/>
      </c>
      <c r="I15" s="85">
        <f>IF(K15="Закрыт",SUMIFS(Бэклог!$E$5:$E$44,Бэклог!$M$5:$M$44,A15,Бэклог!$F$5:$F$44,"Готово"),"")</f>
        <v/>
      </c>
      <c r="J15" s="8">
        <f>IF(I15="","",IFERROR(I15/G15,0))</f>
        <v/>
      </c>
      <c r="K15" s="86">
        <f>IF(Параметры!$B$10&gt;D15,"Закрыт",IF(Параметры!$B$10&gt;=C15,"Активный","Планируется"))</f>
        <v/>
      </c>
      <c r="L15" s="10" t="n"/>
      <c r="M15" s="162">
        <f>"Q"&amp;ROUNDUP(MONTH(C15)/3,0)&amp;" "&amp;YEAR(C15)</f>
        <v/>
      </c>
      <c r="AB15" s="27">
        <f>IF(AND($J15&lt;&gt;"",$J15&gt;=$C$29),$J15,NA())</f>
        <v/>
      </c>
      <c r="AC15" s="27">
        <f>IF(AND($J15&lt;&gt;"",$J15&gt;=$C$30,$J15&lt;$C$29),$J15,NA())</f>
        <v/>
      </c>
      <c r="AD15" s="27">
        <f>IF(AND($J15&lt;&gt;"",$J15&lt;$C$30),$J15,NA())</f>
        <v/>
      </c>
      <c r="AE15" s="27" t="n">
        <v>1</v>
      </c>
    </row>
    <row r="16" ht="27.6" customHeight="1">
      <c r="A16" s="9" t="n">
        <v>11</v>
      </c>
      <c r="B16" s="10" t="inlineStr">
        <is>
          <t>Спринт 11</t>
        </is>
      </c>
      <c r="C16" s="18">
        <f>$B$3+(A16-1)*14</f>
        <v/>
      </c>
      <c r="D16" s="18">
        <f>C16+11</f>
        <v/>
      </c>
      <c r="E16" s="84">
        <f>NETWORKDAYS(C16,D16,Календарь!$A$5:$A$29)</f>
        <v/>
      </c>
      <c r="F16" s="23">
        <f>SUMIF(Капасити!$A$5:$A$147,A16,Капасити!$H$5:$H$147)</f>
        <v/>
      </c>
      <c r="G16" s="85">
        <f>SUMIF(Бэклог!$M$5:$M$44,A16,Бэклог!$E$5:$E$44)</f>
        <v/>
      </c>
      <c r="H16" s="8">
        <f>IFERROR(G16/F16,0)</f>
        <v/>
      </c>
      <c r="I16" s="85">
        <f>IF(K16="Закрыт",SUMIFS(Бэклог!$E$5:$E$44,Бэклог!$M$5:$M$44,A16,Бэклог!$F$5:$F$44,"Готово"),"")</f>
        <v/>
      </c>
      <c r="J16" s="8">
        <f>IF(I16="","",IFERROR(I16/G16,0))</f>
        <v/>
      </c>
      <c r="K16" s="86">
        <f>IF(Параметры!$B$10&gt;D16,"Закрыт",IF(Параметры!$B$10&gt;=C16,"Активный","Планируется"))</f>
        <v/>
      </c>
      <c r="L16" s="19" t="inlineStr">
        <is>
          <t>Новогодние праздники — сокращённый спринт</t>
        </is>
      </c>
      <c r="M16" s="162">
        <f>"Q"&amp;ROUNDUP(MONTH(C16)/3,0)&amp;" "&amp;YEAR(C16)</f>
        <v/>
      </c>
      <c r="AB16" s="27">
        <f>IF(AND($J16&lt;&gt;"",$J16&gt;=$C$29),$J16,NA())</f>
        <v/>
      </c>
      <c r="AC16" s="27">
        <f>IF(AND($J16&lt;&gt;"",$J16&gt;=$C$30,$J16&lt;$C$29),$J16,NA())</f>
        <v/>
      </c>
      <c r="AD16" s="27">
        <f>IF(AND($J16&lt;&gt;"",$J16&lt;$C$30),$J16,NA())</f>
        <v/>
      </c>
      <c r="AE16" s="27" t="n">
        <v>1</v>
      </c>
    </row>
    <row r="17">
      <c r="A17" s="11" t="n"/>
      <c r="B17" s="12" t="inlineStr">
        <is>
          <t>ИТОГО / среднее</t>
        </is>
      </c>
      <c r="C17" s="11" t="n"/>
      <c r="D17" s="11" t="n"/>
      <c r="E17" s="11" t="n"/>
      <c r="F17" s="21">
        <f>SUM(F6:F16)</f>
        <v/>
      </c>
      <c r="G17" s="21">
        <f>SUM(G6:G16)</f>
        <v/>
      </c>
      <c r="H17" s="20">
        <f>IFERROR(AVERAGE(H6:H16),0)</f>
        <v/>
      </c>
      <c r="I17" s="21">
        <f>SUM(I6:I16)</f>
        <v/>
      </c>
      <c r="J17" s="20">
        <f>IFERROR(I17/G17,0)</f>
        <v/>
      </c>
      <c r="K17" s="11" t="n"/>
      <c r="L17" s="11" t="n"/>
    </row>
    <row r="19" ht="17.4" customHeight="1">
      <c r="B19" s="1" t="inlineStr">
        <is>
          <t>Факт. velocity и выполнение (по закрытым спринтам)</t>
        </is>
      </c>
      <c r="E19" s="58" t="inlineStr">
        <is>
          <t>Прогноз завершения бэклога</t>
        </is>
      </c>
    </row>
    <row r="20">
      <c r="B20" s="4" t="inlineStr">
        <is>
          <t>Закрытых спринтов</t>
        </is>
      </c>
      <c r="C20" s="26">
        <f>COUNTIF(K6:K16,"Закрыт")</f>
        <v/>
      </c>
      <c r="E20" s="32" t="inlineStr">
        <is>
          <t>Остаток бэклога (незакр., дн)</t>
        </is>
      </c>
      <c r="F20" s="87">
        <f>SUMIF(K6:K16,"&lt;&gt;Закрыт",G6:G16)</f>
        <v/>
      </c>
    </row>
    <row r="21">
      <c r="B21" s="4" t="inlineStr">
        <is>
          <t>Средняя velocity (дн)</t>
        </is>
      </c>
      <c r="C21" s="23">
        <f>IFERROR(AVERAGEIF(K6:K16,"Закрыт",I6:I16),0)</f>
        <v/>
      </c>
      <c r="E21" s="32" t="inlineStr">
        <is>
          <t>Средняя velocity (дн)</t>
        </is>
      </c>
      <c r="F21" s="35">
        <f>C21</f>
        <v/>
      </c>
    </row>
    <row r="22">
      <c r="B22" s="4" t="inlineStr">
        <is>
          <t>Средний % выполнения</t>
        </is>
      </c>
      <c r="C22" s="8">
        <f>IFERROR(AVERAGEIF(K6:K16,"Закрыт",J6:J16),0)</f>
        <v/>
      </c>
      <c r="E22" s="32" t="inlineStr">
        <is>
          <t>Спринтов до завершения</t>
        </is>
      </c>
      <c r="F22" s="61">
        <f>IFERROR(ROUNDUP(F20/F21,0),"")</f>
        <v/>
      </c>
    </row>
    <row r="23">
      <c r="B23" s="4" t="inlineStr">
        <is>
          <t>Всего выполнено (дн)</t>
        </is>
      </c>
      <c r="C23" s="23">
        <f>SUMIF(K6:K16,"Закрыт",I6:I16)</f>
        <v/>
      </c>
      <c r="E23" s="32" t="inlineStr">
        <is>
          <t>Ожидаемая дата</t>
        </is>
      </c>
      <c r="F23" s="62">
        <f>IFERROR($B$3+(Параметры!$B$13-1+F22)*14+11,"")</f>
        <v/>
      </c>
    </row>
    <row r="24">
      <c r="B24" s="4" t="inlineStr">
        <is>
          <t>Прогноз velocity на спринт</t>
        </is>
      </c>
      <c r="C24" s="23">
        <f>IFERROR(AVERAGEIF(K6:K16,"Закрыт",I6:I16),0)</f>
        <v/>
      </c>
      <c r="E24" s="38" t="inlineStr">
        <is>
          <t>Остаток = план незакрытых спринтов / средняя velocity закрытых.</t>
        </is>
      </c>
    </row>
    <row r="25">
      <c r="B25" s="2" t="inlineStr">
        <is>
          <t>Velocity = фактически закрытая работа (дн) за спринт.</t>
        </is>
      </c>
      <c r="E25" s="88" t="inlineStr">
        <is>
          <t>Velocity мин / макс (дн)</t>
        </is>
      </c>
      <c r="F25" s="89">
        <f>IFERROR(_xlfn.MINIFS(I6:I16,K6:K16,"Закрыт"),0)&amp;" / "&amp;IFERROR(_xlfn.MAXIFS(I6:I16,K6:K16,"Закрыт"),0)</f>
        <v/>
      </c>
    </row>
    <row r="26">
      <c r="B26" s="2" t="inlineStr">
        <is>
          <t>% выполнения = Факт / План. Прогноз = средняя velocity закрытых спринтов.</t>
        </is>
      </c>
      <c r="E26" s="88" t="inlineStr">
        <is>
          <t>Спринтов (оптимист)</t>
        </is>
      </c>
      <c r="F26" s="90">
        <f>IFERROR(ROUNDUP(F20/_xlfn.MAXIFS(I6:I16,K6:K16,"Закрыт"),0),"")</f>
        <v/>
      </c>
    </row>
    <row r="27">
      <c r="E27" s="88" t="inlineStr">
        <is>
          <t>Спринтов (пессимист)</t>
        </is>
      </c>
      <c r="F27" s="90">
        <f>IFERROR(ROUNDUP(F20/_xlfn.MINIFS(I6:I16,K6:K16,"Закрыт"),0),"")</f>
        <v/>
      </c>
    </row>
    <row r="28" ht="22.8" customHeight="1">
      <c r="B28" s="28" t="inlineStr">
        <is>
          <t>Пороги раскраски (% выполнения)</t>
        </is>
      </c>
      <c r="E28" s="88" t="inlineStr">
        <is>
          <t>Дата оптим/пессим</t>
        </is>
      </c>
      <c r="F28" s="89">
        <f>IFERROR(TEXT($B$3+(Параметры!$B$13-1+F26)*14+11,"DD.MM.YY")&amp;" – "&amp;TEXT($B$3+(Параметры!$B$13-1+F27)*14+11,"DD.MM.YY"),"")</f>
        <v/>
      </c>
    </row>
    <row r="29">
      <c r="B29" s="29" t="inlineStr">
        <is>
          <t>🟢 Зелёный, ≥</t>
        </is>
      </c>
      <c r="C29" s="30" t="n">
        <v>0.9</v>
      </c>
    </row>
    <row r="30">
      <c r="B30" s="29" t="inlineStr">
        <is>
          <t>🟡 Жёлтый, ≥</t>
        </is>
      </c>
      <c r="C30" s="30" t="n">
        <v>0.7</v>
      </c>
    </row>
    <row r="31">
      <c r="B31" s="31" t="inlineStr">
        <is>
          <t>🔴 Красный — ниже жёлтого порога.</t>
        </is>
      </c>
    </row>
    <row r="33" ht="15.6" customHeight="1">
      <c r="A33" s="58" t="inlineStr">
        <is>
          <t>Say/Do и перенос задач</t>
        </is>
      </c>
    </row>
    <row r="34" ht="41.4" customHeight="1">
      <c r="A34" s="39" t="inlineStr">
        <is>
          <t>Спринт</t>
        </is>
      </c>
      <c r="B34" s="39" t="inlineStr">
        <is>
          <t>Задач
план</t>
        </is>
      </c>
      <c r="C34" s="39" t="inlineStr">
        <is>
          <t>Задач
факт</t>
        </is>
      </c>
      <c r="D34" s="39" t="inlineStr">
        <is>
          <t>Перенос
задач</t>
        </is>
      </c>
      <c r="E34" s="39" t="inlineStr">
        <is>
          <t>Say/Do
(задачи)</t>
        </is>
      </c>
      <c r="F34" s="39" t="inlineStr">
        <is>
          <t>Перенос
(дн)</t>
        </is>
      </c>
      <c r="G34" s="39" t="inlineStr">
        <is>
          <t>Say/Do
(дни)</t>
        </is>
      </c>
      <c r="H34" s="92" t="inlineStr">
        <is>
          <t>Добавлено
(дн)</t>
        </is>
      </c>
      <c r="I34" s="92" t="inlineStr">
        <is>
          <t>% разду-
вания</t>
        </is>
      </c>
    </row>
    <row r="35" ht="27.6" customHeight="1">
      <c r="A35" s="63" t="inlineStr">
        <is>
          <t>Спринт 1</t>
        </is>
      </c>
      <c r="B35" s="50" t="n">
        <v>8</v>
      </c>
      <c r="C35" s="50" t="n">
        <v>7</v>
      </c>
      <c r="D35" s="64">
        <f>IF(AND(B35&lt;&gt;"",C35&lt;&gt;""),B35-C35,"")</f>
        <v/>
      </c>
      <c r="E35" s="36">
        <f>IF(AND(B35&lt;&gt;"",C35&lt;&gt;""),IFERROR(C35/B35,""),"")</f>
        <v/>
      </c>
      <c r="F35" s="35">
        <f>IF(I6="","",MAX(0,G6-I6))</f>
        <v/>
      </c>
      <c r="G35" s="36">
        <f>IF(J6="","",J6)</f>
        <v/>
      </c>
      <c r="H35" s="102">
        <f>SUMIFS(Бэклог!$E$5:$E$44,Бэклог!$M$5:$M$44,1,Бэклог!$N$5:$N$44,"Да")</f>
        <v/>
      </c>
      <c r="I35" s="108">
        <f>IFERROR(H35/G6,0)</f>
        <v/>
      </c>
    </row>
    <row r="36" ht="27.6" customHeight="1">
      <c r="A36" s="63" t="inlineStr">
        <is>
          <t>Спринт 2</t>
        </is>
      </c>
      <c r="B36" s="50" t="n">
        <v>10</v>
      </c>
      <c r="C36" s="50" t="n">
        <v>9</v>
      </c>
      <c r="D36" s="64">
        <f>IF(AND(B36&lt;&gt;"",C36&lt;&gt;""),B36-C36,"")</f>
        <v/>
      </c>
      <c r="E36" s="36">
        <f>IF(AND(B36&lt;&gt;"",C36&lt;&gt;""),IFERROR(C36/B36,""),"")</f>
        <v/>
      </c>
      <c r="F36" s="35">
        <f>IF(I7="","",MAX(0,G7-I7))</f>
        <v/>
      </c>
      <c r="G36" s="36">
        <f>IF(J7="","",J7)</f>
        <v/>
      </c>
      <c r="H36" s="102">
        <f>SUMIFS(Бэклог!$E$5:$E$44,Бэклог!$M$5:$M$44,2,Бэклог!$N$5:$N$44,"Да")</f>
        <v/>
      </c>
      <c r="I36" s="108">
        <f>IFERROR(H36/G7,0)</f>
        <v/>
      </c>
    </row>
    <row r="37" ht="27.6" customHeight="1">
      <c r="A37" s="63" t="inlineStr">
        <is>
          <t>Спринт 3</t>
        </is>
      </c>
      <c r="B37" s="50" t="n"/>
      <c r="C37" s="50" t="n"/>
      <c r="D37" s="64">
        <f>IF(AND(B37&lt;&gt;"",C37&lt;&gt;""),B37-C37,"")</f>
        <v/>
      </c>
      <c r="E37" s="36">
        <f>IF(AND(B37&lt;&gt;"",C37&lt;&gt;""),IFERROR(C37/B37,""),"")</f>
        <v/>
      </c>
      <c r="F37" s="35">
        <f>IF(I8="","",MAX(0,G8-I8))</f>
        <v/>
      </c>
      <c r="G37" s="36">
        <f>IF(J8="","",J8)</f>
        <v/>
      </c>
      <c r="H37" s="102">
        <f>SUMIFS(Бэклог!$E$5:$E$44,Бэклог!$M$5:$M$44,3,Бэклог!$N$5:$N$44,"Да")</f>
        <v/>
      </c>
      <c r="I37" s="108">
        <f>IFERROR(H37/G8,0)</f>
        <v/>
      </c>
    </row>
    <row r="38" ht="27.6" customHeight="1">
      <c r="A38" s="63" t="inlineStr">
        <is>
          <t>Спринт 4</t>
        </is>
      </c>
      <c r="B38" s="50" t="n"/>
      <c r="C38" s="50" t="n"/>
      <c r="D38" s="64">
        <f>IF(AND(B38&lt;&gt;"",C38&lt;&gt;""),B38-C38,"")</f>
        <v/>
      </c>
      <c r="E38" s="36">
        <f>IF(AND(B38&lt;&gt;"",C38&lt;&gt;""),IFERROR(C38/B38,""),"")</f>
        <v/>
      </c>
      <c r="F38" s="35">
        <f>IF(I9="","",MAX(0,G9-I9))</f>
        <v/>
      </c>
      <c r="G38" s="36">
        <f>IF(J9="","",J9)</f>
        <v/>
      </c>
      <c r="H38" s="102">
        <f>SUMIFS(Бэклог!$E$5:$E$44,Бэклог!$M$5:$M$44,4,Бэклог!$N$5:$N$44,"Да")</f>
        <v/>
      </c>
      <c r="I38" s="108">
        <f>IFERROR(H38/G9,0)</f>
        <v/>
      </c>
    </row>
    <row r="39" ht="27.6" customHeight="1">
      <c r="A39" s="63" t="inlineStr">
        <is>
          <t>Спринт 5</t>
        </is>
      </c>
      <c r="B39" s="50" t="n"/>
      <c r="C39" s="50" t="n"/>
      <c r="D39" s="64">
        <f>IF(AND(B39&lt;&gt;"",C39&lt;&gt;""),B39-C39,"")</f>
        <v/>
      </c>
      <c r="E39" s="36">
        <f>IF(AND(B39&lt;&gt;"",C39&lt;&gt;""),IFERROR(C39/B39,""),"")</f>
        <v/>
      </c>
      <c r="F39" s="35">
        <f>IF(I10="","",MAX(0,G10-I10))</f>
        <v/>
      </c>
      <c r="G39" s="36">
        <f>IF(J10="","",J10)</f>
        <v/>
      </c>
      <c r="H39" s="102">
        <f>SUMIFS(Бэклог!$E$5:$E$44,Бэклог!$M$5:$M$44,5,Бэклог!$N$5:$N$44,"Да")</f>
        <v/>
      </c>
      <c r="I39" s="108">
        <f>IFERROR(H39/G10,0)</f>
        <v/>
      </c>
    </row>
    <row r="40" ht="27.6" customHeight="1">
      <c r="A40" s="63" t="inlineStr">
        <is>
          <t>Спринт 6</t>
        </is>
      </c>
      <c r="B40" s="50" t="n"/>
      <c r="C40" s="50" t="n"/>
      <c r="D40" s="64">
        <f>IF(AND(B40&lt;&gt;"",C40&lt;&gt;""),B40-C40,"")</f>
        <v/>
      </c>
      <c r="E40" s="36">
        <f>IF(AND(B40&lt;&gt;"",C40&lt;&gt;""),IFERROR(C40/B40,""),"")</f>
        <v/>
      </c>
      <c r="F40" s="35">
        <f>IF(I11="","",MAX(0,G11-I11))</f>
        <v/>
      </c>
      <c r="G40" s="36">
        <f>IF(J11="","",J11)</f>
        <v/>
      </c>
      <c r="H40" s="102">
        <f>SUMIFS(Бэклог!$E$5:$E$44,Бэклог!$M$5:$M$44,6,Бэклог!$N$5:$N$44,"Да")</f>
        <v/>
      </c>
      <c r="I40" s="108">
        <f>IFERROR(H40/G11,0)</f>
        <v/>
      </c>
    </row>
    <row r="41" ht="27.6" customHeight="1">
      <c r="A41" s="63" t="inlineStr">
        <is>
          <t>Спринт 7</t>
        </is>
      </c>
      <c r="B41" s="50" t="n"/>
      <c r="C41" s="50" t="n"/>
      <c r="D41" s="64">
        <f>IF(AND(B41&lt;&gt;"",C41&lt;&gt;""),B41-C41,"")</f>
        <v/>
      </c>
      <c r="E41" s="36">
        <f>IF(AND(B41&lt;&gt;"",C41&lt;&gt;""),IFERROR(C41/B41,""),"")</f>
        <v/>
      </c>
      <c r="F41" s="35">
        <f>IF(I12="","",MAX(0,G12-I12))</f>
        <v/>
      </c>
      <c r="G41" s="36">
        <f>IF(J12="","",J12)</f>
        <v/>
      </c>
      <c r="H41" s="102">
        <f>SUMIFS(Бэклог!$E$5:$E$44,Бэклог!$M$5:$M$44,7,Бэклог!$N$5:$N$44,"Да")</f>
        <v/>
      </c>
      <c r="I41" s="108">
        <f>IFERROR(H41/G12,0)</f>
        <v/>
      </c>
    </row>
    <row r="42" ht="27.6" customHeight="1">
      <c r="A42" s="63" t="inlineStr">
        <is>
          <t>Спринт 8</t>
        </is>
      </c>
      <c r="B42" s="50" t="n"/>
      <c r="C42" s="50" t="n"/>
      <c r="D42" s="64">
        <f>IF(AND(B42&lt;&gt;"",C42&lt;&gt;""),B42-C42,"")</f>
        <v/>
      </c>
      <c r="E42" s="36">
        <f>IF(AND(B42&lt;&gt;"",C42&lt;&gt;""),IFERROR(C42/B42,""),"")</f>
        <v/>
      </c>
      <c r="F42" s="35">
        <f>IF(I13="","",MAX(0,G13-I13))</f>
        <v/>
      </c>
      <c r="G42" s="36">
        <f>IF(J13="","",J13)</f>
        <v/>
      </c>
      <c r="H42" s="102">
        <f>SUMIFS(Бэклог!$E$5:$E$44,Бэклог!$M$5:$M$44,8,Бэклог!$N$5:$N$44,"Да")</f>
        <v/>
      </c>
      <c r="I42" s="108">
        <f>IFERROR(H42/G13,0)</f>
        <v/>
      </c>
    </row>
    <row r="43" ht="27.6" customHeight="1">
      <c r="A43" s="63" t="inlineStr">
        <is>
          <t>Спринт 9</t>
        </is>
      </c>
      <c r="B43" s="50" t="n"/>
      <c r="C43" s="50" t="n"/>
      <c r="D43" s="64">
        <f>IF(AND(B43&lt;&gt;"",C43&lt;&gt;""),B43-C43,"")</f>
        <v/>
      </c>
      <c r="E43" s="36">
        <f>IF(AND(B43&lt;&gt;"",C43&lt;&gt;""),IFERROR(C43/B43,""),"")</f>
        <v/>
      </c>
      <c r="F43" s="35">
        <f>IF(I14="","",MAX(0,G14-I14))</f>
        <v/>
      </c>
      <c r="G43" s="36">
        <f>IF(J14="","",J14)</f>
        <v/>
      </c>
      <c r="H43" s="102">
        <f>SUMIFS(Бэклог!$E$5:$E$44,Бэклог!$M$5:$M$44,9,Бэклог!$N$5:$N$44,"Да")</f>
        <v/>
      </c>
      <c r="I43" s="108">
        <f>IFERROR(H43/G14,0)</f>
        <v/>
      </c>
    </row>
    <row r="44" ht="27.6" customHeight="1">
      <c r="A44" s="63" t="inlineStr">
        <is>
          <t>Спринт 10</t>
        </is>
      </c>
      <c r="B44" s="50" t="n"/>
      <c r="C44" s="50" t="n"/>
      <c r="D44" s="64">
        <f>IF(AND(B44&lt;&gt;"",C44&lt;&gt;""),B44-C44,"")</f>
        <v/>
      </c>
      <c r="E44" s="36">
        <f>IF(AND(B44&lt;&gt;"",C44&lt;&gt;""),IFERROR(C44/B44,""),"")</f>
        <v/>
      </c>
      <c r="F44" s="35">
        <f>IF(I15="","",MAX(0,G15-I15))</f>
        <v/>
      </c>
      <c r="G44" s="36">
        <f>IF(J15="","",J15)</f>
        <v/>
      </c>
      <c r="H44" s="102">
        <f>SUMIFS(Бэклог!$E$5:$E$44,Бэклог!$M$5:$M$44,10,Бэклог!$N$5:$N$44,"Да")</f>
        <v/>
      </c>
      <c r="I44" s="108">
        <f>IFERROR(H44/G15,0)</f>
        <v/>
      </c>
    </row>
    <row r="45" ht="27.6" customHeight="1">
      <c r="A45" s="63" t="inlineStr">
        <is>
          <t>Спринт 11</t>
        </is>
      </c>
      <c r="B45" s="50" t="n"/>
      <c r="C45" s="50" t="n"/>
      <c r="D45" s="64">
        <f>IF(AND(B45&lt;&gt;"",C45&lt;&gt;""),B45-C45,"")</f>
        <v/>
      </c>
      <c r="E45" s="36">
        <f>IF(AND(B45&lt;&gt;"",C45&lt;&gt;""),IFERROR(C45/B45,""),"")</f>
        <v/>
      </c>
      <c r="F45" s="35">
        <f>IF(I16="","",MAX(0,G16-I16))</f>
        <v/>
      </c>
      <c r="G45" s="36">
        <f>IF(J16="","",J16)</f>
        <v/>
      </c>
      <c r="H45" s="102">
        <f>SUMIFS(Бэклог!$E$5:$E$44,Бэклог!$M$5:$M$44,11,Бэклог!$N$5:$N$44,"Да")</f>
        <v/>
      </c>
      <c r="I45" s="108">
        <f>IFERROR(H45/G16,0)</f>
        <v/>
      </c>
    </row>
    <row r="46">
      <c r="A46" s="53" t="inlineStr">
        <is>
          <t>ИТОГО / среднее</t>
        </is>
      </c>
      <c r="B46" s="65" t="n"/>
      <c r="C46" s="65" t="n"/>
      <c r="D46" s="53">
        <f>SUM(D35:D45)</f>
        <v/>
      </c>
      <c r="E46" s="66">
        <f>IFERROR(AVERAGEIF(C35:C45,"&lt;&gt;",E35:E45),0)</f>
        <v/>
      </c>
      <c r="F46" s="54">
        <f>SUM(F35:F45)</f>
        <v/>
      </c>
      <c r="G46" s="65" t="n"/>
    </row>
    <row r="48" ht="15.6" customHeight="1">
      <c r="A48" s="58" t="inlineStr">
        <is>
          <t>Фактическая загрузка и калибровка Focus factor</t>
        </is>
      </c>
    </row>
    <row r="49" ht="27.6" customHeight="1">
      <c r="A49" s="39" t="inlineStr">
        <is>
          <t>Спринт</t>
        </is>
      </c>
      <c r="B49" s="39" t="inlineStr">
        <is>
          <t>Капасити
(дн)</t>
        </is>
      </c>
      <c r="C49" s="39" t="inlineStr">
        <is>
          <t>Факт
(дн)</t>
        </is>
      </c>
      <c r="D49" s="39" t="inlineStr">
        <is>
          <t>Загрузка
факт</t>
        </is>
      </c>
      <c r="E49" s="39" t="inlineStr">
        <is>
          <t>Факт
FF</t>
        </is>
      </c>
    </row>
    <row r="50" ht="27.6" customHeight="1">
      <c r="A50" s="63" t="inlineStr">
        <is>
          <t>Спринт 1</t>
        </is>
      </c>
      <c r="B50" s="35">
        <f>F6</f>
        <v/>
      </c>
      <c r="C50" s="35">
        <f>IF(I6="","",I6)</f>
        <v/>
      </c>
      <c r="D50" s="36">
        <f>IF(I6="","",IFERROR(I6/F6,0))</f>
        <v/>
      </c>
      <c r="E50" s="36">
        <f>IF(I6="","",IFERROR(I6/(F6/Параметры!$B$9),0))</f>
        <v/>
      </c>
    </row>
    <row r="51" ht="27.6" customHeight="1">
      <c r="A51" s="63" t="inlineStr">
        <is>
          <t>Спринт 2</t>
        </is>
      </c>
      <c r="B51" s="35">
        <f>F7</f>
        <v/>
      </c>
      <c r="C51" s="35">
        <f>IF(I7="","",I7)</f>
        <v/>
      </c>
      <c r="D51" s="36">
        <f>IF(I7="","",IFERROR(I7/F7,0))</f>
        <v/>
      </c>
      <c r="E51" s="36">
        <f>IF(I7="","",IFERROR(I7/(F7/Параметры!$B$9),0))</f>
        <v/>
      </c>
    </row>
    <row r="52" ht="27.6" customHeight="1">
      <c r="A52" s="63" t="inlineStr">
        <is>
          <t>Спринт 3</t>
        </is>
      </c>
      <c r="B52" s="35">
        <f>F8</f>
        <v/>
      </c>
      <c r="C52" s="35">
        <f>IF(I8="","",I8)</f>
        <v/>
      </c>
      <c r="D52" s="36">
        <f>IF(I8="","",IFERROR(I8/F8,0))</f>
        <v/>
      </c>
      <c r="E52" s="36">
        <f>IF(I8="","",IFERROR(I8/(F8/Параметры!$B$9),0))</f>
        <v/>
      </c>
    </row>
    <row r="53" ht="27.6" customHeight="1">
      <c r="A53" s="63" t="inlineStr">
        <is>
          <t>Спринт 4</t>
        </is>
      </c>
      <c r="B53" s="35">
        <f>F9</f>
        <v/>
      </c>
      <c r="C53" s="35">
        <f>IF(I9="","",I9)</f>
        <v/>
      </c>
      <c r="D53" s="36">
        <f>IF(I9="","",IFERROR(I9/F9,0))</f>
        <v/>
      </c>
      <c r="E53" s="36">
        <f>IF(I9="","",IFERROR(I9/(F9/Параметры!$B$9),0))</f>
        <v/>
      </c>
    </row>
    <row r="54" ht="27.6" customHeight="1">
      <c r="A54" s="63" t="inlineStr">
        <is>
          <t>Спринт 5</t>
        </is>
      </c>
      <c r="B54" s="35">
        <f>F10</f>
        <v/>
      </c>
      <c r="C54" s="35">
        <f>IF(I10="","",I10)</f>
        <v/>
      </c>
      <c r="D54" s="36">
        <f>IF(I10="","",IFERROR(I10/F10,0))</f>
        <v/>
      </c>
      <c r="E54" s="36">
        <f>IF(I10="","",IFERROR(I10/(F10/Параметры!$B$9),0))</f>
        <v/>
      </c>
    </row>
    <row r="55" ht="27.6" customHeight="1">
      <c r="A55" s="63" t="inlineStr">
        <is>
          <t>Спринт 6</t>
        </is>
      </c>
      <c r="B55" s="35">
        <f>F11</f>
        <v/>
      </c>
      <c r="C55" s="35">
        <f>IF(I11="","",I11)</f>
        <v/>
      </c>
      <c r="D55" s="36">
        <f>IF(I11="","",IFERROR(I11/F11,0))</f>
        <v/>
      </c>
      <c r="E55" s="36">
        <f>IF(I11="","",IFERROR(I11/(F11/Параметры!$B$9),0))</f>
        <v/>
      </c>
    </row>
    <row r="56" ht="27.6" customHeight="1">
      <c r="A56" s="63" t="inlineStr">
        <is>
          <t>Спринт 7</t>
        </is>
      </c>
      <c r="B56" s="35">
        <f>F12</f>
        <v/>
      </c>
      <c r="C56" s="35">
        <f>IF(I12="","",I12)</f>
        <v/>
      </c>
      <c r="D56" s="36">
        <f>IF(I12="","",IFERROR(I12/F12,0))</f>
        <v/>
      </c>
      <c r="E56" s="36">
        <f>IF(I12="","",IFERROR(I12/(F12/Параметры!$B$9),0))</f>
        <v/>
      </c>
    </row>
    <row r="57" ht="27.6" customHeight="1">
      <c r="A57" s="63" t="inlineStr">
        <is>
          <t>Спринт 8</t>
        </is>
      </c>
      <c r="B57" s="35">
        <f>F13</f>
        <v/>
      </c>
      <c r="C57" s="35">
        <f>IF(I13="","",I13)</f>
        <v/>
      </c>
      <c r="D57" s="36">
        <f>IF(I13="","",IFERROR(I13/F13,0))</f>
        <v/>
      </c>
      <c r="E57" s="36">
        <f>IF(I13="","",IFERROR(I13/(F13/Параметры!$B$9),0))</f>
        <v/>
      </c>
    </row>
    <row r="58" ht="27.6" customHeight="1">
      <c r="A58" s="63" t="inlineStr">
        <is>
          <t>Спринт 9</t>
        </is>
      </c>
      <c r="B58" s="35">
        <f>F14</f>
        <v/>
      </c>
      <c r="C58" s="35">
        <f>IF(I14="","",I14)</f>
        <v/>
      </c>
      <c r="D58" s="36">
        <f>IF(I14="","",IFERROR(I14/F14,0))</f>
        <v/>
      </c>
      <c r="E58" s="36">
        <f>IF(I14="","",IFERROR(I14/(F14/Параметры!$B$9),0))</f>
        <v/>
      </c>
    </row>
    <row r="59" ht="27.6" customHeight="1">
      <c r="A59" s="63" t="inlineStr">
        <is>
          <t>Спринт 10</t>
        </is>
      </c>
      <c r="B59" s="35">
        <f>F15</f>
        <v/>
      </c>
      <c r="C59" s="35">
        <f>IF(I15="","",I15)</f>
        <v/>
      </c>
      <c r="D59" s="36">
        <f>IF(I15="","",IFERROR(I15/F15,0))</f>
        <v/>
      </c>
      <c r="E59" s="36">
        <f>IF(I15="","",IFERROR(I15/(F15/Параметры!$B$9),0))</f>
        <v/>
      </c>
    </row>
    <row r="60" ht="27.6" customHeight="1">
      <c r="A60" s="63" t="inlineStr">
        <is>
          <t>Спринт 11</t>
        </is>
      </c>
      <c r="B60" s="35">
        <f>F16</f>
        <v/>
      </c>
      <c r="C60" s="35">
        <f>IF(I16="","",I16)</f>
        <v/>
      </c>
      <c r="D60" s="36">
        <f>IF(I16="","",IFERROR(I16/F16,0))</f>
        <v/>
      </c>
      <c r="E60" s="36">
        <f>IF(I16="","",IFERROR(I16/(F16/Параметры!$B$9),0))</f>
        <v/>
      </c>
    </row>
    <row r="61">
      <c r="A61" s="53" t="inlineStr">
        <is>
          <t>Среднее (закрытые) → рекоменд. FF</t>
        </is>
      </c>
      <c r="B61" s="65" t="n"/>
      <c r="C61" s="65" t="n"/>
      <c r="D61" s="66">
        <f>IFERROR(AVERAGEIF(C50:C60,"&lt;&gt;",D50:D60),0)</f>
        <v/>
      </c>
      <c r="E61" s="66">
        <f>IFERROR(AVERAGEIF(C50:C60,"&lt;&gt;",E50:E60),0)</f>
        <v/>
      </c>
    </row>
    <row r="62">
      <c r="A62" s="38" t="inlineStr">
        <is>
          <t>«Факт FF» — ориентир для параметра Focus factor на «Параметрах».</t>
        </is>
      </c>
    </row>
  </sheetData>
  <dataValidations count="1">
    <dataValidation sqref="K6:K16" showDropDown="0" showInputMessage="0" showErrorMessage="0" allowBlank="1" promptTitle="Статус спринта" prompt="Планируется / Активный / Закрыт" type="list">
      <formula1>"Планируется,Активный,Закрыт"</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8"/>
  <sheetViews>
    <sheetView showGridLines="0" workbookViewId="0">
      <pane ySplit="4" topLeftCell="A5" activePane="bottomLeft" state="frozen"/>
      <selection pane="bottomLeft" activeCell="H18" sqref="H18"/>
    </sheetView>
  </sheetViews>
  <sheetFormatPr baseColWidth="8" defaultRowHeight="14.4"/>
  <cols>
    <col width="11" customWidth="1" min="1" max="1"/>
    <col width="9" customWidth="1" min="2" max="2"/>
    <col width="14" customWidth="1" min="3" max="3"/>
    <col width="10" customWidth="1" min="4" max="4"/>
    <col width="11" customWidth="1" min="5" max="5"/>
    <col width="10" customWidth="1" min="6" max="6"/>
    <col width="11" customWidth="1" min="7" max="7"/>
    <col width="36" customWidth="1" min="8" max="8"/>
  </cols>
  <sheetData>
    <row r="1" ht="17.4" customHeight="1">
      <c r="A1" s="163" t="inlineStr">
        <is>
          <t>Поквартальное планирование</t>
        </is>
      </c>
    </row>
    <row r="2">
      <c r="A2" s="164" t="inlineStr">
        <is>
          <t>Агрегация спринтов по кварталам: ёмкость, план, факт и % выполнения. Кварталы — из дат спринтов.</t>
        </is>
      </c>
    </row>
    <row r="4" ht="41.4" customHeight="1">
      <c r="A4" s="161" t="inlineStr">
        <is>
          <t>Квартал</t>
        </is>
      </c>
      <c r="B4" s="161" t="inlineStr">
        <is>
          <t>Спринтов</t>
        </is>
      </c>
      <c r="C4" s="161" t="inlineStr">
        <is>
          <t>Трудомощность
(дн)</t>
        </is>
      </c>
      <c r="D4" s="161" t="inlineStr">
        <is>
          <t>План
(дн)</t>
        </is>
      </c>
      <c r="E4" s="161" t="inlineStr">
        <is>
          <t>Velocity
(дн)</t>
        </is>
      </c>
      <c r="F4" s="161" t="inlineStr">
        <is>
          <t>Загрузка</t>
        </is>
      </c>
      <c r="G4" s="161" t="inlineStr">
        <is>
          <t>% выпол-
нения</t>
        </is>
      </c>
      <c r="H4" s="161" t="inlineStr">
        <is>
          <t>Ключевые вехи / эпики</t>
        </is>
      </c>
    </row>
    <row r="5" ht="27.6" customHeight="1">
      <c r="A5" s="165" t="inlineStr">
        <is>
          <t>Q3 2026</t>
        </is>
      </c>
      <c r="B5" s="166">
        <f>COUNTIF('Дорожная карта'!$M$6:$M$16,A5)</f>
        <v/>
      </c>
      <c r="C5" s="167">
        <f>SUMIF('Дорожная карта'!$M$6:$M$16,A5,'Дорожная карта'!$F$6:$F$16)</f>
        <v/>
      </c>
      <c r="D5" s="167">
        <f>SUMIF('Дорожная карта'!$M$6:$M$16,A5,'Дорожная карта'!$G$6:$G$16)</f>
        <v/>
      </c>
      <c r="E5" s="167">
        <f>SUMIF('Дорожная карта'!$M$6:$M$16,A5,'Дорожная карта'!$I$6:$I$16)</f>
        <v/>
      </c>
      <c r="F5" s="168">
        <f>IFERROR(D5/C5,0)</f>
        <v/>
      </c>
      <c r="G5" s="169">
        <f>IFERROR(E5/D5,0)</f>
        <v/>
      </c>
      <c r="H5" s="241" t="inlineStr">
        <is>
          <t>MVP оформления заказа, интеграция оплаты</t>
        </is>
      </c>
    </row>
    <row r="6">
      <c r="A6" s="165" t="inlineStr">
        <is>
          <t>Q4 2026</t>
        </is>
      </c>
      <c r="B6" s="166">
        <f>COUNTIF('Дорожная карта'!$M$6:$M$16,A6)</f>
        <v/>
      </c>
      <c r="C6" s="167">
        <f>SUMIF('Дорожная карта'!$M$6:$M$16,A6,'Дорожная карта'!$F$6:$F$16)</f>
        <v/>
      </c>
      <c r="D6" s="167">
        <f>SUMIF('Дорожная карта'!$M$6:$M$16,A6,'Дорожная карта'!$G$6:$G$16)</f>
        <v/>
      </c>
      <c r="E6" s="167">
        <f>SUMIF('Дорожная карта'!$M$6:$M$16,A6,'Дорожная карта'!$I$6:$I$16)</f>
        <v/>
      </c>
      <c r="F6" s="168">
        <f>IFERROR(D6/C6,0)</f>
        <v/>
      </c>
      <c r="G6" s="169">
        <f>IFERROR(E6/D6,0)</f>
        <v/>
      </c>
      <c r="H6" s="170" t="inlineStr">
        <is>
          <t>Уведомления, история, регресс</t>
        </is>
      </c>
    </row>
    <row r="7">
      <c r="A7" s="165" t="inlineStr">
        <is>
          <t>Q1 2027</t>
        </is>
      </c>
      <c r="B7" s="166">
        <f>COUNTIF('Дорожная карта'!$M$6:$M$16,A7)</f>
        <v/>
      </c>
      <c r="C7" s="167">
        <f>SUMIF('Дорожная карта'!$M$6:$M$16,A7,'Дорожная карта'!$F$6:$F$16)</f>
        <v/>
      </c>
      <c r="D7" s="167">
        <f>SUMIF('Дорожная карта'!$M$6:$M$16,A7,'Дорожная карта'!$G$6:$G$16)</f>
        <v/>
      </c>
      <c r="E7" s="167">
        <f>SUMIF('Дорожная карта'!$M$6:$M$16,A7,'Дорожная карта'!$I$6:$I$16)</f>
        <v/>
      </c>
      <c r="F7" s="168">
        <f>IFERROR(D7/C7,0)</f>
        <v/>
      </c>
      <c r="G7" s="169">
        <f>IFERROR(E7/D7,0)</f>
        <v/>
      </c>
      <c r="H7" s="170" t="inlineStr">
        <is>
          <t>Стабилизация, релиз</t>
        </is>
      </c>
    </row>
    <row r="8">
      <c r="A8" s="171" t="inlineStr">
        <is>
          <t>ИТОГО / год</t>
        </is>
      </c>
      <c r="B8" s="171">
        <f>SUM(B5:B7)</f>
        <v/>
      </c>
      <c r="C8" s="172">
        <f>SUM(C5:C7)</f>
        <v/>
      </c>
      <c r="D8" s="172">
        <f>SUM(D5:D7)</f>
        <v/>
      </c>
      <c r="E8" s="172">
        <f>SUM(E5:E7)</f>
        <v/>
      </c>
      <c r="F8" s="173">
        <f>IFERROR(D8/C8,0)</f>
        <v/>
      </c>
      <c r="G8" s="173">
        <f>IFERROR(E8/D8,0)</f>
        <v/>
      </c>
      <c r="H8" s="174" t="n"/>
    </row>
  </sheetData>
  <conditionalFormatting sqref="F5:F7">
    <cfRule type="cellIs" priority="1" operator="greaterThan" dxfId="2">
      <formula>1</formula>
    </cfRule>
    <cfRule type="cellIs" priority="2" operator="between" dxfId="1">
      <formula>0.9</formula>
      <formula>1</formula>
    </cfRule>
    <cfRule type="cellIs" priority="3" operator="lessThan" dxfId="0">
      <formula>0.9</formula>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21"/>
  <sheetViews>
    <sheetView showGridLines="0" workbookViewId="0">
      <pane ySplit="4" topLeftCell="A5" activePane="bottomLeft" state="frozen"/>
      <selection pane="bottomLeft" activeCell="A1" sqref="A1"/>
    </sheetView>
  </sheetViews>
  <sheetFormatPr baseColWidth="8" defaultRowHeight="14.4"/>
  <cols>
    <col width="7" customWidth="1" min="1" max="1"/>
    <col width="30" customWidth="1" min="2" max="2"/>
    <col width="12" customWidth="1" min="3" max="3"/>
    <col width="10" customWidth="1" min="4" max="4"/>
    <col width="11" customWidth="1" min="5" max="7"/>
    <col width="7" customWidth="1" min="8" max="8"/>
    <col width="12" customWidth="1" min="9" max="9"/>
  </cols>
  <sheetData>
    <row r="1" ht="17.4" customHeight="1">
      <c r="A1" s="213" t="inlineStr">
        <is>
          <t>Оценка приоритетов по RICE</t>
        </is>
      </c>
    </row>
    <row r="2">
      <c r="A2" s="225" t="inlineStr">
        <is>
          <t>RICE = (Reach × Impact × Confidence) / Effort. Чем выше балл — тем выше приоритет фичи.</t>
        </is>
      </c>
    </row>
    <row r="4" ht="41.4" customHeight="1">
      <c r="A4" s="226" t="inlineStr">
        <is>
          <t>ID</t>
        </is>
      </c>
      <c r="B4" s="226" t="inlineStr">
        <is>
          <t>Фича / инициатива</t>
        </is>
      </c>
      <c r="C4" s="226" t="inlineStr">
        <is>
          <t>Reach
(польз./кв)</t>
        </is>
      </c>
      <c r="D4" s="226" t="inlineStr">
        <is>
          <t>Impact
(влияние)</t>
        </is>
      </c>
      <c r="E4" s="226" t="inlineStr">
        <is>
          <t>Confidence
(увер-ть)</t>
        </is>
      </c>
      <c r="F4" s="226" t="inlineStr">
        <is>
          <t>Effort
(чел-дни)</t>
        </is>
      </c>
      <c r="G4" s="226" t="inlineStr">
        <is>
          <t>RICE
score</t>
        </is>
      </c>
      <c r="H4" s="226" t="inlineStr">
        <is>
          <t>Ранг</t>
        </is>
      </c>
      <c r="I4" s="226" t="inlineStr">
        <is>
          <t>Приоритет</t>
        </is>
      </c>
    </row>
    <row r="5">
      <c r="A5" s="227" t="inlineStr">
        <is>
          <t>F-01</t>
        </is>
      </c>
      <c r="B5" s="228" t="inlineStr">
        <is>
          <t>MVP оформления заказа</t>
        </is>
      </c>
      <c r="C5" s="229" t="n">
        <v>5000</v>
      </c>
      <c r="D5" s="230" t="n">
        <v>3</v>
      </c>
      <c r="E5" s="231" t="n">
        <v>1</v>
      </c>
      <c r="F5" s="230" t="n">
        <v>40</v>
      </c>
      <c r="G5" s="232">
        <f>IFERROR(C5*D5*E5/F5,0)</f>
        <v/>
      </c>
      <c r="H5" s="230">
        <f>IF(G5="","",RANK(G5,$G$5:$G$14))</f>
        <v/>
      </c>
      <c r="I5" s="233">
        <f>IF(G5="","",IF(G5&gt;=0.6*MAX($G$5:$G$14),"Высокий",IF(G5&gt;=0.3*MAX($G$5:$G$14),"Средний","Низкий")))</f>
        <v/>
      </c>
    </row>
    <row r="6">
      <c r="A6" s="227" t="inlineStr">
        <is>
          <t>F-02</t>
        </is>
      </c>
      <c r="B6" s="228" t="inlineStr">
        <is>
          <t>Оплата картой</t>
        </is>
      </c>
      <c r="C6" s="229" t="n">
        <v>5000</v>
      </c>
      <c r="D6" s="230" t="n">
        <v>3</v>
      </c>
      <c r="E6" s="231" t="n">
        <v>0.8</v>
      </c>
      <c r="F6" s="230" t="n">
        <v>25</v>
      </c>
      <c r="G6" s="232">
        <f>IFERROR(C6*D6*E6/F6,0)</f>
        <v/>
      </c>
      <c r="H6" s="230">
        <f>IF(G6="","",RANK(G6,$G$5:$G$14))</f>
        <v/>
      </c>
      <c r="I6" s="233">
        <f>IF(G6="","",IF(G6&gt;=0.6*MAX($G$5:$G$14),"Высокий",IF(G6&gt;=0.3*MAX($G$5:$G$14),"Средний","Низкий")))</f>
        <v/>
      </c>
    </row>
    <row r="7">
      <c r="A7" s="227" t="inlineStr">
        <is>
          <t>F-03</t>
        </is>
      </c>
      <c r="B7" s="228" t="inlineStr">
        <is>
          <t>Промокоды и скидки</t>
        </is>
      </c>
      <c r="C7" s="229" t="n">
        <v>3000</v>
      </c>
      <c r="D7" s="230" t="n">
        <v>1</v>
      </c>
      <c r="E7" s="231" t="n">
        <v>0.8</v>
      </c>
      <c r="F7" s="230" t="n">
        <v>12</v>
      </c>
      <c r="G7" s="232">
        <f>IFERROR(C7*D7*E7/F7,0)</f>
        <v/>
      </c>
      <c r="H7" s="230">
        <f>IF(G7="","",RANK(G7,$G$5:$G$14))</f>
        <v/>
      </c>
      <c r="I7" s="233">
        <f>IF(G7="","",IF(G7&gt;=0.6*MAX($G$5:$G$14),"Высокий",IF(G7&gt;=0.3*MAX($G$5:$G$14),"Средний","Низкий")))</f>
        <v/>
      </c>
    </row>
    <row r="8">
      <c r="A8" s="227" t="inlineStr">
        <is>
          <t>F-04</t>
        </is>
      </c>
      <c r="B8" s="228" t="inlineStr">
        <is>
          <t>Уведомления (e-mail/push)</t>
        </is>
      </c>
      <c r="C8" s="229" t="n">
        <v>4000</v>
      </c>
      <c r="D8" s="230" t="n">
        <v>1</v>
      </c>
      <c r="E8" s="231" t="n">
        <v>0.8</v>
      </c>
      <c r="F8" s="230" t="n">
        <v>15</v>
      </c>
      <c r="G8" s="232">
        <f>IFERROR(C8*D8*E8/F8,0)</f>
        <v/>
      </c>
      <c r="H8" s="230">
        <f>IF(G8="","",RANK(G8,$G$5:$G$14))</f>
        <v/>
      </c>
      <c r="I8" s="233">
        <f>IF(G8="","",IF(G8&gt;=0.6*MAX($G$5:$G$14),"Высокий",IF(G8&gt;=0.3*MAX($G$5:$G$14),"Средний","Низкий")))</f>
        <v/>
      </c>
    </row>
    <row r="9">
      <c r="A9" s="227" t="inlineStr">
        <is>
          <t>F-05</t>
        </is>
      </c>
      <c r="B9" s="228" t="inlineStr">
        <is>
          <t>История заказов</t>
        </is>
      </c>
      <c r="C9" s="229" t="n">
        <v>3500</v>
      </c>
      <c r="D9" s="230" t="n">
        <v>0.5</v>
      </c>
      <c r="E9" s="231" t="n">
        <v>1</v>
      </c>
      <c r="F9" s="230" t="n">
        <v>10</v>
      </c>
      <c r="G9" s="232">
        <f>IFERROR(C9*D9*E9/F9,0)</f>
        <v/>
      </c>
      <c r="H9" s="230">
        <f>IF(G9="","",RANK(G9,$G$5:$G$14))</f>
        <v/>
      </c>
      <c r="I9" s="233">
        <f>IF(G9="","",IF(G9&gt;=0.6*MAX($G$5:$G$14),"Высокий",IF(G9&gt;=0.3*MAX($G$5:$G$14),"Средний","Низкий")))</f>
        <v/>
      </c>
    </row>
    <row r="10">
      <c r="A10" s="227" t="inlineStr">
        <is>
          <t>F-06</t>
        </is>
      </c>
      <c r="B10" s="228" t="inlineStr">
        <is>
          <t>Мобильная вёрстка</t>
        </is>
      </c>
      <c r="C10" s="229" t="n">
        <v>4500</v>
      </c>
      <c r="D10" s="230" t="n">
        <v>2</v>
      </c>
      <c r="E10" s="231" t="n">
        <v>0.8</v>
      </c>
      <c r="F10" s="230" t="n">
        <v>20</v>
      </c>
      <c r="G10" s="232">
        <f>IFERROR(C10*D10*E10/F10,0)</f>
        <v/>
      </c>
      <c r="H10" s="230">
        <f>IF(G10="","",RANK(G10,$G$5:$G$14))</f>
        <v/>
      </c>
      <c r="I10" s="233">
        <f>IF(G10="","",IF(G10&gt;=0.6*MAX($G$5:$G$14),"Высокий",IF(G10&gt;=0.3*MAX($G$5:$G$14),"Средний","Низкий")))</f>
        <v/>
      </c>
    </row>
    <row r="11">
      <c r="A11" s="227" t="inlineStr">
        <is>
          <t>F-07</t>
        </is>
      </c>
      <c r="B11" s="228" t="inlineStr">
        <is>
          <t>Личный кабинет</t>
        </is>
      </c>
      <c r="C11" s="229" t="n">
        <v>3000</v>
      </c>
      <c r="D11" s="230" t="n">
        <v>1</v>
      </c>
      <c r="E11" s="231" t="n">
        <v>0.5</v>
      </c>
      <c r="F11" s="230" t="n">
        <v>18</v>
      </c>
      <c r="G11" s="232">
        <f>IFERROR(C11*D11*E11/F11,0)</f>
        <v/>
      </c>
      <c r="H11" s="230">
        <f>IF(G11="","",RANK(G11,$G$5:$G$14))</f>
        <v/>
      </c>
      <c r="I11" s="233">
        <f>IF(G11="","",IF(G11&gt;=0.6*MAX($G$5:$G$14),"Высокий",IF(G11&gt;=0.3*MAX($G$5:$G$14),"Средний","Низкий")))</f>
        <v/>
      </c>
    </row>
    <row r="12">
      <c r="A12" s="227" t="inlineStr">
        <is>
          <t>F-08</t>
        </is>
      </c>
      <c r="B12" s="228" t="inlineStr">
        <is>
          <t>Рекомендации товаров</t>
        </is>
      </c>
      <c r="C12" s="229" t="n">
        <v>2000</v>
      </c>
      <c r="D12" s="230" t="n">
        <v>2</v>
      </c>
      <c r="E12" s="231" t="n">
        <v>0.5</v>
      </c>
      <c r="F12" s="230" t="n">
        <v>22</v>
      </c>
      <c r="G12" s="232">
        <f>IFERROR(C12*D12*E12/F12,0)</f>
        <v/>
      </c>
      <c r="H12" s="230">
        <f>IF(G12="","",RANK(G12,$G$5:$G$14))</f>
        <v/>
      </c>
      <c r="I12" s="233">
        <f>IF(G12="","",IF(G12&gt;=0.6*MAX($G$5:$G$14),"Высокий",IF(G12&gt;=0.3*MAX($G$5:$G$14),"Средний","Низкий")))</f>
        <v/>
      </c>
    </row>
    <row r="13">
      <c r="A13" s="227" t="inlineStr">
        <is>
          <t>F-09</t>
        </is>
      </c>
      <c r="B13" s="228" t="inlineStr">
        <is>
          <t>Экспорт отчётов</t>
        </is>
      </c>
      <c r="C13" s="229" t="n">
        <v>800</v>
      </c>
      <c r="D13" s="230" t="n">
        <v>0.5</v>
      </c>
      <c r="E13" s="231" t="n">
        <v>0.8</v>
      </c>
      <c r="F13" s="230" t="n">
        <v>8</v>
      </c>
      <c r="G13" s="232">
        <f>IFERROR(C13*D13*E13/F13,0)</f>
        <v/>
      </c>
      <c r="H13" s="230">
        <f>IF(G13="","",RANK(G13,$G$5:$G$14))</f>
        <v/>
      </c>
      <c r="I13" s="233">
        <f>IF(G13="","",IF(G13&gt;=0.6*MAX($G$5:$G$14),"Высокий",IF(G13&gt;=0.3*MAX($G$5:$G$14),"Средний","Низкий")))</f>
        <v/>
      </c>
    </row>
    <row r="14">
      <c r="A14" s="227" t="inlineStr">
        <is>
          <t>F-10</t>
        </is>
      </c>
      <c r="B14" s="228" t="inlineStr">
        <is>
          <t>Мультиязычность</t>
        </is>
      </c>
      <c r="C14" s="229" t="n">
        <v>1500</v>
      </c>
      <c r="D14" s="230" t="n">
        <v>1</v>
      </c>
      <c r="E14" s="231" t="n">
        <v>0.5</v>
      </c>
      <c r="F14" s="230" t="n">
        <v>30</v>
      </c>
      <c r="G14" s="232">
        <f>IFERROR(C14*D14*E14/F14,0)</f>
        <v/>
      </c>
      <c r="H14" s="230">
        <f>IF(G14="","",RANK(G14,$G$5:$G$14))</f>
        <v/>
      </c>
      <c r="I14" s="233">
        <f>IF(G14="","",IF(G14&gt;=0.6*MAX($G$5:$G$14),"Высокий",IF(G14&gt;=0.3*MAX($G$5:$G$14),"Средний","Низкий")))</f>
        <v/>
      </c>
    </row>
    <row r="16">
      <c r="A16" s="222" t="inlineStr">
        <is>
          <t>Шкалы оценки</t>
        </is>
      </c>
    </row>
    <row r="17">
      <c r="A17" s="234" t="inlineStr">
        <is>
          <t>Impact (влияние на пользователя):</t>
        </is>
      </c>
      <c r="B17" s="235" t="inlineStr">
        <is>
          <t>3 — массивное · 2 — высокое · 1 — среднее · 0.5 — низкое · 0.25 — минимальное</t>
        </is>
      </c>
    </row>
    <row r="18">
      <c r="A18" s="234" t="inlineStr">
        <is>
          <t>Confidence (уверенность в оценке):</t>
        </is>
      </c>
      <c r="B18" s="235" t="inlineStr">
        <is>
          <t>100% — высокая · 80% — средняя · 50% — низкая</t>
        </is>
      </c>
    </row>
    <row r="19">
      <c r="A19" s="234" t="inlineStr">
        <is>
          <t>Reach:</t>
        </is>
      </c>
      <c r="B19" s="235" t="inlineStr">
        <is>
          <t>сколько пользователей затронет фича за квартал</t>
        </is>
      </c>
    </row>
    <row r="20">
      <c r="A20" s="234" t="inlineStr">
        <is>
          <t>Effort:</t>
        </is>
      </c>
      <c r="B20" s="235" t="inlineStr">
        <is>
          <t>суммарные трудозатраты команды, человеко-дни</t>
        </is>
      </c>
    </row>
    <row r="21">
      <c r="A21" s="234" t="inlineStr">
        <is>
          <t>Приоритет:</t>
        </is>
      </c>
      <c r="B21" s="235" t="inlineStr">
        <is>
          <t>Высокий ≥ 60% макс. балла · Средний ≥ 30% · иначе Низкий</t>
        </is>
      </c>
    </row>
  </sheetData>
  <conditionalFormatting sqref="G5:G14">
    <cfRule type="colorScale" priority="4">
      <colorScale>
        <cfvo type="min"/>
        <cfvo type="percentile" val="50"/>
        <cfvo type="max"/>
        <color rgb="FFF8696B"/>
        <color rgb="FFFFEB84"/>
        <color rgb="FF63BE7B"/>
      </colorScale>
    </cfRule>
  </conditionalFormatting>
  <conditionalFormatting sqref="I5:I14">
    <cfRule type="cellIs" priority="1" operator="equal" dxfId="9">
      <formula>"Высокий"</formula>
    </cfRule>
    <cfRule type="cellIs" priority="2" operator="equal" dxfId="11">
      <formula>"Средний"</formula>
    </cfRule>
    <cfRule type="cellIs" priority="3" operator="equal" dxfId="12">
      <formula>"Низкий"</formula>
    </cfRule>
  </conditionalFormatting>
  <dataValidations count="2">
    <dataValidation sqref="D5:D14" showDropDown="0" showInputMessage="0" showErrorMessage="0" allowBlank="1" type="list">
      <formula1>"3,2,1,0.5,0.25"</formula1>
    </dataValidation>
    <dataValidation sqref="E5:E14" showDropDown="0" showInputMessage="0" showErrorMessage="0" allowBlank="1" type="list">
      <formula1>"1,0.8,0.5"</formula1>
    </dataValidation>
  </dataValidation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E30"/>
  <sheetViews>
    <sheetView showGridLines="0" tabSelected="1" workbookViewId="0">
      <pane ySplit="4" topLeftCell="A5" activePane="bottomLeft" state="frozen"/>
      <selection pane="bottomLeft" activeCell="J20" sqref="J20"/>
    </sheetView>
  </sheetViews>
  <sheetFormatPr baseColWidth="8" defaultRowHeight="14.4"/>
  <cols>
    <col width="10" customWidth="1" min="1" max="1"/>
    <col width="32" customWidth="1" min="2" max="2"/>
    <col width="12" customWidth="1" min="3" max="3"/>
    <col width="14" customWidth="1" min="4" max="4"/>
    <col width="46" customWidth="1" min="5" max="5"/>
  </cols>
  <sheetData>
    <row r="1" ht="17.4" customHeight="1">
      <c r="A1" s="213" t="inlineStr">
        <is>
          <t>Приоритизация требований по MoSCoW</t>
        </is>
      </c>
    </row>
    <row r="2">
      <c r="A2" s="225" t="inlineStr">
        <is>
          <t>Must / Should / Could / Won't — что обязательно, желательно, возможно и что сознательно откладываем.</t>
        </is>
      </c>
    </row>
    <row r="4">
      <c r="A4" s="242" t="inlineStr">
        <is>
          <t>ID</t>
        </is>
      </c>
      <c r="B4" s="242" t="inlineStr">
        <is>
          <t>Фича / требование</t>
        </is>
      </c>
      <c r="C4" s="242" t="inlineStr">
        <is>
          <t>Категория</t>
        </is>
      </c>
      <c r="D4" s="242" t="inlineStr">
        <is>
          <t>Приоритет</t>
        </is>
      </c>
      <c r="E4" s="242" t="inlineStr">
        <is>
          <t>Обоснование</t>
        </is>
      </c>
    </row>
    <row r="5">
      <c r="A5" s="243" t="inlineStr">
        <is>
          <t>MS-01</t>
        </is>
      </c>
      <c r="B5" s="244" t="inlineStr">
        <is>
          <t>Оформление заказа (MVP)</t>
        </is>
      </c>
      <c r="C5" s="245" t="inlineStr">
        <is>
          <t>Must</t>
        </is>
      </c>
      <c r="D5" s="246">
        <f>IF(C5="Must","Обязательно",IF(C5="Should","Желательно",IF(C5="Could","Возможно",IF(C5="Won't","Не в этот раз",""))))</f>
        <v/>
      </c>
      <c r="E5" s="247" t="inlineStr">
        <is>
          <t>Без этого запуск подписки невозможен</t>
        </is>
      </c>
    </row>
    <row r="6">
      <c r="A6" s="243" t="inlineStr">
        <is>
          <t>MS-02</t>
        </is>
      </c>
      <c r="B6" s="244" t="inlineStr">
        <is>
          <t>Оплата картой</t>
        </is>
      </c>
      <c r="C6" s="245" t="inlineStr">
        <is>
          <t>Must</t>
        </is>
      </c>
      <c r="D6" s="246">
        <f>IF(C6="Must","Обязательно",IF(C6="Should","Желательно",IF(C6="Could","Возможно",IF(C6="Won't","Не в этот раз",""))))</f>
        <v/>
      </c>
      <c r="E6" s="247" t="inlineStr">
        <is>
          <t>Ключевой сценарий монетизации</t>
        </is>
      </c>
    </row>
    <row r="7">
      <c r="A7" s="243" t="inlineStr">
        <is>
          <t>MS-03</t>
        </is>
      </c>
      <c r="B7" s="244" t="inlineStr">
        <is>
          <t>Каталог товаров и цены</t>
        </is>
      </c>
      <c r="C7" s="245" t="inlineStr">
        <is>
          <t>Must</t>
        </is>
      </c>
      <c r="D7" s="246">
        <f>IF(C7="Must","Обязательно",IF(C7="Should","Желательно",IF(C7="Could","Возможно",IF(C7="Won't","Не в этот раз",""))))</f>
        <v/>
      </c>
      <c r="E7" s="247" t="inlineStr">
        <is>
          <t>Данные для оформления заказа</t>
        </is>
      </c>
    </row>
    <row r="8">
      <c r="A8" s="243" t="inlineStr">
        <is>
          <t>MS-04</t>
        </is>
      </c>
      <c r="B8" s="244" t="inlineStr">
        <is>
          <t>Личный кабинет (базовый)</t>
        </is>
      </c>
      <c r="C8" s="245" t="inlineStr">
        <is>
          <t>Must</t>
        </is>
      </c>
      <c r="D8" s="246">
        <f>IF(C8="Must","Обязательно",IF(C8="Should","Желательно",IF(C8="Could","Возможно",IF(C8="Won't","Не в этот раз",""))))</f>
        <v/>
      </c>
      <c r="E8" s="247" t="inlineStr">
        <is>
          <t>Управление подпиской</t>
        </is>
      </c>
    </row>
    <row r="9" ht="27.6" customHeight="1">
      <c r="A9" s="243" t="inlineStr">
        <is>
          <t>MS-05</t>
        </is>
      </c>
      <c r="B9" s="244" t="inlineStr">
        <is>
          <t>Промокоды и скидки</t>
        </is>
      </c>
      <c r="C9" s="245" t="inlineStr">
        <is>
          <t>Should</t>
        </is>
      </c>
      <c r="D9" s="246">
        <f>IF(C9="Must","Обязательно",IF(C9="Should","Желательно",IF(C9="Could","Возможно",IF(C9="Won't","Не в этот раз",""))))</f>
        <v/>
      </c>
      <c r="E9" s="247" t="inlineStr">
        <is>
          <t>Повышает конверсию, но релиз возможен без них</t>
        </is>
      </c>
    </row>
    <row r="10">
      <c r="A10" s="243" t="inlineStr">
        <is>
          <t>MS-06</t>
        </is>
      </c>
      <c r="B10" s="244" t="inlineStr">
        <is>
          <t>Уведомления (e-mail/push)</t>
        </is>
      </c>
      <c r="C10" s="245" t="inlineStr">
        <is>
          <t>Should</t>
        </is>
      </c>
      <c r="D10" s="246">
        <f>IF(C10="Must","Обязательно",IF(C10="Should","Желательно",IF(C10="Could","Возможно",IF(C10="Won't","Не в этот раз",""))))</f>
        <v/>
      </c>
      <c r="E10" s="247" t="inlineStr">
        <is>
          <t>Удержание пользователей</t>
        </is>
      </c>
    </row>
    <row r="11">
      <c r="A11" s="243" t="inlineStr">
        <is>
          <t>MS-07</t>
        </is>
      </c>
      <c r="B11" s="244" t="inlineStr">
        <is>
          <t>История заказов</t>
        </is>
      </c>
      <c r="C11" s="245" t="inlineStr">
        <is>
          <t>Should</t>
        </is>
      </c>
      <c r="D11" s="246">
        <f>IF(C11="Must","Обязательно",IF(C11="Should","Желательно",IF(C11="Could","Возможно",IF(C11="Won't","Не в этот раз",""))))</f>
        <v/>
      </c>
      <c r="E11" s="247" t="inlineStr">
        <is>
          <t>Ожидаемо пользователями</t>
        </is>
      </c>
    </row>
    <row r="12">
      <c r="A12" s="243" t="inlineStr">
        <is>
          <t>MS-08</t>
        </is>
      </c>
      <c r="B12" s="244" t="inlineStr">
        <is>
          <t>Рекомендации товаров</t>
        </is>
      </c>
      <c r="C12" s="245" t="inlineStr">
        <is>
          <t>Could</t>
        </is>
      </c>
      <c r="D12" s="246">
        <f>IF(C12="Must","Обязательно",IF(C12="Should","Желательно",IF(C12="Could","Возможно",IF(C12="Won't","Не в этот раз",""))))</f>
        <v/>
      </c>
      <c r="E12" s="247" t="inlineStr">
        <is>
          <t>Если останется время</t>
        </is>
      </c>
    </row>
    <row r="13">
      <c r="A13" s="243" t="inlineStr">
        <is>
          <t>MS-09</t>
        </is>
      </c>
      <c r="B13" s="244" t="inlineStr">
        <is>
          <t>Мультиязычность</t>
        </is>
      </c>
      <c r="C13" s="245" t="inlineStr">
        <is>
          <t>Could</t>
        </is>
      </c>
      <c r="D13" s="246">
        <f>IF(C13="Must","Обязательно",IF(C13="Should","Желательно",IF(C13="Could","Возможно",IF(C13="Won't","Не в этот раз",""))))</f>
        <v/>
      </c>
      <c r="E13" s="247" t="inlineStr">
        <is>
          <t>Для будущих рынков</t>
        </is>
      </c>
    </row>
    <row r="14">
      <c r="A14" s="243" t="inlineStr">
        <is>
          <t>MS-10</t>
        </is>
      </c>
      <c r="B14" s="244" t="inlineStr">
        <is>
          <t>Экспорт отчётов</t>
        </is>
      </c>
      <c r="C14" s="245" t="inlineStr">
        <is>
          <t>Could</t>
        </is>
      </c>
      <c r="D14" s="246">
        <f>IF(C14="Must","Обязательно",IF(C14="Should","Желательно",IF(C14="Could","Возможно",IF(C14="Won't","Не в этот раз",""))))</f>
        <v/>
      </c>
      <c r="E14" s="247" t="inlineStr">
        <is>
          <t>Удобно, но не критично</t>
        </is>
      </c>
    </row>
    <row r="15" ht="27.6" customHeight="1">
      <c r="A15" s="243" t="inlineStr">
        <is>
          <t>MS-11</t>
        </is>
      </c>
      <c r="B15" s="244" t="inlineStr">
        <is>
          <t>Программа лояльности / бонусы</t>
        </is>
      </c>
      <c r="C15" s="245" t="inlineStr">
        <is>
          <t>Won't</t>
        </is>
      </c>
      <c r="D15" s="246">
        <f>IF(C15="Must","Обязательно",IF(C15="Should","Желательно",IF(C15="Could","Возможно",IF(C15="Won't","Не в этот раз",""))))</f>
        <v/>
      </c>
      <c r="E15" s="247" t="inlineStr">
        <is>
          <t>Отдельная инициатива на следующий квартал</t>
        </is>
      </c>
    </row>
    <row r="16">
      <c r="A16" s="243" t="inlineStr">
        <is>
          <t>MS-12</t>
        </is>
      </c>
      <c r="B16" s="244" t="inlineStr">
        <is>
          <t>Офлайн-режим приложения</t>
        </is>
      </c>
      <c r="C16" s="245" t="inlineStr">
        <is>
          <t>Won't</t>
        </is>
      </c>
      <c r="D16" s="246">
        <f>IF(C16="Must","Обязательно",IF(C16="Should","Желательно",IF(C16="Could","Возможно",IF(C16="Won't","Не в этот раз",""))))</f>
        <v/>
      </c>
      <c r="E16" s="247" t="inlineStr">
        <is>
          <t>Вне scope текущего релиза</t>
        </is>
      </c>
    </row>
    <row r="18">
      <c r="A18" s="222" t="inlineStr">
        <is>
          <t>Сводка по категориям</t>
        </is>
      </c>
    </row>
    <row r="19">
      <c r="A19" s="248" t="inlineStr">
        <is>
          <t>Категория</t>
        </is>
      </c>
      <c r="B19" s="248" t="inlineStr">
        <is>
          <t>Кол-во</t>
        </is>
      </c>
    </row>
    <row r="20">
      <c r="A20" s="249" t="inlineStr">
        <is>
          <t>Must</t>
        </is>
      </c>
      <c r="B20" s="246">
        <f>COUNTIF($C$5:$C$16,"Must")</f>
        <v/>
      </c>
    </row>
    <row r="21">
      <c r="A21" s="250" t="inlineStr">
        <is>
          <t>Should</t>
        </is>
      </c>
      <c r="B21" s="246">
        <f>COUNTIF($C$5:$C$16,"Should")</f>
        <v/>
      </c>
    </row>
    <row r="22">
      <c r="A22" s="251" t="inlineStr">
        <is>
          <t>Could</t>
        </is>
      </c>
      <c r="B22" s="246">
        <f>COUNTIF($C$5:$C$16,"Could")</f>
        <v/>
      </c>
    </row>
    <row r="23">
      <c r="A23" s="252" t="inlineStr">
        <is>
          <t>Won't</t>
        </is>
      </c>
      <c r="B23" s="246">
        <f>COUNTIF($C$5:$C$16,"Won't")</f>
        <v/>
      </c>
    </row>
    <row r="25">
      <c r="A25" s="222" t="inlineStr">
        <is>
          <t>Методология MoSCoW</t>
        </is>
      </c>
    </row>
    <row r="26">
      <c r="A26" s="234" t="inlineStr">
        <is>
          <t>Must have — обязательно:</t>
        </is>
      </c>
      <c r="B26" s="235" t="inlineStr">
        <is>
          <t>критично для релиза, без этого продукт не запускается</t>
        </is>
      </c>
    </row>
    <row r="27">
      <c r="A27" s="234" t="inlineStr">
        <is>
          <t>Should have — желательно:</t>
        </is>
      </c>
      <c r="B27" s="235" t="inlineStr">
        <is>
          <t>важно и болезненно без него, но релиз технически возможен</t>
        </is>
      </c>
    </row>
    <row r="28">
      <c r="A28" s="234" t="inlineStr">
        <is>
          <t>Could have — возможно:</t>
        </is>
      </c>
      <c r="B28" s="235" t="inlineStr">
        <is>
          <t>желательно, реализуем при наличии времени и ресурсов</t>
        </is>
      </c>
    </row>
    <row r="29">
      <c r="A29" s="234" t="inlineStr">
        <is>
          <t>Won't have — не в этот раз:</t>
        </is>
      </c>
      <c r="B29" s="235" t="inlineStr">
        <is>
          <t>сознательно отложено, вне scope текущего релиза</t>
        </is>
      </c>
    </row>
    <row r="30">
      <c r="A30" s="234" t="inlineStr">
        <is>
          <t>Правило баланса:</t>
        </is>
      </c>
      <c r="B30" s="235" t="inlineStr">
        <is>
          <t>доля Must ≤ ~60% ёмкости спринта — иначе не остаётся буфера на риски</t>
        </is>
      </c>
    </row>
  </sheetData>
  <conditionalFormatting sqref="C5:C16">
    <cfRule type="cellIs" priority="1" operator="equal" dxfId="26">
      <formula>"Must"</formula>
    </cfRule>
    <cfRule type="cellIs" priority="2" operator="equal" dxfId="25">
      <formula>"Should"</formula>
    </cfRule>
    <cfRule type="cellIs" priority="3" operator="equal" dxfId="24">
      <formula>"Could"</formula>
    </cfRule>
    <cfRule type="cellIs" priority="4" operator="equal" dxfId="23">
      <formula>"Won't"</formula>
    </cfRule>
  </conditionalFormatting>
  <dataValidations count="1">
    <dataValidation sqref="C5:C16" showDropDown="0" showInputMessage="0" showErrorMessage="0" allowBlank="1" type="list">
      <formula1>"Must,Should,Could,Won't"</formula1>
    </dataValidation>
  </dataValidation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28"/>
  <sheetViews>
    <sheetView showGridLines="0" workbookViewId="0">
      <pane ySplit="4" topLeftCell="A17" activePane="bottomLeft" state="frozen"/>
      <selection pane="bottomLeft" activeCell="A1" sqref="A1"/>
    </sheetView>
  </sheetViews>
  <sheetFormatPr baseColWidth="8" defaultRowHeight="14.4"/>
  <cols>
    <col width="12" customWidth="1" min="1" max="1"/>
    <col width="26" customWidth="1" min="2" max="2"/>
    <col width="12" customWidth="1" min="3" max="3"/>
    <col width="14" customWidth="1" min="4" max="4"/>
    <col width="10" customWidth="1" min="5" max="5"/>
  </cols>
  <sheetData>
    <row r="1" ht="17.4" customHeight="1">
      <c r="A1" s="163" t="inlineStr">
        <is>
          <t>Квартальный roadmap (спринты и вехи по кварталам)</t>
        </is>
      </c>
    </row>
    <row r="2">
      <c r="A2" s="164" t="inlineStr">
        <is>
          <t>Бары спринтов на шкале дат, цвет = квартал. Вехи — в таблице ниже.</t>
        </is>
      </c>
    </row>
    <row r="4" ht="27.6" customHeight="1">
      <c r="A4" s="161" t="inlineStr">
        <is>
          <t>Спринт</t>
        </is>
      </c>
      <c r="B4" s="161" t="inlineStr">
        <is>
          <t>Квартал</t>
        </is>
      </c>
      <c r="C4" s="161" t="inlineStr">
        <is>
          <t>Начало</t>
        </is>
      </c>
      <c r="D4" s="161" t="inlineStr">
        <is>
          <t>Конец</t>
        </is>
      </c>
      <c r="E4" s="161" t="inlineStr">
        <is>
          <t>Длит. (дн)</t>
        </is>
      </c>
    </row>
    <row r="5">
      <c r="A5" s="190" t="inlineStr">
        <is>
          <t>Спринт 1</t>
        </is>
      </c>
      <c r="B5" s="162">
        <f>'Дорожная карта'!M6</f>
        <v/>
      </c>
      <c r="C5" s="191">
        <f>'Дорожная карта'!C6</f>
        <v/>
      </c>
      <c r="D5" s="191">
        <f>'Дорожная карта'!D6</f>
        <v/>
      </c>
      <c r="E5" s="192">
        <f>D5-C5</f>
        <v/>
      </c>
    </row>
    <row r="6">
      <c r="A6" s="190" t="inlineStr">
        <is>
          <t>Спринт 2</t>
        </is>
      </c>
      <c r="B6" s="162">
        <f>'Дорожная карта'!M7</f>
        <v/>
      </c>
      <c r="C6" s="191">
        <f>'Дорожная карта'!C7</f>
        <v/>
      </c>
      <c r="D6" s="191">
        <f>'Дорожная карта'!D7</f>
        <v/>
      </c>
      <c r="E6" s="192">
        <f>D6-C6</f>
        <v/>
      </c>
    </row>
    <row r="7">
      <c r="A7" s="190" t="inlineStr">
        <is>
          <t>Спринт 3</t>
        </is>
      </c>
      <c r="B7" s="162">
        <f>'Дорожная карта'!M8</f>
        <v/>
      </c>
      <c r="C7" s="191">
        <f>'Дорожная карта'!C8</f>
        <v/>
      </c>
      <c r="D7" s="191">
        <f>'Дорожная карта'!D8</f>
        <v/>
      </c>
      <c r="E7" s="192">
        <f>D7-C7</f>
        <v/>
      </c>
    </row>
    <row r="8">
      <c r="A8" s="190" t="inlineStr">
        <is>
          <t>Спринт 4</t>
        </is>
      </c>
      <c r="B8" s="162">
        <f>'Дорожная карта'!M9</f>
        <v/>
      </c>
      <c r="C8" s="191">
        <f>'Дорожная карта'!C9</f>
        <v/>
      </c>
      <c r="D8" s="191">
        <f>'Дорожная карта'!D9</f>
        <v/>
      </c>
      <c r="E8" s="192">
        <f>D8-C8</f>
        <v/>
      </c>
    </row>
    <row r="9">
      <c r="A9" s="190" t="inlineStr">
        <is>
          <t>Спринт 5</t>
        </is>
      </c>
      <c r="B9" s="162">
        <f>'Дорожная карта'!M10</f>
        <v/>
      </c>
      <c r="C9" s="191">
        <f>'Дорожная карта'!C10</f>
        <v/>
      </c>
      <c r="D9" s="191">
        <f>'Дорожная карта'!D10</f>
        <v/>
      </c>
      <c r="E9" s="192">
        <f>D9-C9</f>
        <v/>
      </c>
    </row>
    <row r="10">
      <c r="A10" s="190" t="inlineStr">
        <is>
          <t>Спринт 6</t>
        </is>
      </c>
      <c r="B10" s="162">
        <f>'Дорожная карта'!M11</f>
        <v/>
      </c>
      <c r="C10" s="191">
        <f>'Дорожная карта'!C11</f>
        <v/>
      </c>
      <c r="D10" s="191">
        <f>'Дорожная карта'!D11</f>
        <v/>
      </c>
      <c r="E10" s="192">
        <f>D10-C10</f>
        <v/>
      </c>
    </row>
    <row r="11">
      <c r="A11" s="190" t="inlineStr">
        <is>
          <t>Спринт 7</t>
        </is>
      </c>
      <c r="B11" s="162">
        <f>'Дорожная карта'!M12</f>
        <v/>
      </c>
      <c r="C11" s="191">
        <f>'Дорожная карта'!C12</f>
        <v/>
      </c>
      <c r="D11" s="191">
        <f>'Дорожная карта'!D12</f>
        <v/>
      </c>
      <c r="E11" s="192">
        <f>D11-C11</f>
        <v/>
      </c>
    </row>
    <row r="12">
      <c r="A12" s="190" t="inlineStr">
        <is>
          <t>Спринт 8</t>
        </is>
      </c>
      <c r="B12" s="162">
        <f>'Дорожная карта'!M13</f>
        <v/>
      </c>
      <c r="C12" s="191">
        <f>'Дорожная карта'!C13</f>
        <v/>
      </c>
      <c r="D12" s="191">
        <f>'Дорожная карта'!D13</f>
        <v/>
      </c>
      <c r="E12" s="192">
        <f>D12-C12</f>
        <v/>
      </c>
    </row>
    <row r="13">
      <c r="A13" s="190" t="inlineStr">
        <is>
          <t>Спринт 9</t>
        </is>
      </c>
      <c r="B13" s="162">
        <f>'Дорожная карта'!M14</f>
        <v/>
      </c>
      <c r="C13" s="191">
        <f>'Дорожная карта'!C14</f>
        <v/>
      </c>
      <c r="D13" s="191">
        <f>'Дорожная карта'!D14</f>
        <v/>
      </c>
      <c r="E13" s="192">
        <f>D13-C13</f>
        <v/>
      </c>
    </row>
    <row r="14">
      <c r="A14" s="190" t="inlineStr">
        <is>
          <t>Спринт 10</t>
        </is>
      </c>
      <c r="B14" s="162">
        <f>'Дорожная карта'!M15</f>
        <v/>
      </c>
      <c r="C14" s="191">
        <f>'Дорожная карта'!C15</f>
        <v/>
      </c>
      <c r="D14" s="191">
        <f>'Дорожная карта'!D15</f>
        <v/>
      </c>
      <c r="E14" s="192">
        <f>D14-C14</f>
        <v/>
      </c>
    </row>
    <row r="15">
      <c r="A15" s="190" t="inlineStr">
        <is>
          <t>Спринт 11</t>
        </is>
      </c>
      <c r="B15" s="162">
        <f>'Дорожная карта'!M16</f>
        <v/>
      </c>
      <c r="C15" s="191">
        <f>'Дорожная карта'!C16</f>
        <v/>
      </c>
      <c r="D15" s="191">
        <f>'Дорожная карта'!D16</f>
        <v/>
      </c>
      <c r="E15" s="192">
        <f>D15-C15</f>
        <v/>
      </c>
    </row>
    <row r="17">
      <c r="A17" s="14" t="inlineStr">
        <is>
          <t>Легенда кварталов:</t>
        </is>
      </c>
    </row>
    <row r="18">
      <c r="A18" s="193" t="inlineStr">
        <is>
          <t>Q3 2026</t>
        </is>
      </c>
    </row>
    <row r="19">
      <c r="A19" s="194" t="inlineStr">
        <is>
          <t>Q4 2026</t>
        </is>
      </c>
    </row>
    <row r="20">
      <c r="A20" s="195" t="inlineStr">
        <is>
          <t>Q1 2027</t>
        </is>
      </c>
    </row>
    <row r="22" ht="15.6" customHeight="1">
      <c r="A22" s="176" t="inlineStr">
        <is>
          <t>Вехи</t>
        </is>
      </c>
    </row>
    <row r="23">
      <c r="A23" s="161" t="inlineStr">
        <is>
          <t>ID</t>
        </is>
      </c>
      <c r="B23" s="161" t="inlineStr">
        <is>
          <t>Веха</t>
        </is>
      </c>
      <c r="C23" s="161" t="inlineStr">
        <is>
          <t>Дата</t>
        </is>
      </c>
      <c r="D23" s="161" t="inlineStr">
        <is>
          <t>Статус</t>
        </is>
      </c>
    </row>
    <row r="24">
      <c r="A24" s="177">
        <f>Вехи!A5</f>
        <v/>
      </c>
      <c r="B24" s="190">
        <f>Вехи!B5</f>
        <v/>
      </c>
      <c r="C24" s="196">
        <f>Вехи!D5</f>
        <v/>
      </c>
      <c r="D24" s="177">
        <f>Вехи!E5</f>
        <v/>
      </c>
    </row>
    <row r="25" ht="27.6" customHeight="1">
      <c r="A25" s="177">
        <f>Вехи!A6</f>
        <v/>
      </c>
      <c r="B25" s="190">
        <f>Вехи!B6</f>
        <v/>
      </c>
      <c r="C25" s="196">
        <f>Вехи!D6</f>
        <v/>
      </c>
      <c r="D25" s="177">
        <f>Вехи!E6</f>
        <v/>
      </c>
    </row>
    <row r="26" ht="27.6" customHeight="1">
      <c r="A26" s="177">
        <f>Вехи!A7</f>
        <v/>
      </c>
      <c r="B26" s="190">
        <f>Вехи!B7</f>
        <v/>
      </c>
      <c r="C26" s="196">
        <f>Вехи!D7</f>
        <v/>
      </c>
      <c r="D26" s="177">
        <f>Вехи!E7</f>
        <v/>
      </c>
    </row>
    <row r="27" ht="27.6" customHeight="1">
      <c r="A27" s="177">
        <f>Вехи!A8</f>
        <v/>
      </c>
      <c r="B27" s="190">
        <f>Вехи!B8</f>
        <v/>
      </c>
      <c r="C27" s="196">
        <f>Вехи!D8</f>
        <v/>
      </c>
      <c r="D27" s="177">
        <f>Вехи!E8</f>
        <v/>
      </c>
    </row>
    <row r="28" ht="27.6" customHeight="1">
      <c r="A28" s="177">
        <f>Вехи!A9</f>
        <v/>
      </c>
      <c r="B28" s="190">
        <f>Вехи!B9</f>
        <v/>
      </c>
      <c r="C28" s="196">
        <f>Вехи!D9</f>
        <v/>
      </c>
      <c r="D28" s="177">
        <f>Вехи!E9</f>
        <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K9"/>
  <sheetViews>
    <sheetView showGridLines="0" workbookViewId="0">
      <pane ySplit="4" topLeftCell="A5" activePane="bottomLeft" state="frozen"/>
      <selection pane="bottomLeft" activeCell="J18" sqref="J18"/>
    </sheetView>
  </sheetViews>
  <sheetFormatPr baseColWidth="8" defaultRowHeight="14.4"/>
  <cols>
    <col width="7" customWidth="1" min="1" max="1"/>
    <col width="26" customWidth="1" min="2" max="2"/>
    <col width="8" customWidth="1" min="3" max="4"/>
    <col width="13" customWidth="1" min="5" max="6"/>
    <col width="8" customWidth="1" min="7" max="8"/>
    <col width="10" customWidth="1" min="9" max="9"/>
    <col width="11" customWidth="1" min="10" max="10"/>
    <col width="9" customWidth="1" min="11" max="11"/>
  </cols>
  <sheetData>
    <row r="1" ht="17.4" customHeight="1">
      <c r="A1" s="198" t="inlineStr">
        <is>
          <t>Релизы</t>
        </is>
      </c>
    </row>
    <row r="2">
      <c r="A2" s="199" t="inlineStr">
        <is>
          <t>Версии релизов и их содержимое (стори/задачи/дефекты) по диапазону спринтов.</t>
        </is>
      </c>
    </row>
    <row r="4" ht="27.6" customHeight="1">
      <c r="A4" s="200" t="inlineStr">
        <is>
          <t>ID</t>
        </is>
      </c>
      <c r="B4" s="200" t="inlineStr">
        <is>
          <t>Релиз</t>
        </is>
      </c>
      <c r="C4" s="200" t="inlineStr">
        <is>
          <t>Спр. от</t>
        </is>
      </c>
      <c r="D4" s="200" t="inlineStr">
        <is>
          <t>Спр. до</t>
        </is>
      </c>
      <c r="E4" s="200" t="inlineStr">
        <is>
          <t>Дата</t>
        </is>
      </c>
      <c r="F4" s="200" t="inlineStr">
        <is>
          <t>Статус</t>
        </is>
      </c>
      <c r="G4" s="200" t="inlineStr">
        <is>
          <t>Стори</t>
        </is>
      </c>
      <c r="H4" s="200" t="inlineStr">
        <is>
          <t>Задач</t>
        </is>
      </c>
      <c r="I4" s="200" t="inlineStr">
        <is>
          <t>Дефектов</t>
        </is>
      </c>
      <c r="J4" s="200" t="inlineStr">
        <is>
          <t>Объём (дн)</t>
        </is>
      </c>
      <c r="K4" s="200" t="inlineStr">
        <is>
          <t>Вех (шт)</t>
        </is>
      </c>
    </row>
    <row r="5">
      <c r="A5" s="201" t="inlineStr">
        <is>
          <t>R-1</t>
        </is>
      </c>
      <c r="B5" s="202" t="inlineStr">
        <is>
          <t>Внутренний релиз (MVP)</t>
        </is>
      </c>
      <c r="C5" s="201" t="n">
        <v>1</v>
      </c>
      <c r="D5" s="201" t="n">
        <v>2</v>
      </c>
      <c r="E5" s="203">
        <f>SUMIF('Дорожная карта'!$A$6:$A$16,D5,'Дорожная карта'!$D$6:$D$16)</f>
        <v/>
      </c>
      <c r="F5" s="204" t="inlineStr">
        <is>
          <t>Готово</t>
        </is>
      </c>
      <c r="G5" s="205">
        <f>COUNTIFS(Бэклог!$U$5:$U$44,"История",Бэклог!$M$5:$M$44,"&gt;="&amp;C5,Бэклог!$M$5:$M$44,"&lt;="&amp;D5)</f>
        <v/>
      </c>
      <c r="H5" s="205">
        <f>COUNTIFS(Бэклог!$U$5:$U$44,"Задача",Бэклог!$M$5:$M$44,"&gt;="&amp;C5,Бэклог!$M$5:$M$44,"&lt;="&amp;D5)</f>
        <v/>
      </c>
      <c r="I5" s="205">
        <f>COUNTIFS(Баги!$D$5:$D$64,"&gt;="&amp;C5,Баги!$D$5:$D$64,"&lt;="&amp;D5)</f>
        <v/>
      </c>
      <c r="J5" s="206">
        <f>SUMIFS(Бэклог!$E$5:$E$44,Бэклог!$M$5:$M$44,"&gt;="&amp;C5,Бэклог!$M$5:$M$44,"&lt;="&amp;D5)</f>
        <v/>
      </c>
      <c r="K5" s="209">
        <f>COUNTIF(Вехи!$G$5:$G$9,A5)</f>
        <v/>
      </c>
    </row>
    <row r="6">
      <c r="A6" s="201" t="inlineStr">
        <is>
          <t>R-2</t>
        </is>
      </c>
      <c r="B6" s="202" t="inlineStr">
        <is>
          <t>Бета для площадок</t>
        </is>
      </c>
      <c r="C6" s="201" t="n">
        <v>3</v>
      </c>
      <c r="D6" s="201" t="n">
        <v>4</v>
      </c>
      <c r="E6" s="203">
        <f>SUMIF('Дорожная карта'!$A$6:$A$16,D6,'Дорожная карта'!$D$6:$D$16)</f>
        <v/>
      </c>
      <c r="F6" s="204" t="inlineStr">
        <is>
          <t>В работе</t>
        </is>
      </c>
      <c r="G6" s="205">
        <f>COUNTIFS(Бэклог!$U$5:$U$44,"История",Бэклог!$M$5:$M$44,"&gt;="&amp;C6,Бэклог!$M$5:$M$44,"&lt;="&amp;D6)</f>
        <v/>
      </c>
      <c r="H6" s="205">
        <f>COUNTIFS(Бэклог!$U$5:$U$44,"Задача",Бэклог!$M$5:$M$44,"&gt;="&amp;C6,Бэклог!$M$5:$M$44,"&lt;="&amp;D6)</f>
        <v/>
      </c>
      <c r="I6" s="205">
        <f>COUNTIFS(Баги!$D$5:$D$64,"&gt;="&amp;C6,Баги!$D$5:$D$64,"&lt;="&amp;D6)</f>
        <v/>
      </c>
      <c r="J6" s="206">
        <f>SUMIFS(Бэклог!$E$5:$E$44,Бэклог!$M$5:$M$44,"&gt;="&amp;C6,Бэклог!$M$5:$M$44,"&lt;="&amp;D6)</f>
        <v/>
      </c>
      <c r="K6" s="209">
        <f>COUNTIF(Вехи!$G$5:$G$9,A6)</f>
        <v/>
      </c>
    </row>
    <row r="7" ht="27.6" customHeight="1">
      <c r="A7" s="201" t="inlineStr">
        <is>
          <t>R-3</t>
        </is>
      </c>
      <c r="B7" s="202" t="inlineStr">
        <is>
          <t>Публичный релиз 1.0</t>
        </is>
      </c>
      <c r="C7" s="201" t="n">
        <v>5</v>
      </c>
      <c r="D7" s="201" t="n">
        <v>6</v>
      </c>
      <c r="E7" s="203">
        <f>SUMIF('Дорожная карта'!$A$6:$A$16,D7,'Дорожная карта'!$D$6:$D$16)</f>
        <v/>
      </c>
      <c r="F7" s="204" t="inlineStr">
        <is>
          <t>Планируется</t>
        </is>
      </c>
      <c r="G7" s="205">
        <f>COUNTIFS(Бэклог!$U$5:$U$44,"История",Бэклог!$M$5:$M$44,"&gt;="&amp;C7,Бэклог!$M$5:$M$44,"&lt;="&amp;D7)</f>
        <v/>
      </c>
      <c r="H7" s="205">
        <f>COUNTIFS(Бэклог!$U$5:$U$44,"Задача",Бэклог!$M$5:$M$44,"&gt;="&amp;C7,Бэклог!$M$5:$M$44,"&lt;="&amp;D7)</f>
        <v/>
      </c>
      <c r="I7" s="205">
        <f>COUNTIFS(Баги!$D$5:$D$64,"&gt;="&amp;C7,Баги!$D$5:$D$64,"&lt;="&amp;D7)</f>
        <v/>
      </c>
      <c r="J7" s="206">
        <f>SUMIFS(Бэклог!$E$5:$E$44,Бэклог!$M$5:$M$44,"&gt;="&amp;C7,Бэклог!$M$5:$M$44,"&lt;="&amp;D7)</f>
        <v/>
      </c>
      <c r="K7" s="209">
        <f>COUNTIF(Вехи!$G$5:$G$9,A7)</f>
        <v/>
      </c>
    </row>
    <row r="8" ht="27.6" customHeight="1">
      <c r="A8" s="201" t="inlineStr">
        <is>
          <t>R-4</t>
        </is>
      </c>
      <c r="B8" s="202" t="inlineStr">
        <is>
          <t>Релиз 1.1 — уведомления</t>
        </is>
      </c>
      <c r="C8" s="201" t="n">
        <v>7</v>
      </c>
      <c r="D8" s="201" t="n">
        <v>8</v>
      </c>
      <c r="E8" s="203">
        <f>SUMIF('Дорожная карта'!$A$6:$A$16,D8,'Дорожная карта'!$D$6:$D$16)</f>
        <v/>
      </c>
      <c r="F8" s="204" t="inlineStr">
        <is>
          <t>Планируется</t>
        </is>
      </c>
      <c r="G8" s="205">
        <f>COUNTIFS(Бэклог!$U$5:$U$44,"История",Бэклог!$M$5:$M$44,"&gt;="&amp;C8,Бэклог!$M$5:$M$44,"&lt;="&amp;D8)</f>
        <v/>
      </c>
      <c r="H8" s="205">
        <f>COUNTIFS(Бэклог!$U$5:$U$44,"Задача",Бэклог!$M$5:$M$44,"&gt;="&amp;C8,Бэклог!$M$5:$M$44,"&lt;="&amp;D8)</f>
        <v/>
      </c>
      <c r="I8" s="205">
        <f>COUNTIFS(Баги!$D$5:$D$64,"&gt;="&amp;C8,Баги!$D$5:$D$64,"&lt;="&amp;D8)</f>
        <v/>
      </c>
      <c r="J8" s="206">
        <f>SUMIFS(Бэклог!$E$5:$E$44,Бэклог!$M$5:$M$44,"&gt;="&amp;C8,Бэклог!$M$5:$M$44,"&lt;="&amp;D8)</f>
        <v/>
      </c>
      <c r="K8" s="209">
        <f>COUNTIF(Вехи!$G$5:$G$9,A8)</f>
        <v/>
      </c>
    </row>
    <row r="9" ht="27.6" customHeight="1">
      <c r="A9" s="201" t="inlineStr">
        <is>
          <t>R-5</t>
        </is>
      </c>
      <c r="B9" s="202" t="inlineStr">
        <is>
          <t>GA / Стабилизация</t>
        </is>
      </c>
      <c r="C9" s="201" t="n">
        <v>9</v>
      </c>
      <c r="D9" s="201" t="n">
        <v>10</v>
      </c>
      <c r="E9" s="203">
        <f>SUMIF('Дорожная карта'!$A$6:$A$16,D9,'Дорожная карта'!$D$6:$D$16)</f>
        <v/>
      </c>
      <c r="F9" s="204" t="inlineStr">
        <is>
          <t>Планируется</t>
        </is>
      </c>
      <c r="G9" s="205">
        <f>COUNTIFS(Бэклог!$U$5:$U$44,"История",Бэклог!$M$5:$M$44,"&gt;="&amp;C9,Бэклог!$M$5:$M$44,"&lt;="&amp;D9)</f>
        <v/>
      </c>
      <c r="H9" s="205">
        <f>COUNTIFS(Бэклог!$U$5:$U$44,"Задача",Бэклог!$M$5:$M$44,"&gt;="&amp;C9,Бэклог!$M$5:$M$44,"&lt;="&amp;D9)</f>
        <v/>
      </c>
      <c r="I9" s="205">
        <f>COUNTIFS(Баги!$D$5:$D$64,"&gt;="&amp;C9,Баги!$D$5:$D$64,"&lt;="&amp;D9)</f>
        <v/>
      </c>
      <c r="J9" s="206">
        <f>SUMIFS(Бэклог!$E$5:$E$44,Бэклог!$M$5:$M$44,"&gt;="&amp;C9,Бэклог!$M$5:$M$44,"&lt;="&amp;D9)</f>
        <v/>
      </c>
      <c r="K9" s="209">
        <f>COUNTIF(Вехи!$G$5:$G$9,A9)</f>
        <v/>
      </c>
    </row>
  </sheetData>
  <dataValidations count="1">
    <dataValidation sqref="F5 F6 F7 F8 F9" showDropDown="0" showInputMessage="0" showErrorMessage="0" allowBlank="1" type="list">
      <formula1>"Планируется,В работе,Готово,Задержка"</formula1>
    </dataValidation>
  </dataValidation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activeCell="J18" sqref="J18"/>
      <selection pane="bottomLeft" activeCell="J18" sqref="J18"/>
    </sheetView>
  </sheetViews>
  <sheetFormatPr baseColWidth="8" defaultRowHeight="14.4"/>
  <cols>
    <col width="7" customWidth="1" min="1" max="1"/>
    <col width="26" customWidth="1" min="2" max="2"/>
    <col width="8" customWidth="1" min="3" max="3"/>
    <col width="14" customWidth="1" min="4" max="4"/>
    <col width="13" customWidth="1" min="5" max="5"/>
    <col width="15" customWidth="1" min="6" max="6"/>
    <col width="9" customWidth="1" min="7" max="7"/>
  </cols>
  <sheetData>
    <row r="1" ht="17.4" customHeight="1">
      <c r="A1" s="198" t="inlineStr">
        <is>
          <t>Вехи (контрольные точки)</t>
        </is>
      </c>
    </row>
    <row r="2">
      <c r="A2" s="199" t="inlineStr">
        <is>
          <t>Ключевые контрольные точки проекта. Дата = конец спринта.</t>
        </is>
      </c>
    </row>
    <row r="4" ht="27.6" customHeight="1">
      <c r="A4" s="200" t="inlineStr">
        <is>
          <t>ID</t>
        </is>
      </c>
      <c r="B4" s="200" t="inlineStr">
        <is>
          <t>Веха</t>
        </is>
      </c>
      <c r="C4" s="200" t="inlineStr">
        <is>
          <t>Спринт</t>
        </is>
      </c>
      <c r="D4" s="200" t="inlineStr">
        <is>
          <t>Дата</t>
        </is>
      </c>
      <c r="E4" s="200" t="inlineStr">
        <is>
          <t>Статус</t>
        </is>
      </c>
      <c r="F4" s="200" t="inlineStr">
        <is>
          <t>Ответственный</t>
        </is>
      </c>
      <c r="G4" s="200" t="inlineStr">
        <is>
          <t>Релиз</t>
        </is>
      </c>
    </row>
    <row r="5">
      <c r="A5" s="201" t="inlineStr">
        <is>
          <t>V-1</t>
        </is>
      </c>
      <c r="B5" s="202" t="inlineStr">
        <is>
          <t>Старт проекта</t>
        </is>
      </c>
      <c r="C5" s="201" t="n">
        <v>1</v>
      </c>
      <c r="D5" s="203">
        <f>SUMIF('Дорожная карта'!$A$6:$A$16,C5,'Дорожная карта'!$D$6:$D$16)</f>
        <v/>
      </c>
      <c r="E5" s="201" t="inlineStr">
        <is>
          <t>Готово</t>
        </is>
      </c>
      <c r="F5" s="201" t="inlineStr">
        <is>
          <t>Иванов А.</t>
        </is>
      </c>
      <c r="G5" s="201" t="inlineStr">
        <is>
          <t>R-1</t>
        </is>
      </c>
    </row>
    <row r="6">
      <c r="A6" s="201" t="inlineStr">
        <is>
          <t>V-2</t>
        </is>
      </c>
      <c r="B6" s="202" t="inlineStr">
        <is>
          <t>Дизайн утверждён</t>
        </is>
      </c>
      <c r="C6" s="201" t="n">
        <v>2</v>
      </c>
      <c r="D6" s="203">
        <f>SUMIF('Дорожная карта'!$A$6:$A$16,C6,'Дорожная карта'!$D$6:$D$16)</f>
        <v/>
      </c>
      <c r="E6" s="201" t="inlineStr">
        <is>
          <t>Готово</t>
        </is>
      </c>
      <c r="F6" s="201" t="inlineStr">
        <is>
          <t>Петрова М.</t>
        </is>
      </c>
      <c r="G6" s="201" t="inlineStr">
        <is>
          <t>R-1</t>
        </is>
      </c>
    </row>
    <row r="7" ht="27.6" customHeight="1">
      <c r="A7" s="201" t="inlineStr">
        <is>
          <t>V-3</t>
        </is>
      </c>
      <c r="B7" s="202" t="inlineStr">
        <is>
          <t>Feature freeze</t>
        </is>
      </c>
      <c r="C7" s="201" t="n">
        <v>5</v>
      </c>
      <c r="D7" s="203">
        <f>SUMIF('Дорожная карта'!$A$6:$A$16,C7,'Дорожная карта'!$D$6:$D$16)</f>
        <v/>
      </c>
      <c r="E7" s="201" t="inlineStr">
        <is>
          <t>Планируется</t>
        </is>
      </c>
      <c r="F7" s="201" t="inlineStr">
        <is>
          <t>Кузнецов Д.</t>
        </is>
      </c>
      <c r="G7" s="201" t="inlineStr">
        <is>
          <t>R-3</t>
        </is>
      </c>
    </row>
    <row r="8" ht="27.6" customHeight="1">
      <c r="A8" s="201" t="inlineStr">
        <is>
          <t>V-4</t>
        </is>
      </c>
      <c r="B8" s="202" t="inlineStr">
        <is>
          <t>Code freeze</t>
        </is>
      </c>
      <c r="C8" s="201" t="n">
        <v>6</v>
      </c>
      <c r="D8" s="203">
        <f>SUMIF('Дорожная карта'!$A$6:$A$16,C8,'Дорожная карта'!$D$6:$D$16)</f>
        <v/>
      </c>
      <c r="E8" s="201" t="inlineStr">
        <is>
          <t>Планируется</t>
        </is>
      </c>
      <c r="F8" s="201" t="inlineStr">
        <is>
          <t>Иванов А.</t>
        </is>
      </c>
      <c r="G8" s="201" t="inlineStr">
        <is>
          <t>R-3</t>
        </is>
      </c>
    </row>
    <row r="9" ht="27.6" customHeight="1">
      <c r="A9" s="201" t="inlineStr">
        <is>
          <t>V-5</t>
        </is>
      </c>
      <c r="B9" s="202" t="inlineStr">
        <is>
          <t>Go-live / запуск</t>
        </is>
      </c>
      <c r="C9" s="201" t="n">
        <v>7</v>
      </c>
      <c r="D9" s="203">
        <f>SUMIF('Дорожная карта'!$A$6:$A$16,C9,'Дорожная карта'!$D$6:$D$16)</f>
        <v/>
      </c>
      <c r="E9" s="201" t="inlineStr">
        <is>
          <t>Планируется</t>
        </is>
      </c>
      <c r="F9" s="201" t="inlineStr">
        <is>
          <t>Сидоров К.</t>
        </is>
      </c>
      <c r="G9" s="201" t="inlineStr">
        <is>
          <t>R-4</t>
        </is>
      </c>
    </row>
    <row r="11" ht="15.6" customHeight="1">
      <c r="A11" s="207" t="inlineStr">
        <is>
          <t>Статус вех</t>
        </is>
      </c>
    </row>
    <row r="12" ht="41.4" customHeight="1">
      <c r="A12" s="208" t="inlineStr">
        <is>
          <t>Планируется</t>
        </is>
      </c>
      <c r="B12" s="209">
        <f>COUNTIF(E5:E9,"Планируется")</f>
        <v/>
      </c>
    </row>
    <row r="13" ht="41.4" customHeight="1">
      <c r="A13" s="208" t="inlineStr">
        <is>
          <t>В работе</t>
        </is>
      </c>
      <c r="B13" s="209">
        <f>COUNTIF(E5:E9,"В работе")</f>
        <v/>
      </c>
    </row>
    <row r="14" ht="27.6" customHeight="1">
      <c r="A14" s="208" t="inlineStr">
        <is>
          <t>Готово</t>
        </is>
      </c>
      <c r="B14" s="209">
        <f>COUNTIF(E5:E9,"Готово")</f>
        <v/>
      </c>
    </row>
    <row r="15" ht="27.6" customHeight="1">
      <c r="A15" s="208" t="inlineStr">
        <is>
          <t>Задержка</t>
        </is>
      </c>
      <c r="B15" s="209">
        <f>COUNTIF(E5:E9,"Задержка")</f>
        <v/>
      </c>
    </row>
  </sheetData>
  <dataValidations count="2">
    <dataValidation sqref="E5 E6 E7 E8 E9" showDropDown="0" showInputMessage="0" showErrorMessage="0" allowBlank="1" type="list">
      <formula1>"Планируется,В работе,Готово,Задержка"</formula1>
    </dataValidation>
    <dataValidation sqref="G5 G6 G7 G8 G9" showDropDown="0" showInputMessage="0" showErrorMessage="0" allowBlank="1" type="list">
      <formula1>"R-1,R-2,R-3,R-4,R-5"</formula1>
    </dataValidation>
  </dataValidation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K39"/>
  <sheetViews>
    <sheetView showGridLines="0" topLeftCell="C1" workbookViewId="0">
      <pane ySplit="4" topLeftCell="A5" activePane="bottomLeft" state="frozen"/>
      <selection pane="bottomLeft" activeCell="A1" sqref="A1"/>
    </sheetView>
  </sheetViews>
  <sheetFormatPr baseColWidth="8" defaultRowHeight="14.4"/>
  <cols>
    <col width="16.6640625" customWidth="1" min="1" max="1"/>
    <col width="30" customWidth="1" min="2" max="2"/>
    <col width="12" customWidth="1" min="3" max="3"/>
    <col width="14" customWidth="1" min="4" max="4"/>
    <col width="10" customWidth="1" min="5" max="5"/>
    <col width="12" customWidth="1" min="6" max="6"/>
    <col width="11" customWidth="1" min="7" max="7"/>
    <col width="8" customWidth="1" min="8" max="8"/>
    <col width="11" customWidth="1" min="9" max="9"/>
    <col width="9" customWidth="1" min="10" max="10"/>
    <col width="10.77734375" customWidth="1" min="11" max="11"/>
  </cols>
  <sheetData>
    <row r="1" ht="17.4" customHeight="1">
      <c r="A1" s="198" t="inlineStr">
        <is>
          <t>Технический долг</t>
        </is>
      </c>
    </row>
    <row r="2">
      <c r="A2" s="199" t="inlineStr">
        <is>
          <t>Реестр техдолга: область, тип, влияние, оценка, план спринта, статус.</t>
        </is>
      </c>
    </row>
    <row r="4" ht="41.4" customHeight="1">
      <c r="A4" s="200" t="inlineStr">
        <is>
          <t>ID</t>
        </is>
      </c>
      <c r="B4" s="200" t="inlineStr">
        <is>
          <t>Описание</t>
        </is>
      </c>
      <c r="C4" s="200" t="inlineStr">
        <is>
          <t>Область</t>
        </is>
      </c>
      <c r="D4" s="200" t="inlineStr">
        <is>
          <t>Тип</t>
        </is>
      </c>
      <c r="E4" s="200" t="inlineStr">
        <is>
          <t>Влияние</t>
        </is>
      </c>
      <c r="F4" s="200" t="inlineStr">
        <is>
          <t>Оценка (дн)</t>
        </is>
      </c>
      <c r="G4" s="200" t="inlineStr">
        <is>
          <t>Приоритет</t>
        </is>
      </c>
      <c r="H4" s="200" t="inlineStr">
        <is>
          <t>Спринт</t>
        </is>
      </c>
      <c r="I4" s="200" t="inlineStr">
        <is>
          <t>Статус</t>
        </is>
      </c>
      <c r="J4" s="200" t="inlineStr">
        <is>
          <t>Спринт
создан</t>
        </is>
      </c>
      <c r="K4" s="200" t="inlineStr">
        <is>
          <t>Спринт
погашен</t>
        </is>
      </c>
    </row>
    <row r="5" ht="27.6" customHeight="1">
      <c r="A5" s="201" t="inlineStr">
        <is>
          <t>TD-1</t>
        </is>
      </c>
      <c r="B5" s="202" t="inlineStr">
        <is>
          <t>Рефакторинг модуля авторизации</t>
        </is>
      </c>
      <c r="C5" s="201" t="inlineStr">
        <is>
          <t>Auth</t>
        </is>
      </c>
      <c r="D5" s="201" t="inlineStr">
        <is>
          <t>Код</t>
        </is>
      </c>
      <c r="E5" s="201" t="inlineStr">
        <is>
          <t>High</t>
        </is>
      </c>
      <c r="F5" s="210" t="n">
        <v>3</v>
      </c>
      <c r="G5" s="201" t="inlineStr">
        <is>
          <t>High</t>
        </is>
      </c>
      <c r="H5" s="201" t="n">
        <v>4</v>
      </c>
      <c r="I5" s="201" t="inlineStr">
        <is>
          <t>Закрыт</t>
        </is>
      </c>
      <c r="J5" s="212" t="n">
        <v>1</v>
      </c>
      <c r="K5" s="212" t="n">
        <v>3</v>
      </c>
    </row>
    <row r="6" ht="27.6" customHeight="1">
      <c r="A6" s="201" t="inlineStr">
        <is>
          <t>TD-2</t>
        </is>
      </c>
      <c r="B6" s="202" t="inlineStr">
        <is>
          <t>Автотесты оформления заказа</t>
        </is>
      </c>
      <c r="C6" s="201" t="inlineStr">
        <is>
          <t>Checkout</t>
        </is>
      </c>
      <c r="D6" s="201" t="inlineStr">
        <is>
          <t>Тесты</t>
        </is>
      </c>
      <c r="E6" s="201" t="inlineStr">
        <is>
          <t>High</t>
        </is>
      </c>
      <c r="F6" s="210" t="n">
        <v>2</v>
      </c>
      <c r="G6" s="201" t="inlineStr">
        <is>
          <t>High</t>
        </is>
      </c>
      <c r="H6" s="201" t="n">
        <v>3</v>
      </c>
      <c r="I6" s="201" t="inlineStr">
        <is>
          <t>Закрыт</t>
        </is>
      </c>
      <c r="J6" s="212" t="n">
        <v>2</v>
      </c>
      <c r="K6" s="212" t="n">
        <v>4</v>
      </c>
    </row>
    <row r="7">
      <c r="A7" s="201" t="inlineStr">
        <is>
          <t>TD-3</t>
        </is>
      </c>
      <c r="B7" s="202" t="inlineStr">
        <is>
          <t>Убрать дубли в API заказов</t>
        </is>
      </c>
      <c r="C7" s="201" t="inlineStr">
        <is>
          <t>API</t>
        </is>
      </c>
      <c r="D7" s="201" t="inlineStr">
        <is>
          <t>Архитектура</t>
        </is>
      </c>
      <c r="E7" s="201" t="inlineStr">
        <is>
          <t>Medium</t>
        </is>
      </c>
      <c r="F7" s="210" t="n">
        <v>2</v>
      </c>
      <c r="G7" s="201" t="inlineStr">
        <is>
          <t>Medium</t>
        </is>
      </c>
      <c r="H7" s="201" t="n">
        <v>5</v>
      </c>
      <c r="I7" s="201" t="inlineStr">
        <is>
          <t>Открыт</t>
        </is>
      </c>
      <c r="J7" s="212" t="n">
        <v>3</v>
      </c>
      <c r="K7" s="212" t="n"/>
    </row>
    <row r="8" ht="27.6" customHeight="1">
      <c r="A8" s="201" t="inlineStr">
        <is>
          <t>TD-4</t>
        </is>
      </c>
      <c r="B8" s="202" t="inlineStr">
        <is>
          <t>Обновить документацию API</t>
        </is>
      </c>
      <c r="C8" s="201" t="inlineStr">
        <is>
          <t>Docs</t>
        </is>
      </c>
      <c r="D8" s="201" t="inlineStr">
        <is>
          <t>Документация</t>
        </is>
      </c>
      <c r="E8" s="201" t="inlineStr">
        <is>
          <t>Low</t>
        </is>
      </c>
      <c r="F8" s="210" t="n">
        <v>1</v>
      </c>
      <c r="G8" s="201" t="inlineStr">
        <is>
          <t>Low</t>
        </is>
      </c>
      <c r="H8" s="201" t="n">
        <v>6</v>
      </c>
      <c r="I8" s="201" t="inlineStr">
        <is>
          <t>Открыт</t>
        </is>
      </c>
      <c r="J8" s="212" t="n">
        <v>4</v>
      </c>
      <c r="K8" s="212" t="n"/>
    </row>
    <row r="9" ht="27.6" customHeight="1">
      <c r="A9" s="201" t="inlineStr">
        <is>
          <t>TD-5</t>
        </is>
      </c>
      <c r="B9" s="202" t="inlineStr">
        <is>
          <t>Мониторинг и алерты платежей</t>
        </is>
      </c>
      <c r="C9" s="201" t="inlineStr">
        <is>
          <t>Payments</t>
        </is>
      </c>
      <c r="D9" s="201" t="inlineStr">
        <is>
          <t>Инфраструктура</t>
        </is>
      </c>
      <c r="E9" s="201" t="inlineStr">
        <is>
          <t>Medium</t>
        </is>
      </c>
      <c r="F9" s="210" t="n">
        <v>2</v>
      </c>
      <c r="G9" s="201" t="inlineStr">
        <is>
          <t>Medium</t>
        </is>
      </c>
      <c r="H9" s="201" t="n">
        <v>5</v>
      </c>
      <c r="I9" s="201" t="inlineStr">
        <is>
          <t>В работе</t>
        </is>
      </c>
      <c r="J9" s="212" t="n">
        <v>3</v>
      </c>
      <c r="K9" s="212" t="n"/>
    </row>
    <row r="10">
      <c r="A10" s="201" t="inlineStr">
        <is>
          <t>TD-6</t>
        </is>
      </c>
      <c r="B10" s="202" t="inlineStr">
        <is>
          <t>Оптимизация запросов БД</t>
        </is>
      </c>
      <c r="C10" s="201" t="inlineStr">
        <is>
          <t>DB</t>
        </is>
      </c>
      <c r="D10" s="201" t="inlineStr">
        <is>
          <t>Код</t>
        </is>
      </c>
      <c r="E10" s="201" t="inlineStr">
        <is>
          <t>Medium</t>
        </is>
      </c>
      <c r="F10" s="210" t="n">
        <v>3</v>
      </c>
      <c r="G10" s="201" t="inlineStr">
        <is>
          <t>Medium</t>
        </is>
      </c>
      <c r="H10" s="201" t="n">
        <v>7</v>
      </c>
      <c r="I10" s="201" t="inlineStr">
        <is>
          <t>Открыт</t>
        </is>
      </c>
      <c r="J10" s="212" t="n">
        <v>5</v>
      </c>
      <c r="K10" s="212" t="n"/>
    </row>
    <row r="12" ht="15.6" customHeight="1">
      <c r="A12" s="207" t="inlineStr">
        <is>
          <t>По типу</t>
        </is>
      </c>
    </row>
    <row r="13">
      <c r="A13" s="200" t="inlineStr">
        <is>
          <t>Тип</t>
        </is>
      </c>
      <c r="B13" s="200" t="inlineStr">
        <is>
          <t>Оценка (дн)</t>
        </is>
      </c>
      <c r="C13" s="200" t="inlineStr">
        <is>
          <t>Кол-во</t>
        </is>
      </c>
    </row>
    <row r="14" ht="27.6" customHeight="1">
      <c r="A14" s="208" t="inlineStr">
        <is>
          <t>Архитектура</t>
        </is>
      </c>
      <c r="B14" s="206">
        <f>SUMIF($D$5:$D$10,A14,$F$5:$F$10)</f>
        <v/>
      </c>
      <c r="C14" s="205">
        <f>COUNTIF($D$5:$D$10,A14)</f>
        <v/>
      </c>
    </row>
    <row r="15">
      <c r="A15" s="208" t="inlineStr">
        <is>
          <t>Код</t>
        </is>
      </c>
      <c r="B15" s="206">
        <f>SUMIF($D$5:$D$10,A15,$F$5:$F$10)</f>
        <v/>
      </c>
      <c r="C15" s="205">
        <f>COUNTIF($D$5:$D$10,A15)</f>
        <v/>
      </c>
    </row>
    <row r="16">
      <c r="A16" s="208" t="inlineStr">
        <is>
          <t>Тесты</t>
        </is>
      </c>
      <c r="B16" s="206">
        <f>SUMIF($D$5:$D$10,A16,$F$5:$F$10)</f>
        <v/>
      </c>
      <c r="C16" s="205">
        <f>COUNTIF($D$5:$D$10,A16)</f>
        <v/>
      </c>
    </row>
    <row r="17">
      <c r="A17" s="208" t="inlineStr">
        <is>
          <t>Инфраструктура</t>
        </is>
      </c>
      <c r="B17" s="206">
        <f>SUMIF($D$5:$D$10,A17,$F$5:$F$10)</f>
        <v/>
      </c>
      <c r="C17" s="205">
        <f>COUNTIF($D$5:$D$10,A17)</f>
        <v/>
      </c>
    </row>
    <row r="18">
      <c r="A18" s="208" t="inlineStr">
        <is>
          <t>Документация</t>
        </is>
      </c>
      <c r="B18" s="206">
        <f>SUMIF($D$5:$D$10,A18,$F$5:$F$10)</f>
        <v/>
      </c>
      <c r="C18" s="205">
        <f>COUNTIF($D$5:$D$10,A18)</f>
        <v/>
      </c>
    </row>
    <row r="20" ht="15.6" customHeight="1">
      <c r="A20" s="207" t="inlineStr">
        <is>
          <t>По статусу</t>
        </is>
      </c>
    </row>
    <row r="21">
      <c r="A21" s="200" t="inlineStr">
        <is>
          <t>Статус</t>
        </is>
      </c>
      <c r="B21" s="200" t="inlineStr">
        <is>
          <t>Кол-во</t>
        </is>
      </c>
    </row>
    <row r="22">
      <c r="A22" s="208" t="inlineStr">
        <is>
          <t>Открыт</t>
        </is>
      </c>
      <c r="B22" s="205">
        <f>COUNTIF($I$5:$I$10,A22)</f>
        <v/>
      </c>
    </row>
    <row r="23">
      <c r="A23" s="208" t="inlineStr">
        <is>
          <t>В работе</t>
        </is>
      </c>
      <c r="B23" s="205">
        <f>COUNTIF($I$5:$I$10,A23)</f>
        <v/>
      </c>
    </row>
    <row r="24">
      <c r="A24" s="208" t="inlineStr">
        <is>
          <t>Закрыт</t>
        </is>
      </c>
      <c r="B24" s="205">
        <f>COUNTIF($I$5:$I$10,A24)</f>
        <v/>
      </c>
    </row>
    <row r="27" ht="15.6" customHeight="1">
      <c r="A27" s="207" t="inlineStr">
        <is>
          <t>Тренд техдолга (создано / погашено по спринтам)</t>
        </is>
      </c>
    </row>
    <row r="28" ht="27.6" customHeight="1">
      <c r="A28" s="200" t="inlineStr">
        <is>
          <t>Спринт</t>
        </is>
      </c>
      <c r="B28" s="200" t="inlineStr">
        <is>
          <t>Создано</t>
        </is>
      </c>
      <c r="C28" s="200" t="inlineStr">
        <is>
          <t>Погашено</t>
        </is>
      </c>
      <c r="D28" s="200" t="inlineStr">
        <is>
          <t>Открыто (накопит.)</t>
        </is>
      </c>
    </row>
    <row r="29">
      <c r="A29" s="208" t="n">
        <v>1</v>
      </c>
      <c r="B29" s="205">
        <f>COUNTIF($J$5:$J$10,A29)</f>
        <v/>
      </c>
      <c r="C29" s="205">
        <f>COUNTIF($K$5:$K$10,A29)</f>
        <v/>
      </c>
      <c r="D29" s="209">
        <f>B29-C29</f>
        <v/>
      </c>
    </row>
    <row r="30">
      <c r="A30" s="208" t="n">
        <v>2</v>
      </c>
      <c r="B30" s="205">
        <f>COUNTIF($J$5:$J$10,A30)</f>
        <v/>
      </c>
      <c r="C30" s="205">
        <f>COUNTIF($K$5:$K$10,A30)</f>
        <v/>
      </c>
      <c r="D30" s="209">
        <f>D29+B30-C30</f>
        <v/>
      </c>
    </row>
    <row r="31">
      <c r="A31" s="208" t="n">
        <v>3</v>
      </c>
      <c r="B31" s="205">
        <f>COUNTIF($J$5:$J$10,A31)</f>
        <v/>
      </c>
      <c r="C31" s="205">
        <f>COUNTIF($K$5:$K$10,A31)</f>
        <v/>
      </c>
      <c r="D31" s="209">
        <f>D30+B31-C31</f>
        <v/>
      </c>
    </row>
    <row r="32">
      <c r="A32" s="208" t="n">
        <v>4</v>
      </c>
      <c r="B32" s="205">
        <f>COUNTIF($J$5:$J$10,A32)</f>
        <v/>
      </c>
      <c r="C32" s="205">
        <f>COUNTIF($K$5:$K$10,A32)</f>
        <v/>
      </c>
      <c r="D32" s="209">
        <f>D31+B32-C32</f>
        <v/>
      </c>
    </row>
    <row r="33">
      <c r="A33" s="208" t="n">
        <v>5</v>
      </c>
      <c r="B33" s="205">
        <f>COUNTIF($J$5:$J$10,A33)</f>
        <v/>
      </c>
      <c r="C33" s="205">
        <f>COUNTIF($K$5:$K$10,A33)</f>
        <v/>
      </c>
      <c r="D33" s="209">
        <f>D32+B33-C33</f>
        <v/>
      </c>
    </row>
    <row r="34">
      <c r="A34" s="208" t="n">
        <v>6</v>
      </c>
      <c r="B34" s="205">
        <f>COUNTIF($J$5:$J$10,A34)</f>
        <v/>
      </c>
      <c r="C34" s="205">
        <f>COUNTIF($K$5:$K$10,A34)</f>
        <v/>
      </c>
      <c r="D34" s="209">
        <f>D33+B34-C34</f>
        <v/>
      </c>
    </row>
    <row r="35">
      <c r="A35" s="208" t="n">
        <v>7</v>
      </c>
      <c r="B35" s="205">
        <f>COUNTIF($J$5:$J$10,A35)</f>
        <v/>
      </c>
      <c r="C35" s="205">
        <f>COUNTIF($K$5:$K$10,A35)</f>
        <v/>
      </c>
      <c r="D35" s="209">
        <f>D34+B35-C35</f>
        <v/>
      </c>
    </row>
    <row r="36">
      <c r="A36" s="208" t="n">
        <v>8</v>
      </c>
      <c r="B36" s="205">
        <f>COUNTIF($J$5:$J$10,A36)</f>
        <v/>
      </c>
      <c r="C36" s="205">
        <f>COUNTIF($K$5:$K$10,A36)</f>
        <v/>
      </c>
      <c r="D36" s="209">
        <f>D35+B36-C36</f>
        <v/>
      </c>
    </row>
    <row r="37">
      <c r="A37" s="208" t="n">
        <v>9</v>
      </c>
      <c r="B37" s="205">
        <f>COUNTIF($J$5:$J$10,A37)</f>
        <v/>
      </c>
      <c r="C37" s="205">
        <f>COUNTIF($K$5:$K$10,A37)</f>
        <v/>
      </c>
      <c r="D37" s="209">
        <f>D36+B37-C37</f>
        <v/>
      </c>
    </row>
    <row r="38">
      <c r="A38" s="208" t="n">
        <v>10</v>
      </c>
      <c r="B38" s="205">
        <f>COUNTIF($J$5:$J$10,A38)</f>
        <v/>
      </c>
      <c r="C38" s="205">
        <f>COUNTIF($K$5:$K$10,A38)</f>
        <v/>
      </c>
      <c r="D38" s="209">
        <f>D37+B38-C38</f>
        <v/>
      </c>
    </row>
    <row r="39">
      <c r="A39" s="208" t="n">
        <v>11</v>
      </c>
      <c r="B39" s="205">
        <f>COUNTIF($J$5:$J$10,A39)</f>
        <v/>
      </c>
      <c r="C39" s="205">
        <f>COUNTIF($K$5:$K$10,A39)</f>
        <v/>
      </c>
      <c r="D39" s="209">
        <f>D38+B39-C39</f>
        <v/>
      </c>
    </row>
  </sheetData>
  <dataValidations count="3">
    <dataValidation sqref="D5 D6 D7 D8 D9 D10" showDropDown="0" showInputMessage="0" showErrorMessage="0" allowBlank="1" type="list">
      <formula1>"Архитектура,Код,Тесты,Инфраструктура,Документация"</formula1>
    </dataValidation>
    <dataValidation sqref="E5 E6 E7 E8 E9 E10" showDropDown="0" showInputMessage="0" showErrorMessage="0" allowBlank="1" type="list">
      <formula1>"High,Medium,Low"</formula1>
    </dataValidation>
    <dataValidation sqref="I5 I6 I7 I8 I9 I10" showDropDown="0" showInputMessage="0" showErrorMessage="0" allowBlank="1" type="list">
      <formula1>"Открыт,В работе,Закрыт"</formula1>
    </dataValidation>
  </dataValidation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F14" sqref="F14"/>
    </sheetView>
  </sheetViews>
  <sheetFormatPr baseColWidth="8" defaultRowHeight="14.4"/>
  <cols>
    <col width="8" customWidth="1" min="1" max="1"/>
    <col width="28" customWidth="1" min="2" max="2"/>
    <col width="24" customWidth="1" min="3" max="3"/>
    <col width="30" customWidth="1" min="4" max="4"/>
    <col width="15" customWidth="1" min="5" max="5"/>
    <col width="11" customWidth="1" min="6" max="7"/>
  </cols>
  <sheetData>
    <row r="1" ht="17.4" customHeight="1">
      <c r="A1" s="163" t="inlineStr">
        <is>
          <t>Ретроспективы и action items</t>
        </is>
      </c>
    </row>
    <row r="2">
      <c r="A2" s="164" t="inlineStr">
        <is>
          <t>Итоги спринтов и улучшения с трекингом выполнения.</t>
        </is>
      </c>
    </row>
    <row r="4" ht="27.6" customHeight="1">
      <c r="A4" s="161" t="inlineStr">
        <is>
          <t>Спринт</t>
        </is>
      </c>
      <c r="B4" s="161" t="inlineStr">
        <is>
          <t>Что прошло хорошо</t>
        </is>
      </c>
      <c r="C4" s="161" t="inlineStr">
        <is>
          <t>Что улучшить</t>
        </is>
      </c>
      <c r="D4" s="161" t="inlineStr">
        <is>
          <t>Action item</t>
        </is>
      </c>
      <c r="E4" s="161" t="inlineStr">
        <is>
          <t>Ответственный</t>
        </is>
      </c>
      <c r="F4" s="161" t="inlineStr">
        <is>
          <t>Срок</t>
        </is>
      </c>
      <c r="G4" s="161" t="inlineStr">
        <is>
          <t>Статус</t>
        </is>
      </c>
    </row>
    <row r="5" ht="27.6" customHeight="1">
      <c r="A5" s="175" t="n">
        <v>1</v>
      </c>
      <c r="B5" s="170" t="inlineStr">
        <is>
          <t>Быстрый старт, реалистичная оценка</t>
        </is>
      </c>
      <c r="C5" s="170" t="inlineStr">
        <is>
          <t>Мало тестовых данных</t>
        </is>
      </c>
      <c r="D5" s="170" t="inlineStr">
        <is>
          <t>Подготовить набор тест-данных</t>
        </is>
      </c>
      <c r="E5" s="175" t="inlineStr">
        <is>
          <t>Сидоров К.</t>
        </is>
      </c>
      <c r="F5" s="175" t="inlineStr">
        <is>
          <t>Спринт 2</t>
        </is>
      </c>
      <c r="G5" s="175" t="inlineStr">
        <is>
          <t>Сделано</t>
        </is>
      </c>
    </row>
    <row r="6">
      <c r="A6" s="175" t="n">
        <v>1</v>
      </c>
      <c r="B6" s="170" t="inlineStr">
        <is>
          <t>Хорошее демо</t>
        </is>
      </c>
      <c r="C6" s="170" t="inlineStr">
        <is>
          <t>Долгий код-ревью</t>
        </is>
      </c>
      <c r="D6" s="170" t="inlineStr">
        <is>
          <t>SLA на ревью — 1 день</t>
        </is>
      </c>
      <c r="E6" s="175" t="inlineStr">
        <is>
          <t>Иванов А.</t>
        </is>
      </c>
      <c r="F6" s="175" t="inlineStr">
        <is>
          <t>Спринт 2</t>
        </is>
      </c>
      <c r="G6" s="175" t="inlineStr">
        <is>
          <t>Сделано</t>
        </is>
      </c>
    </row>
    <row r="7" ht="27.6" customHeight="1">
      <c r="A7" s="175" t="n">
        <v>2</v>
      </c>
      <c r="B7" s="170" t="inlineStr">
        <is>
          <t>Стабильные демо</t>
        </is>
      </c>
      <c r="C7" s="170" t="inlineStr">
        <is>
          <t>Скоуп рос по ходу</t>
        </is>
      </c>
      <c r="D7" s="170" t="inlineStr">
        <is>
          <t>Фиксировать скоуп на планировании</t>
        </is>
      </c>
      <c r="E7" s="175" t="inlineStr">
        <is>
          <t>Кузнецов Д.</t>
        </is>
      </c>
      <c r="F7" s="175" t="inlineStr">
        <is>
          <t>Спринт 3</t>
        </is>
      </c>
      <c r="G7" s="175" t="inlineStr">
        <is>
          <t>В работе</t>
        </is>
      </c>
    </row>
    <row r="8" ht="27.6" customHeight="1">
      <c r="A8" s="175" t="n">
        <v>2</v>
      </c>
      <c r="B8" s="170" t="inlineStr">
        <is>
          <t>Слаженная работа QA</t>
        </is>
      </c>
      <c r="C8" s="170" t="inlineStr">
        <is>
          <t>Блокеры по внешнему API</t>
        </is>
      </c>
      <c r="D8" s="170" t="inlineStr">
        <is>
          <t>Ранняя интеграция / моки</t>
        </is>
      </c>
      <c r="E8" s="175" t="inlineStr">
        <is>
          <t>Иванов А.</t>
        </is>
      </c>
      <c r="F8" s="175" t="inlineStr">
        <is>
          <t>Спринт 3</t>
        </is>
      </c>
      <c r="G8" s="175" t="inlineStr">
        <is>
          <t>Открыт</t>
        </is>
      </c>
    </row>
    <row r="10">
      <c r="A10" s="14" t="inlineStr">
        <is>
          <t>Закрыто action items:</t>
        </is>
      </c>
      <c r="D10" s="14">
        <f>COUNTIF(G5:G8,"Сделано")&amp;" / "&amp;COUNTA(G5:G8)</f>
        <v/>
      </c>
    </row>
    <row r="11">
      <c r="A11" s="14" t="inlineStr">
        <is>
          <t>% закрытых:</t>
        </is>
      </c>
      <c r="D11" s="179">
        <f>IFERROR(COUNTIF(G5:G8,"Сделано")/COUNTA(G5:G8),0)</f>
        <v/>
      </c>
    </row>
  </sheetData>
  <dataValidations count="1">
    <dataValidation sqref="G5 G6 G7 G8" showDropDown="0" showInputMessage="0" showErrorMessage="0" allowBlank="1" type="list">
      <formula1>"Открыт,В работе,Сделано"</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21"/>
  <sheetViews>
    <sheetView showGridLines="0" workbookViewId="0">
      <pane ySplit="6" topLeftCell="A7" activePane="bottomLeft" state="frozen"/>
      <selection pane="bottomLeft" activeCell="A1" sqref="A1"/>
    </sheetView>
  </sheetViews>
  <sheetFormatPr baseColWidth="8" defaultRowHeight="14.4"/>
  <cols>
    <col width="26" customWidth="1" min="1" max="1"/>
    <col width="13" customWidth="1" min="2" max="2"/>
    <col width="15" customWidth="1" min="3" max="3"/>
    <col width="18" customWidth="1" min="4" max="4"/>
    <col width="12" customWidth="1" min="5" max="5"/>
    <col width="17" customWidth="1" min="6" max="6"/>
  </cols>
  <sheetData>
    <row r="1" ht="17.4" customHeight="1">
      <c r="A1" s="163" t="inlineStr">
        <is>
          <t>Бюджет и стоимость</t>
        </is>
      </c>
    </row>
    <row r="3">
      <c r="A3" s="14" t="inlineStr">
        <is>
          <t>Ставка (₽/чел-день):</t>
        </is>
      </c>
      <c r="C3" s="180" t="n">
        <v>8000</v>
      </c>
    </row>
    <row r="4">
      <c r="A4" s="14" t="inlineStr">
        <is>
          <t>Бюджет проекта (₽):</t>
        </is>
      </c>
      <c r="C4" s="180" t="n">
        <v>8000000</v>
      </c>
    </row>
    <row r="6" ht="27.6" customHeight="1">
      <c r="A6" s="161" t="inlineStr">
        <is>
          <t>Спринт</t>
        </is>
      </c>
      <c r="B6" s="161" t="inlineStr">
        <is>
          <t>Капасити (дн)</t>
        </is>
      </c>
      <c r="C6" s="161" t="inlineStr">
        <is>
          <t>Стоимость (₽)</t>
        </is>
      </c>
      <c r="D6" s="161" t="inlineStr">
        <is>
          <t>Накопл. стоимость (₽)</t>
        </is>
      </c>
      <c r="E6" s="161" t="inlineStr">
        <is>
          <t>Velocity (дн)</t>
        </is>
      </c>
      <c r="F6" s="161" t="inlineStr">
        <is>
          <t>Цена velocity-дня (₽)</t>
        </is>
      </c>
    </row>
    <row r="7">
      <c r="A7" s="177" t="n">
        <v>1</v>
      </c>
      <c r="B7" s="167">
        <f>'Дорожная карта'!F6</f>
        <v/>
      </c>
      <c r="C7" s="181">
        <f>B7*$C$3</f>
        <v/>
      </c>
      <c r="D7" s="181">
        <f>C7</f>
        <v/>
      </c>
      <c r="E7" s="167">
        <f>'Дорожная карта'!I6</f>
        <v/>
      </c>
      <c r="F7" s="181">
        <f>IF(E7="","",IFERROR(C7/E7,0))</f>
        <v/>
      </c>
    </row>
    <row r="8">
      <c r="A8" s="177" t="n">
        <v>2</v>
      </c>
      <c r="B8" s="167">
        <f>'Дорожная карта'!F7</f>
        <v/>
      </c>
      <c r="C8" s="181">
        <f>B8*$C$3</f>
        <v/>
      </c>
      <c r="D8" s="181">
        <f>D7+C8</f>
        <v/>
      </c>
      <c r="E8" s="167">
        <f>'Дорожная карта'!I7</f>
        <v/>
      </c>
      <c r="F8" s="181">
        <f>IF(E8="","",IFERROR(C8/E8,0))</f>
        <v/>
      </c>
    </row>
    <row r="9">
      <c r="A9" s="177" t="n">
        <v>3</v>
      </c>
      <c r="B9" s="167">
        <f>'Дорожная карта'!F8</f>
        <v/>
      </c>
      <c r="C9" s="181">
        <f>B9*$C$3</f>
        <v/>
      </c>
      <c r="D9" s="181">
        <f>D8+C9</f>
        <v/>
      </c>
      <c r="E9" s="167">
        <f>'Дорожная карта'!I8</f>
        <v/>
      </c>
      <c r="F9" s="181">
        <f>IF(E9="","",IFERROR(C9/E9,0))</f>
        <v/>
      </c>
    </row>
    <row r="10">
      <c r="A10" s="177" t="n">
        <v>4</v>
      </c>
      <c r="B10" s="167">
        <f>'Дорожная карта'!F9</f>
        <v/>
      </c>
      <c r="C10" s="181">
        <f>B10*$C$3</f>
        <v/>
      </c>
      <c r="D10" s="181">
        <f>D9+C10</f>
        <v/>
      </c>
      <c r="E10" s="167">
        <f>'Дорожная карта'!I9</f>
        <v/>
      </c>
      <c r="F10" s="181">
        <f>IF(E10="","",IFERROR(C10/E10,0))</f>
        <v/>
      </c>
    </row>
    <row r="11">
      <c r="A11" s="177" t="n">
        <v>5</v>
      </c>
      <c r="B11" s="167">
        <f>'Дорожная карта'!F10</f>
        <v/>
      </c>
      <c r="C11" s="181">
        <f>B11*$C$3</f>
        <v/>
      </c>
      <c r="D11" s="181">
        <f>D10+C11</f>
        <v/>
      </c>
      <c r="E11" s="167">
        <f>'Дорожная карта'!I10</f>
        <v/>
      </c>
      <c r="F11" s="181">
        <f>IF(E11="","",IFERROR(C11/E11,0))</f>
        <v/>
      </c>
    </row>
    <row r="12">
      <c r="A12" s="177" t="n">
        <v>6</v>
      </c>
      <c r="B12" s="167">
        <f>'Дорожная карта'!F11</f>
        <v/>
      </c>
      <c r="C12" s="181">
        <f>B12*$C$3</f>
        <v/>
      </c>
      <c r="D12" s="181">
        <f>D11+C12</f>
        <v/>
      </c>
      <c r="E12" s="167">
        <f>'Дорожная карта'!I11</f>
        <v/>
      </c>
      <c r="F12" s="181">
        <f>IF(E12="","",IFERROR(C12/E12,0))</f>
        <v/>
      </c>
    </row>
    <row r="13">
      <c r="A13" s="177" t="n">
        <v>7</v>
      </c>
      <c r="B13" s="167">
        <f>'Дорожная карта'!F12</f>
        <v/>
      </c>
      <c r="C13" s="181">
        <f>B13*$C$3</f>
        <v/>
      </c>
      <c r="D13" s="181">
        <f>D12+C13</f>
        <v/>
      </c>
      <c r="E13" s="167">
        <f>'Дорожная карта'!I12</f>
        <v/>
      </c>
      <c r="F13" s="181">
        <f>IF(E13="","",IFERROR(C13/E13,0))</f>
        <v/>
      </c>
    </row>
    <row r="14">
      <c r="A14" s="177" t="n">
        <v>8</v>
      </c>
      <c r="B14" s="167">
        <f>'Дорожная карта'!F13</f>
        <v/>
      </c>
      <c r="C14" s="181">
        <f>B14*$C$3</f>
        <v/>
      </c>
      <c r="D14" s="181">
        <f>D13+C14</f>
        <v/>
      </c>
      <c r="E14" s="167">
        <f>'Дорожная карта'!I13</f>
        <v/>
      </c>
      <c r="F14" s="181">
        <f>IF(E14="","",IFERROR(C14/E14,0))</f>
        <v/>
      </c>
    </row>
    <row r="15">
      <c r="A15" s="177" t="n">
        <v>9</v>
      </c>
      <c r="B15" s="167">
        <f>'Дорожная карта'!F14</f>
        <v/>
      </c>
      <c r="C15" s="181">
        <f>B15*$C$3</f>
        <v/>
      </c>
      <c r="D15" s="181">
        <f>D14+C15</f>
        <v/>
      </c>
      <c r="E15" s="167">
        <f>'Дорожная карта'!I14</f>
        <v/>
      </c>
      <c r="F15" s="181">
        <f>IF(E15="","",IFERROR(C15/E15,0))</f>
        <v/>
      </c>
    </row>
    <row r="16">
      <c r="A16" s="177" t="n">
        <v>10</v>
      </c>
      <c r="B16" s="167">
        <f>'Дорожная карта'!F15</f>
        <v/>
      </c>
      <c r="C16" s="181">
        <f>B16*$C$3</f>
        <v/>
      </c>
      <c r="D16" s="181">
        <f>D15+C16</f>
        <v/>
      </c>
      <c r="E16" s="167">
        <f>'Дорожная карта'!I15</f>
        <v/>
      </c>
      <c r="F16" s="181">
        <f>IF(E16="","",IFERROR(C16/E16,0))</f>
        <v/>
      </c>
    </row>
    <row r="17">
      <c r="A17" s="177" t="n">
        <v>11</v>
      </c>
      <c r="B17" s="167">
        <f>'Дорожная карта'!F16</f>
        <v/>
      </c>
      <c r="C17" s="181">
        <f>B17*$C$3</f>
        <v/>
      </c>
      <c r="D17" s="181">
        <f>D16+C17</f>
        <v/>
      </c>
      <c r="E17" s="167">
        <f>'Дорожная карта'!I16</f>
        <v/>
      </c>
      <c r="F17" s="181">
        <f>IF(E17="","",IFERROR(C17/E17,0))</f>
        <v/>
      </c>
    </row>
    <row r="19">
      <c r="A19" s="14" t="inlineStr">
        <is>
          <t>Всего стоимость (₽):</t>
        </is>
      </c>
      <c r="C19" s="182">
        <f>D17</f>
        <v/>
      </c>
    </row>
    <row r="20">
      <c r="A20" s="14" t="inlineStr">
        <is>
          <t>Остаток бюджета (₽):</t>
        </is>
      </c>
      <c r="C20" s="182">
        <f>C4-D17</f>
        <v/>
      </c>
    </row>
    <row r="21">
      <c r="A21" s="14" t="inlineStr">
        <is>
          <t>Средняя цена velocity-дня (₽):</t>
        </is>
      </c>
      <c r="C21" s="182">
        <f>IFERROR(SUM(C7:C17)/SUM(E7:E17),0)</f>
        <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G9"/>
  <sheetViews>
    <sheetView showGridLines="0" workbookViewId="0">
      <pane ySplit="4" topLeftCell="A5" activePane="bottomLeft" state="frozen"/>
      <selection pane="bottomLeft" activeCell="E13" sqref="E13"/>
    </sheetView>
  </sheetViews>
  <sheetFormatPr baseColWidth="8" defaultRowHeight="14.4"/>
  <cols>
    <col width="10" customWidth="1" min="1" max="1"/>
    <col width="30" customWidth="1" min="2" max="2"/>
    <col width="34" customWidth="1" min="3" max="3"/>
    <col width="8" customWidth="1" min="4" max="4"/>
    <col width="9" customWidth="1" min="5" max="5"/>
    <col width="11.33203125" customWidth="1" min="6" max="6"/>
    <col width="13" customWidth="1" min="7" max="7"/>
  </cols>
  <sheetData>
    <row r="1" ht="17.4" customHeight="1">
      <c r="A1" s="163" t="inlineStr">
        <is>
          <t>OKR — цели квартала</t>
        </is>
      </c>
    </row>
    <row r="2">
      <c r="A2" s="164" t="inlineStr">
        <is>
          <t>Objective + Key Results с прогрессом (Текущее / Цель).</t>
        </is>
      </c>
    </row>
    <row r="4" ht="27.6" customHeight="1">
      <c r="A4" s="161" t="inlineStr">
        <is>
          <t>Квартал</t>
        </is>
      </c>
      <c r="B4" s="161" t="inlineStr">
        <is>
          <t>Objective (цель)</t>
        </is>
      </c>
      <c r="C4" s="161" t="inlineStr">
        <is>
          <t>Key Result</t>
        </is>
      </c>
      <c r="D4" s="161" t="inlineStr">
        <is>
          <t>Цель</t>
        </is>
      </c>
      <c r="E4" s="161" t="inlineStr">
        <is>
          <t>Текущее</t>
        </is>
      </c>
      <c r="F4" s="161" t="inlineStr">
        <is>
          <t>Прогресс</t>
        </is>
      </c>
      <c r="G4" s="161" t="inlineStr">
        <is>
          <t>Статус</t>
        </is>
      </c>
    </row>
    <row r="5" ht="27.6" customHeight="1">
      <c r="A5" s="177" t="inlineStr">
        <is>
          <t>Q3 2026</t>
        </is>
      </c>
      <c r="B5" s="170" t="inlineStr">
        <is>
          <t>Запустить подписочную модель заказа</t>
        </is>
      </c>
      <c r="C5" s="170" t="inlineStr">
        <is>
          <t>Готовность MVP чекаута, %</t>
        </is>
      </c>
      <c r="D5" s="175" t="n">
        <v>100</v>
      </c>
      <c r="E5" s="175" t="n">
        <v>70</v>
      </c>
      <c r="F5" s="168">
        <f>IFERROR(E5/D5,0)</f>
        <v/>
      </c>
      <c r="G5" s="177">
        <f>IF(F5&gt;=1,"Достигнуто",IF(F5&gt;=0.7,"В графике","Отстаёт"))</f>
        <v/>
      </c>
    </row>
    <row r="6" ht="27.6" customHeight="1">
      <c r="A6" s="177" t="inlineStr">
        <is>
          <t>Q3 2026</t>
        </is>
      </c>
      <c r="B6" s="170" t="inlineStr">
        <is>
          <t>Запустить подписочную модель заказа</t>
        </is>
      </c>
      <c r="C6" s="170" t="inlineStr">
        <is>
          <t>Интеграция оплаты, %</t>
        </is>
      </c>
      <c r="D6" s="175" t="n">
        <v>100</v>
      </c>
      <c r="E6" s="175" t="n">
        <v>60</v>
      </c>
      <c r="F6" s="168">
        <f>IFERROR(E6/D6,0)</f>
        <v/>
      </c>
      <c r="G6" s="177">
        <f>IF(F6&gt;=1,"Достигнуто",IF(F6&gt;=0.7,"В графике","Отстаёт"))</f>
        <v/>
      </c>
    </row>
    <row r="7" ht="27.6" customHeight="1">
      <c r="A7" s="177" t="inlineStr">
        <is>
          <t>Q3 2026</t>
        </is>
      </c>
      <c r="B7" s="170" t="inlineStr">
        <is>
          <t>Обеспечить качество релиза</t>
        </is>
      </c>
      <c r="C7" s="170" t="inlineStr">
        <is>
          <t>Покрытие автотестами ключевых сценариев, %</t>
        </is>
      </c>
      <c r="D7" s="175" t="n">
        <v>80</v>
      </c>
      <c r="E7" s="175" t="n">
        <v>45</v>
      </c>
      <c r="F7" s="168">
        <f>IFERROR(E7/D7,0)</f>
        <v/>
      </c>
      <c r="G7" s="177">
        <f>IF(F7&gt;=1,"Достигнуто",IF(F7&gt;=0.7,"В графике","Отстаёт"))</f>
        <v/>
      </c>
    </row>
    <row r="8" ht="27.6" customHeight="1">
      <c r="A8" s="177" t="inlineStr">
        <is>
          <t>Q4 2026</t>
        </is>
      </c>
      <c r="B8" s="170" t="inlineStr">
        <is>
          <t>Масштабировать на площадки</t>
        </is>
      </c>
      <c r="C8" s="170" t="inlineStr">
        <is>
          <t>Подключённых площадок, шт</t>
        </is>
      </c>
      <c r="D8" s="175" t="n">
        <v>20</v>
      </c>
      <c r="E8" s="175" t="n">
        <v>6</v>
      </c>
      <c r="F8" s="168">
        <f>IFERROR(E8/D8,0)</f>
        <v/>
      </c>
      <c r="G8" s="177">
        <f>IF(F8&gt;=1,"Достигнуто",IF(F8&gt;=0.7,"В графике","Отстаёт"))</f>
        <v/>
      </c>
    </row>
    <row r="9" ht="27.6" customHeight="1">
      <c r="A9" s="177" t="inlineStr">
        <is>
          <t>Q4 2026</t>
        </is>
      </c>
      <c r="B9" s="170" t="inlineStr">
        <is>
          <t>Масштабировать на площадки</t>
        </is>
      </c>
      <c r="C9" s="170" t="inlineStr">
        <is>
          <t>Уведомления и история заказов, %</t>
        </is>
      </c>
      <c r="D9" s="175" t="n">
        <v>100</v>
      </c>
      <c r="E9" s="175" t="n">
        <v>20</v>
      </c>
      <c r="F9" s="168">
        <f>IFERROR(E9/D9,0)</f>
        <v/>
      </c>
      <c r="G9" s="177">
        <f>IF(F9&gt;=1,"Достигнуто",IF(F9&gt;=0.7,"В графике","Отстаёт"))</f>
        <v/>
      </c>
    </row>
  </sheetData>
  <conditionalFormatting sqref="F5:F9">
    <cfRule type="cellIs" priority="1" operator="greaterThanOrEqual" dxfId="0">
      <formula>1</formula>
    </cfRule>
    <cfRule type="cellIs" priority="2" operator="between" dxfId="1">
      <formula>0.7</formula>
      <formula>0.999</formula>
    </cfRule>
    <cfRule type="cellIs" priority="3" operator="lessThan" dxfId="2">
      <formula>0.7</formula>
    </cfRule>
  </conditionalFormatting>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F19"/>
  <sheetViews>
    <sheetView showGridLines="0" workbookViewId="0">
      <pane ySplit="5" topLeftCell="A6" activePane="bottomLeft" state="frozen"/>
      <selection pane="bottomLeft" activeCell="N4" sqref="N4"/>
    </sheetView>
  </sheetViews>
  <sheetFormatPr baseColWidth="8" defaultRowHeight="14.4"/>
  <cols>
    <col width="14" customWidth="1" min="1" max="1"/>
    <col width="13" customWidth="1" min="2" max="2"/>
    <col width="12" customWidth="1" min="3" max="4"/>
    <col width="10" customWidth="1" min="5" max="5"/>
    <col width="12" customWidth="1" min="6" max="6"/>
  </cols>
  <sheetData>
    <row r="1" ht="17.4" customHeight="1">
      <c r="A1" s="163" t="inlineStr">
        <is>
          <t>Планирование ёмкости на горизонт</t>
        </is>
      </c>
    </row>
    <row r="2">
      <c r="A2" s="164" t="inlineStr">
        <is>
          <t>Ёмкость vs спрос по кварталам и ролям; дефицит/профицит и оценка потребности в найме.</t>
        </is>
      </c>
    </row>
    <row r="4" ht="15.6" customHeight="1">
      <c r="A4" s="176" t="inlineStr">
        <is>
          <t>По кварталам</t>
        </is>
      </c>
    </row>
    <row r="5" ht="27.6" customHeight="1">
      <c r="A5" s="161" t="inlineStr">
        <is>
          <t>Квартал</t>
        </is>
      </c>
      <c r="B5" s="161" t="inlineStr">
        <is>
          <t>Ёмкость (дн)</t>
        </is>
      </c>
      <c r="C5" s="161" t="inlineStr">
        <is>
          <t>Спрос (дн)</t>
        </is>
      </c>
      <c r="D5" s="161" t="inlineStr">
        <is>
          <t>Баланс (дн)</t>
        </is>
      </c>
      <c r="E5" s="161" t="inlineStr">
        <is>
          <t>Загрузка</t>
        </is>
      </c>
      <c r="F5" s="161" t="inlineStr">
        <is>
          <t>Нужно +чел.</t>
        </is>
      </c>
    </row>
    <row r="6">
      <c r="A6" s="165">
        <f>Кварталы!A5</f>
        <v/>
      </c>
      <c r="B6" s="167">
        <f>Кварталы!C5</f>
        <v/>
      </c>
      <c r="C6" s="167">
        <f>Кварталы!D5</f>
        <v/>
      </c>
      <c r="D6" s="183">
        <f>B6-C6</f>
        <v/>
      </c>
      <c r="E6" s="169">
        <f>IFERROR(C6/B6,0)</f>
        <v/>
      </c>
      <c r="F6" s="184">
        <f>IF(C6&gt;B6,ROUNDUP((C6-B6)/MAX(1,Кварталы!B5*8),0),0)</f>
        <v/>
      </c>
    </row>
    <row r="7">
      <c r="A7" s="165">
        <f>Кварталы!A6</f>
        <v/>
      </c>
      <c r="B7" s="167">
        <f>Кварталы!C6</f>
        <v/>
      </c>
      <c r="C7" s="167">
        <f>Кварталы!D6</f>
        <v/>
      </c>
      <c r="D7" s="183">
        <f>B7-C7</f>
        <v/>
      </c>
      <c r="E7" s="169">
        <f>IFERROR(C7/B7,0)</f>
        <v/>
      </c>
      <c r="F7" s="184">
        <f>IF(C7&gt;B7,ROUNDUP((C7-B7)/MAX(1,Кварталы!B6*8),0),0)</f>
        <v/>
      </c>
    </row>
    <row r="8">
      <c r="A8" s="165">
        <f>Кварталы!A7</f>
        <v/>
      </c>
      <c r="B8" s="167">
        <f>Кварталы!C7</f>
        <v/>
      </c>
      <c r="C8" s="167">
        <f>Кварталы!D7</f>
        <v/>
      </c>
      <c r="D8" s="183">
        <f>B8-C8</f>
        <v/>
      </c>
      <c r="E8" s="169">
        <f>IFERROR(C8/B8,0)</f>
        <v/>
      </c>
      <c r="F8" s="184">
        <f>IF(C8&gt;B8,ROUNDUP((C8-B8)/MAX(1,Кварталы!B7*8),0),0)</f>
        <v/>
      </c>
    </row>
    <row r="10" ht="15.6" customHeight="1">
      <c r="A10" s="176" t="inlineStr">
        <is>
          <t>По ролям (весь горизонт)</t>
        </is>
      </c>
    </row>
    <row r="11" ht="27.6" customHeight="1">
      <c r="A11" s="161" t="inlineStr">
        <is>
          <t>Роль</t>
        </is>
      </c>
      <c r="B11" s="161" t="inlineStr">
        <is>
          <t>Ёмкость (дн)</t>
        </is>
      </c>
      <c r="C11" s="161" t="inlineStr">
        <is>
          <t>Спрос (дн)</t>
        </is>
      </c>
      <c r="D11" s="161" t="inlineStr">
        <is>
          <t>Баланс (дн)</t>
        </is>
      </c>
      <c r="E11" s="161" t="inlineStr">
        <is>
          <t>Загрузка</t>
        </is>
      </c>
    </row>
    <row r="12">
      <c r="A12" s="165" t="inlineStr">
        <is>
          <t>Backend</t>
        </is>
      </c>
      <c r="B12" s="167">
        <f>SUMIF(Капасити!$C$5:$C$147,A12,Капасити!$H$5:$H$147)</f>
        <v/>
      </c>
      <c r="C12" s="167">
        <f>SUMIF(Бэклог!$H$5:$H$44,A12,Бэклог!$E$5:$E$44)</f>
        <v/>
      </c>
      <c r="D12" s="183">
        <f>B12-C12</f>
        <v/>
      </c>
      <c r="E12" s="169">
        <f>IFERROR(C12/B12,0)</f>
        <v/>
      </c>
    </row>
    <row r="13">
      <c r="A13" s="165" t="inlineStr">
        <is>
          <t>Frontend</t>
        </is>
      </c>
      <c r="B13" s="167">
        <f>SUMIF(Капасити!$C$5:$C$147,A13,Капасити!$H$5:$H$147)</f>
        <v/>
      </c>
      <c r="C13" s="167">
        <f>SUMIF(Бэклог!$H$5:$H$44,A13,Бэклог!$E$5:$E$44)</f>
        <v/>
      </c>
      <c r="D13" s="183">
        <f>B13-C13</f>
        <v/>
      </c>
      <c r="E13" s="169">
        <f>IFERROR(C13/B13,0)</f>
        <v/>
      </c>
    </row>
    <row r="14">
      <c r="A14" s="165" t="inlineStr">
        <is>
          <t>QA</t>
        </is>
      </c>
      <c r="B14" s="167">
        <f>SUMIF(Капасити!$C$5:$C$147,A14,Капасити!$H$5:$H$147)</f>
        <v/>
      </c>
      <c r="C14" s="167">
        <f>SUMIF(Бэклог!$H$5:$H$44,A14,Бэклог!$E$5:$E$44)</f>
        <v/>
      </c>
      <c r="D14" s="183">
        <f>B14-C14</f>
        <v/>
      </c>
      <c r="E14" s="169">
        <f>IFERROR(C14/B14,0)</f>
        <v/>
      </c>
    </row>
    <row r="15">
      <c r="A15" s="165" t="inlineStr">
        <is>
          <t>DevOps</t>
        </is>
      </c>
      <c r="B15" s="167">
        <f>SUMIF(Капасити!$C$5:$C$147,A15,Капасити!$H$5:$H$147)</f>
        <v/>
      </c>
      <c r="C15" s="167">
        <f>SUMIF(Бэклог!$H$5:$H$44,A15,Бэклог!$E$5:$E$44)</f>
        <v/>
      </c>
      <c r="D15" s="183">
        <f>B15-C15</f>
        <v/>
      </c>
      <c r="E15" s="169">
        <f>IFERROR(C15/B15,0)</f>
        <v/>
      </c>
    </row>
    <row r="16">
      <c r="A16" s="165" t="inlineStr">
        <is>
          <t>Analyst</t>
        </is>
      </c>
      <c r="B16" s="167">
        <f>SUMIF(Капасити!$C$5:$C$147,A16,Капасити!$H$5:$H$147)</f>
        <v/>
      </c>
      <c r="C16" s="167">
        <f>SUMIF(Бэклог!$H$5:$H$44,A16,Бэклог!$E$5:$E$44)</f>
        <v/>
      </c>
      <c r="D16" s="183">
        <f>B16-C16</f>
        <v/>
      </c>
      <c r="E16" s="169">
        <f>IFERROR(C16/B16,0)</f>
        <v/>
      </c>
    </row>
    <row r="17">
      <c r="A17" s="165" t="inlineStr">
        <is>
          <t>Designer</t>
        </is>
      </c>
      <c r="B17" s="167">
        <f>SUMIF(Капасити!$C$5:$C$147,A17,Капасити!$H$5:$H$147)</f>
        <v/>
      </c>
      <c r="C17" s="167">
        <f>SUMIF(Бэклог!$H$5:$H$44,A17,Бэклог!$E$5:$E$44)</f>
        <v/>
      </c>
      <c r="D17" s="183">
        <f>B17-C17</f>
        <v/>
      </c>
      <c r="E17" s="169">
        <f>IFERROR(C17/B17,0)</f>
        <v/>
      </c>
    </row>
    <row r="19">
      <c r="A19" s="164" t="inlineStr">
        <is>
          <t>«Нужно +чел.» = округление вверх дефицита ёмкости к чел-дням на человека за квартал.</t>
        </is>
      </c>
    </row>
  </sheetData>
  <conditionalFormatting sqref="E6:E8">
    <cfRule type="cellIs" priority="1" operator="greaterThan" dxfId="2">
      <formula>1</formula>
    </cfRule>
    <cfRule type="cellIs" priority="2" operator="between" dxfId="1">
      <formula>0.9</formula>
      <formula>1</formula>
    </cfRule>
    <cfRule type="cellIs" priority="3" operator="lessThan" dxfId="0">
      <formula>0.9</formula>
    </cfRule>
  </conditionalFormatting>
  <conditionalFormatting sqref="E12:E17">
    <cfRule type="cellIs" priority="4" operator="greaterThan" dxfId="2">
      <formula>1</formula>
    </cfRule>
    <cfRule type="cellIs" priority="5" operator="between" dxfId="1">
      <formula>0.9</formula>
      <formula>1</formula>
    </cfRule>
    <cfRule type="cellIs" priority="6" operator="lessThan" dxfId="0">
      <formula>0.9</formula>
    </cfRule>
  </conditionalFormatting>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K70"/>
  <sheetViews>
    <sheetView showGridLines="0" topLeftCell="G1" workbookViewId="0">
      <pane ySplit="4" topLeftCell="A34" activePane="bottomLeft" state="frozen"/>
      <selection pane="bottomLeft" activeCell="A1" sqref="A1"/>
    </sheetView>
  </sheetViews>
  <sheetFormatPr baseColWidth="8" defaultRowHeight="14.4"/>
  <cols>
    <col width="7" customWidth="1" min="1" max="1"/>
    <col width="30" customWidth="1" min="2" max="2"/>
    <col width="6.77734375" customWidth="1" min="3" max="3"/>
    <col width="13" customWidth="1" min="4" max="4"/>
    <col width="11" customWidth="1" min="5" max="5"/>
    <col width="12" customWidth="1" min="6" max="8"/>
    <col width="10" customWidth="1" min="9" max="9"/>
    <col width="9" customWidth="1" min="10" max="10"/>
    <col width="28" customWidth="1" min="11" max="11"/>
  </cols>
  <sheetData>
    <row r="1" ht="17.4" customHeight="1">
      <c r="A1" s="116" t="inlineStr">
        <is>
          <t>Диаграмма Ганта (план по спринтам, с зависимостями)</t>
        </is>
      </c>
    </row>
    <row r="2">
      <c r="A2" s="117" t="inlineStr">
        <is>
          <t>Задачи из «Бэклога» (авто, строки 5–44). Длительность бара = оценка задачи. Зависимость сдвигает старт после завершения предшественника.</t>
        </is>
      </c>
    </row>
    <row r="4" ht="27.6" customHeight="1">
      <c r="A4" s="118" t="inlineStr">
        <is>
          <t>ID</t>
        </is>
      </c>
      <c r="B4" s="118" t="inlineStr">
        <is>
          <t>Задача</t>
        </is>
      </c>
      <c r="C4" s="118" t="inlineStr">
        <is>
          <t>Спр.</t>
        </is>
      </c>
      <c r="D4" s="118" t="inlineStr">
        <is>
          <t>Исполнитель</t>
        </is>
      </c>
      <c r="E4" s="118" t="inlineStr">
        <is>
          <t>Статус</t>
        </is>
      </c>
      <c r="F4" s="118" t="inlineStr">
        <is>
          <t>Зависит от</t>
        </is>
      </c>
      <c r="G4" s="118" t="inlineStr">
        <is>
          <t>Начало</t>
        </is>
      </c>
      <c r="H4" s="118" t="inlineStr">
        <is>
          <t>Конец</t>
        </is>
      </c>
      <c r="I4" s="118" t="inlineStr">
        <is>
          <t>Длит. (дн)</t>
        </is>
      </c>
      <c r="J4" s="138" t="inlineStr">
        <is>
          <t>Критич.
путь</t>
        </is>
      </c>
      <c r="K4" s="226" t="inlineStr">
        <is>
          <t>Внешняя
зависимость</t>
        </is>
      </c>
    </row>
    <row r="5">
      <c r="A5" s="119">
        <f>IF(Бэклог!A5="","",Бэклог!A5)</f>
        <v/>
      </c>
      <c r="B5" s="120">
        <f>IF($A5="","",Бэклог!B5)</f>
        <v/>
      </c>
      <c r="C5" s="119">
        <f>IF($A5="","",Бэклог!M5)</f>
        <v/>
      </c>
      <c r="D5" s="120">
        <f>IF($A5="","",Бэклог!C5)</f>
        <v/>
      </c>
      <c r="E5" s="119">
        <f>IF($A5="","",Бэклог!F5)</f>
        <v/>
      </c>
      <c r="F5" s="131" t="n"/>
      <c r="G5" s="121">
        <f>IF($A5="","",MAX(SUMIF('Дорожная карта'!$A$6:$A$16,C5,'Дорожная карта'!$C$6:$C$16),IF(F5="",0,IFERROR(INDEX($H$5:$H$44,MATCH(F5,$A$5:$A$44,0)),0))))</f>
        <v/>
      </c>
      <c r="H5" s="121">
        <f>IF($A5="","",G5+I5)</f>
        <v/>
      </c>
      <c r="I5" s="122">
        <f>IF($A5="","",Бэклог!E5)</f>
        <v/>
      </c>
      <c r="J5" s="139" t="inlineStr">
        <is>
          <t>Да</t>
        </is>
      </c>
      <c r="K5" s="236">
        <f>IF(COUNTIF(Зависимости!$D$5:$D$100,A5)=0,"","◆ "&amp;IFERROR(VLOOKUP(A5,Зависимости!$D$5:$I$100,2,FALSE),"")&amp;" · "&amp;IFERROR(VLOOKUP(A5,Зависимости!$D$5:$I$100,6,FALSE),""))</f>
        <v/>
      </c>
    </row>
    <row r="6">
      <c r="A6" s="119">
        <f>IF(Бэклог!A6="","",Бэклог!A6)</f>
        <v/>
      </c>
      <c r="B6" s="120">
        <f>IF($A6="","",Бэклог!B6)</f>
        <v/>
      </c>
      <c r="C6" s="119">
        <f>IF($A6="","",Бэклог!M6)</f>
        <v/>
      </c>
      <c r="D6" s="120">
        <f>IF($A6="","",Бэклог!C6)</f>
        <v/>
      </c>
      <c r="E6" s="119">
        <f>IF($A6="","",Бэклог!F6)</f>
        <v/>
      </c>
      <c r="F6" s="131" t="inlineStr">
        <is>
          <t>T-01</t>
        </is>
      </c>
      <c r="G6" s="121">
        <f>IF($A6="","",MAX(SUMIF('Дорожная карта'!$A$6:$A$16,C6,'Дорожная карта'!$C$6:$C$16),IF(F6="",0,IFERROR(INDEX($H$5:$H$44,MATCH(F6,$A$5:$A$44,0)),0))))</f>
        <v/>
      </c>
      <c r="H6" s="121">
        <f>IF($A6="","",G6+I6)</f>
        <v/>
      </c>
      <c r="I6" s="122">
        <f>IF($A6="","",Бэклог!E6)</f>
        <v/>
      </c>
      <c r="J6" s="140" t="n"/>
      <c r="K6" s="236">
        <f>IF(COUNTIF(Зависимости!$D$5:$D$100,A6)=0,"","◆ "&amp;IFERROR(VLOOKUP(A6,Зависимости!$D$5:$I$100,2,FALSE),"")&amp;" · "&amp;IFERROR(VLOOKUP(A6,Зависимости!$D$5:$I$100,6,FALSE),""))</f>
        <v/>
      </c>
    </row>
    <row r="7">
      <c r="A7" s="119">
        <f>IF(Бэклог!A7="","",Бэклог!A7)</f>
        <v/>
      </c>
      <c r="B7" s="120">
        <f>IF($A7="","",Бэклог!B7)</f>
        <v/>
      </c>
      <c r="C7" s="119">
        <f>IF($A7="","",Бэклог!M7)</f>
        <v/>
      </c>
      <c r="D7" s="120">
        <f>IF($A7="","",Бэклог!C7)</f>
        <v/>
      </c>
      <c r="E7" s="119">
        <f>IF($A7="","",Бэклог!F7)</f>
        <v/>
      </c>
      <c r="F7" s="131" t="n"/>
      <c r="G7" s="121">
        <f>IF($A7="","",MAX(SUMIF('Дорожная карта'!$A$6:$A$16,C7,'Дорожная карта'!$C$6:$C$16),IF(F7="",0,IFERROR(INDEX($H$5:$H$44,MATCH(F7,$A$5:$A$44,0)),0))))</f>
        <v/>
      </c>
      <c r="H7" s="121">
        <f>IF($A7="","",G7+I7)</f>
        <v/>
      </c>
      <c r="I7" s="122">
        <f>IF($A7="","",Бэклог!E7)</f>
        <v/>
      </c>
      <c r="J7" s="140" t="n"/>
      <c r="K7" s="236">
        <f>IF(COUNTIF(Зависимости!$D$5:$D$100,A7)=0,"","◆ "&amp;IFERROR(VLOOKUP(A7,Зависимости!$D$5:$I$100,2,FALSE),"")&amp;" · "&amp;IFERROR(VLOOKUP(A7,Зависимости!$D$5:$I$100,6,FALSE),""))</f>
        <v/>
      </c>
    </row>
    <row r="8">
      <c r="A8" s="119">
        <f>IF(Бэклог!A8="","",Бэклог!A8)</f>
        <v/>
      </c>
      <c r="B8" s="120">
        <f>IF($A8="","",Бэклог!B8)</f>
        <v/>
      </c>
      <c r="C8" s="119">
        <f>IF($A8="","",Бэклог!M8)</f>
        <v/>
      </c>
      <c r="D8" s="120">
        <f>IF($A8="","",Бэклог!C8)</f>
        <v/>
      </c>
      <c r="E8" s="119">
        <f>IF($A8="","",Бэклог!F8)</f>
        <v/>
      </c>
      <c r="F8" s="131" t="n"/>
      <c r="G8" s="121">
        <f>IF($A8="","",MAX(SUMIF('Дорожная карта'!$A$6:$A$16,C8,'Дорожная карта'!$C$6:$C$16),IF(F8="",0,IFERROR(INDEX($H$5:$H$44,MATCH(F8,$A$5:$A$44,0)),0))))</f>
        <v/>
      </c>
      <c r="H8" s="121">
        <f>IF($A8="","",G8+I8)</f>
        <v/>
      </c>
      <c r="I8" s="122">
        <f>IF($A8="","",Бэклог!E8)</f>
        <v/>
      </c>
      <c r="J8" s="140" t="n"/>
      <c r="K8" s="236">
        <f>IF(COUNTIF(Зависимости!$D$5:$D$100,A8)=0,"","◆ "&amp;IFERROR(VLOOKUP(A8,Зависимости!$D$5:$I$100,2,FALSE),"")&amp;" · "&amp;IFERROR(VLOOKUP(A8,Зависимости!$D$5:$I$100,6,FALSE),""))</f>
        <v/>
      </c>
    </row>
    <row r="9">
      <c r="A9" s="119">
        <f>IF(Бэклог!A9="","",Бэклог!A9)</f>
        <v/>
      </c>
      <c r="B9" s="120">
        <f>IF($A9="","",Бэклог!B9)</f>
        <v/>
      </c>
      <c r="C9" s="119">
        <f>IF($A9="","",Бэклог!M9)</f>
        <v/>
      </c>
      <c r="D9" s="120">
        <f>IF($A9="","",Бэклог!C9)</f>
        <v/>
      </c>
      <c r="E9" s="119">
        <f>IF($A9="","",Бэклог!F9)</f>
        <v/>
      </c>
      <c r="F9" s="131" t="inlineStr">
        <is>
          <t>T-01</t>
        </is>
      </c>
      <c r="G9" s="121">
        <f>IF($A9="","",MAX(SUMIF('Дорожная карта'!$A$6:$A$16,C9,'Дорожная карта'!$C$6:$C$16),IF(F9="",0,IFERROR(INDEX($H$5:$H$44,MATCH(F9,$A$5:$A$44,0)),0))))</f>
        <v/>
      </c>
      <c r="H9" s="121">
        <f>IF($A9="","",G9+I9)</f>
        <v/>
      </c>
      <c r="I9" s="122">
        <f>IF($A9="","",Бэклог!E9)</f>
        <v/>
      </c>
      <c r="J9" s="139" t="inlineStr">
        <is>
          <t>Да</t>
        </is>
      </c>
      <c r="K9" s="236">
        <f>IF(COUNTIF(Зависимости!$D$5:$D$100,A9)=0,"","◆ "&amp;IFERROR(VLOOKUP(A9,Зависимости!$D$5:$I$100,2,FALSE),"")&amp;" · "&amp;IFERROR(VLOOKUP(A9,Зависимости!$D$5:$I$100,6,FALSE),""))</f>
        <v/>
      </c>
    </row>
    <row r="10">
      <c r="A10" s="119">
        <f>IF(Бэклог!A10="","",Бэклог!A10)</f>
        <v/>
      </c>
      <c r="B10" s="120">
        <f>IF($A10="","",Бэклог!B10)</f>
        <v/>
      </c>
      <c r="C10" s="119">
        <f>IF($A10="","",Бэклог!M10)</f>
        <v/>
      </c>
      <c r="D10" s="120">
        <f>IF($A10="","",Бэклог!C10)</f>
        <v/>
      </c>
      <c r="E10" s="119">
        <f>IF($A10="","",Бэклог!F10)</f>
        <v/>
      </c>
      <c r="F10" s="131" t="n"/>
      <c r="G10" s="121">
        <f>IF($A10="","",MAX(SUMIF('Дорожная карта'!$A$6:$A$16,C10,'Дорожная карта'!$C$6:$C$16),IF(F10="",0,IFERROR(INDEX($H$5:$H$44,MATCH(F10,$A$5:$A$44,0)),0))))</f>
        <v/>
      </c>
      <c r="H10" s="121">
        <f>IF($A10="","",G10+I10)</f>
        <v/>
      </c>
      <c r="I10" s="122">
        <f>IF($A10="","",Бэклог!E10)</f>
        <v/>
      </c>
      <c r="J10" s="140" t="n"/>
      <c r="K10" s="236">
        <f>IF(COUNTIF(Зависимости!$D$5:$D$100,A10)=0,"","◆ "&amp;IFERROR(VLOOKUP(A10,Зависимости!$D$5:$I$100,2,FALSE),"")&amp;" · "&amp;IFERROR(VLOOKUP(A10,Зависимости!$D$5:$I$100,6,FALSE),""))</f>
        <v/>
      </c>
    </row>
    <row r="11">
      <c r="A11" s="119">
        <f>IF(Бэклог!A11="","",Бэклог!A11)</f>
        <v/>
      </c>
      <c r="B11" s="120">
        <f>IF($A11="","",Бэклог!B11)</f>
        <v/>
      </c>
      <c r="C11" s="119">
        <f>IF($A11="","",Бэклог!M11)</f>
        <v/>
      </c>
      <c r="D11" s="120">
        <f>IF($A11="","",Бэклог!C11)</f>
        <v/>
      </c>
      <c r="E11" s="119">
        <f>IF($A11="","",Бэклог!F11)</f>
        <v/>
      </c>
      <c r="F11" s="131" t="n"/>
      <c r="G11" s="121">
        <f>IF($A11="","",MAX(SUMIF('Дорожная карта'!$A$6:$A$16,C11,'Дорожная карта'!$C$6:$C$16),IF(F11="",0,IFERROR(INDEX($H$5:$H$44,MATCH(F11,$A$5:$A$44,0)),0))))</f>
        <v/>
      </c>
      <c r="H11" s="121">
        <f>IF($A11="","",G11+I11)</f>
        <v/>
      </c>
      <c r="I11" s="122">
        <f>IF($A11="","",Бэклог!E11)</f>
        <v/>
      </c>
      <c r="J11" s="140" t="n"/>
      <c r="K11" s="236">
        <f>IF(COUNTIF(Зависимости!$D$5:$D$100,A11)=0,"","◆ "&amp;IFERROR(VLOOKUP(A11,Зависимости!$D$5:$I$100,2,FALSE),"")&amp;" · "&amp;IFERROR(VLOOKUP(A11,Зависимости!$D$5:$I$100,6,FALSE),""))</f>
        <v/>
      </c>
    </row>
    <row r="12">
      <c r="A12" s="119">
        <f>IF(Бэклог!A12="","",Бэклог!A12)</f>
        <v/>
      </c>
      <c r="B12" s="120">
        <f>IF($A12="","",Бэклог!B12)</f>
        <v/>
      </c>
      <c r="C12" s="119">
        <f>IF($A12="","",Бэклог!M12)</f>
        <v/>
      </c>
      <c r="D12" s="120">
        <f>IF($A12="","",Бэклог!C12)</f>
        <v/>
      </c>
      <c r="E12" s="119">
        <f>IF($A12="","",Бэклог!F12)</f>
        <v/>
      </c>
      <c r="F12" s="131" t="n"/>
      <c r="G12" s="121">
        <f>IF($A12="","",MAX(SUMIF('Дорожная карта'!$A$6:$A$16,C12,'Дорожная карта'!$C$6:$C$16),IF(F12="",0,IFERROR(INDEX($H$5:$H$44,MATCH(F12,$A$5:$A$44,0)),0))))</f>
        <v/>
      </c>
      <c r="H12" s="121">
        <f>IF($A12="","",G12+I12)</f>
        <v/>
      </c>
      <c r="I12" s="122">
        <f>IF($A12="","",Бэклог!E12)</f>
        <v/>
      </c>
      <c r="J12" s="140" t="n"/>
      <c r="K12" s="236">
        <f>IF(COUNTIF(Зависимости!$D$5:$D$100,A12)=0,"","◆ "&amp;IFERROR(VLOOKUP(A12,Зависимости!$D$5:$I$100,2,FALSE),"")&amp;" · "&amp;IFERROR(VLOOKUP(A12,Зависимости!$D$5:$I$100,6,FALSE),""))</f>
        <v/>
      </c>
    </row>
    <row r="13">
      <c r="A13" s="119">
        <f>IF(Бэклог!A13="","",Бэклог!A13)</f>
        <v/>
      </c>
      <c r="B13" s="120">
        <f>IF($A13="","",Бэклог!B13)</f>
        <v/>
      </c>
      <c r="C13" s="119">
        <f>IF($A13="","",Бэклог!M13)</f>
        <v/>
      </c>
      <c r="D13" s="120">
        <f>IF($A13="","",Бэклог!C13)</f>
        <v/>
      </c>
      <c r="E13" s="119">
        <f>IF($A13="","",Бэклог!F13)</f>
        <v/>
      </c>
      <c r="F13" s="131" t="n"/>
      <c r="G13" s="121">
        <f>IF($A13="","",MAX(SUMIF('Дорожная карта'!$A$6:$A$16,C13,'Дорожная карта'!$C$6:$C$16),IF(F13="",0,IFERROR(INDEX($H$5:$H$44,MATCH(F13,$A$5:$A$44,0)),0))))</f>
        <v/>
      </c>
      <c r="H13" s="121">
        <f>IF($A13="","",G13+I13)</f>
        <v/>
      </c>
      <c r="I13" s="122">
        <f>IF($A13="","",Бэклог!E13)</f>
        <v/>
      </c>
      <c r="J13" s="140" t="n"/>
      <c r="K13" s="236">
        <f>IF(COUNTIF(Зависимости!$D$5:$D$100,A13)=0,"","◆ "&amp;IFERROR(VLOOKUP(A13,Зависимости!$D$5:$I$100,2,FALSE),"")&amp;" · "&amp;IFERROR(VLOOKUP(A13,Зависимости!$D$5:$I$100,6,FALSE),""))</f>
        <v/>
      </c>
    </row>
    <row r="14">
      <c r="A14" s="119">
        <f>IF(Бэклог!A14="","",Бэклог!A14)</f>
        <v/>
      </c>
      <c r="B14" s="120">
        <f>IF($A14="","",Бэклог!B14)</f>
        <v/>
      </c>
      <c r="C14" s="119">
        <f>IF($A14="","",Бэклог!M14)</f>
        <v/>
      </c>
      <c r="D14" s="120">
        <f>IF($A14="","",Бэклог!C14)</f>
        <v/>
      </c>
      <c r="E14" s="119">
        <f>IF($A14="","",Бэклог!F14)</f>
        <v/>
      </c>
      <c r="F14" s="131" t="n"/>
      <c r="G14" s="121">
        <f>IF($A14="","",MAX(SUMIF('Дорожная карта'!$A$6:$A$16,C14,'Дорожная карта'!$C$6:$C$16),IF(F14="",0,IFERROR(INDEX($H$5:$H$44,MATCH(F14,$A$5:$A$44,0)),0))))</f>
        <v/>
      </c>
      <c r="H14" s="121">
        <f>IF($A14="","",G14+I14)</f>
        <v/>
      </c>
      <c r="I14" s="122">
        <f>IF($A14="","",Бэклог!E14)</f>
        <v/>
      </c>
      <c r="J14" s="140" t="n"/>
      <c r="K14" s="236">
        <f>IF(COUNTIF(Зависимости!$D$5:$D$100,A14)=0,"","◆ "&amp;IFERROR(VLOOKUP(A14,Зависимости!$D$5:$I$100,2,FALSE),"")&amp;" · "&amp;IFERROR(VLOOKUP(A14,Зависимости!$D$5:$I$100,6,FALSE),""))</f>
        <v/>
      </c>
    </row>
    <row r="15">
      <c r="A15" s="119">
        <f>IF(Бэклог!A15="","",Бэклог!A15)</f>
        <v/>
      </c>
      <c r="B15" s="120">
        <f>IF($A15="","",Бэклог!B15)</f>
        <v/>
      </c>
      <c r="C15" s="119">
        <f>IF($A15="","",Бэклог!M15)</f>
        <v/>
      </c>
      <c r="D15" s="120">
        <f>IF($A15="","",Бэклог!C15)</f>
        <v/>
      </c>
      <c r="E15" s="119">
        <f>IF($A15="","",Бэклог!F15)</f>
        <v/>
      </c>
      <c r="F15" s="131" t="n"/>
      <c r="G15" s="121">
        <f>IF($A15="","",MAX(SUMIF('Дорожная карта'!$A$6:$A$16,C15,'Дорожная карта'!$C$6:$C$16),IF(F15="",0,IFERROR(INDEX($H$5:$H$44,MATCH(F15,$A$5:$A$44,0)),0))))</f>
        <v/>
      </c>
      <c r="H15" s="121">
        <f>IF($A15="","",G15+I15)</f>
        <v/>
      </c>
      <c r="I15" s="122">
        <f>IF($A15="","",Бэклог!E15)</f>
        <v/>
      </c>
      <c r="J15" s="140" t="n"/>
      <c r="K15" s="236">
        <f>IF(COUNTIF(Зависимости!$D$5:$D$100,A15)=0,"","◆ "&amp;IFERROR(VLOOKUP(A15,Зависимости!$D$5:$I$100,2,FALSE),"")&amp;" · "&amp;IFERROR(VLOOKUP(A15,Зависимости!$D$5:$I$100,6,FALSE),""))</f>
        <v/>
      </c>
    </row>
    <row r="16">
      <c r="A16" s="119">
        <f>IF(Бэклог!A16="","",Бэклог!A16)</f>
        <v/>
      </c>
      <c r="B16" s="120">
        <f>IF($A16="","",Бэклог!B16)</f>
        <v/>
      </c>
      <c r="C16" s="119">
        <f>IF($A16="","",Бэклог!M16)</f>
        <v/>
      </c>
      <c r="D16" s="120">
        <f>IF($A16="","",Бэклог!C16)</f>
        <v/>
      </c>
      <c r="E16" s="119">
        <f>IF($A16="","",Бэклог!F16)</f>
        <v/>
      </c>
      <c r="F16" s="131" t="inlineStr">
        <is>
          <t>T-04</t>
        </is>
      </c>
      <c r="G16" s="121">
        <f>IF($A16="","",MAX(SUMIF('Дорожная карта'!$A$6:$A$16,C16,'Дорожная карта'!$C$6:$C$16),IF(F16="",0,IFERROR(INDEX($H$5:$H$44,MATCH(F16,$A$5:$A$44,0)),0))))</f>
        <v/>
      </c>
      <c r="H16" s="121">
        <f>IF($A16="","",G16+I16)</f>
        <v/>
      </c>
      <c r="I16" s="122">
        <f>IF($A16="","",Бэклог!E16)</f>
        <v/>
      </c>
      <c r="J16" s="140" t="n"/>
      <c r="K16" s="236">
        <f>IF(COUNTIF(Зависимости!$D$5:$D$100,A16)=0,"","◆ "&amp;IFERROR(VLOOKUP(A16,Зависимости!$D$5:$I$100,2,FALSE),"")&amp;" · "&amp;IFERROR(VLOOKUP(A16,Зависимости!$D$5:$I$100,6,FALSE),""))</f>
        <v/>
      </c>
    </row>
    <row r="17">
      <c r="A17" s="119">
        <f>IF(Бэклог!A17="","",Бэклог!A17)</f>
        <v/>
      </c>
      <c r="B17" s="120">
        <f>IF($A17="","",Бэклог!B17)</f>
        <v/>
      </c>
      <c r="C17" s="119">
        <f>IF($A17="","",Бэклог!M17)</f>
        <v/>
      </c>
      <c r="D17" s="120">
        <f>IF($A17="","",Бэклог!C17)</f>
        <v/>
      </c>
      <c r="E17" s="119">
        <f>IF($A17="","",Бэклог!F17)</f>
        <v/>
      </c>
      <c r="F17" s="131" t="inlineStr">
        <is>
          <t>T-03</t>
        </is>
      </c>
      <c r="G17" s="121">
        <f>IF($A17="","",MAX(SUMIF('Дорожная карта'!$A$6:$A$16,C17,'Дорожная карта'!$C$6:$C$16),IF(F17="",0,IFERROR(INDEX($H$5:$H$44,MATCH(F17,$A$5:$A$44,0)),0))))</f>
        <v/>
      </c>
      <c r="H17" s="121">
        <f>IF($A17="","",G17+I17)</f>
        <v/>
      </c>
      <c r="I17" s="122">
        <f>IF($A17="","",Бэклог!E17)</f>
        <v/>
      </c>
      <c r="J17" s="139" t="inlineStr">
        <is>
          <t>Да</t>
        </is>
      </c>
      <c r="K17" s="236">
        <f>IF(COUNTIF(Зависимости!$D$5:$D$100,A17)=0,"","◆ "&amp;IFERROR(VLOOKUP(A17,Зависимости!$D$5:$I$100,2,FALSE),"")&amp;" · "&amp;IFERROR(VLOOKUP(A17,Зависимости!$D$5:$I$100,6,FALSE),""))</f>
        <v/>
      </c>
    </row>
    <row r="18">
      <c r="A18" s="119">
        <f>IF(Бэклог!A18="","",Бэклог!A18)</f>
        <v/>
      </c>
      <c r="B18" s="120">
        <f>IF($A18="","",Бэклог!B18)</f>
        <v/>
      </c>
      <c r="C18" s="119">
        <f>IF($A18="","",Бэклог!M18)</f>
        <v/>
      </c>
      <c r="D18" s="120">
        <f>IF($A18="","",Бэклог!C18)</f>
        <v/>
      </c>
      <c r="E18" s="119">
        <f>IF($A18="","",Бэклог!F18)</f>
        <v/>
      </c>
      <c r="F18" s="131" t="inlineStr">
        <is>
          <t>T-13</t>
        </is>
      </c>
      <c r="G18" s="121">
        <f>IF($A18="","",MAX(SUMIF('Дорожная карта'!$A$6:$A$16,C18,'Дорожная карта'!$C$6:$C$16),IF(F18="",0,IFERROR(INDEX($H$5:$H$44,MATCH(F18,$A$5:$A$44,0)),0))))</f>
        <v/>
      </c>
      <c r="H18" s="121">
        <f>IF($A18="","",G18+I18)</f>
        <v/>
      </c>
      <c r="I18" s="122">
        <f>IF($A18="","",Бэклог!E18)</f>
        <v/>
      </c>
      <c r="J18" s="139" t="inlineStr">
        <is>
          <t>Да</t>
        </is>
      </c>
      <c r="K18" s="236">
        <f>IF(COUNTIF(Зависимости!$D$5:$D$100,A18)=0,"","◆ "&amp;IFERROR(VLOOKUP(A18,Зависимости!$D$5:$I$100,2,FALSE),"")&amp;" · "&amp;IFERROR(VLOOKUP(A18,Зависимости!$D$5:$I$100,6,FALSE),""))</f>
        <v/>
      </c>
    </row>
    <row r="19">
      <c r="A19" s="119">
        <f>IF(Бэклог!A19="","",Бэклог!A19)</f>
        <v/>
      </c>
      <c r="B19" s="120">
        <f>IF($A19="","",Бэклог!B19)</f>
        <v/>
      </c>
      <c r="C19" s="119">
        <f>IF($A19="","",Бэклог!M19)</f>
        <v/>
      </c>
      <c r="D19" s="120">
        <f>IF($A19="","",Бэклог!C19)</f>
        <v/>
      </c>
      <c r="E19" s="119">
        <f>IF($A19="","",Бэклог!F19)</f>
        <v/>
      </c>
      <c r="F19" s="131" t="n"/>
      <c r="G19" s="121">
        <f>IF($A19="","",MAX(SUMIF('Дорожная карта'!$A$6:$A$16,C19,'Дорожная карта'!$C$6:$C$16),IF(F19="",0,IFERROR(INDEX($H$5:$H$44,MATCH(F19,$A$5:$A$44,0)),0))))</f>
        <v/>
      </c>
      <c r="H19" s="121">
        <f>IF($A19="","",G19+I19)</f>
        <v/>
      </c>
      <c r="I19" s="122">
        <f>IF($A19="","",Бэклог!E19)</f>
        <v/>
      </c>
      <c r="J19" s="140" t="n"/>
      <c r="K19" s="236">
        <f>IF(COUNTIF(Зависимости!$D$5:$D$100,A19)=0,"","◆ "&amp;IFERROR(VLOOKUP(A19,Зависимости!$D$5:$I$100,2,FALSE),"")&amp;" · "&amp;IFERROR(VLOOKUP(A19,Зависимости!$D$5:$I$100,6,FALSE),""))</f>
        <v/>
      </c>
    </row>
    <row r="20">
      <c r="A20" s="119">
        <f>IF(Бэклог!A20="","",Бэклог!A20)</f>
        <v/>
      </c>
      <c r="B20" s="120">
        <f>IF($A20="","",Бэклог!B20)</f>
        <v/>
      </c>
      <c r="C20" s="119">
        <f>IF($A20="","",Бэклог!M20)</f>
        <v/>
      </c>
      <c r="D20" s="120">
        <f>IF($A20="","",Бэклог!C20)</f>
        <v/>
      </c>
      <c r="E20" s="119">
        <f>IF($A20="","",Бэклог!F20)</f>
        <v/>
      </c>
      <c r="F20" s="131" t="inlineStr">
        <is>
          <t>T-15</t>
        </is>
      </c>
      <c r="G20" s="121">
        <f>IF($A20="","",MAX(SUMIF('Дорожная карта'!$A$6:$A$16,C20,'Дорожная карта'!$C$6:$C$16),IF(F20="",0,IFERROR(INDEX($H$5:$H$44,MATCH(F20,$A$5:$A$44,0)),0))))</f>
        <v/>
      </c>
      <c r="H20" s="121">
        <f>IF($A20="","",G20+I20)</f>
        <v/>
      </c>
      <c r="I20" s="122">
        <f>IF($A20="","",Бэклог!E20)</f>
        <v/>
      </c>
      <c r="J20" s="140" t="n"/>
      <c r="K20" s="236">
        <f>IF(COUNTIF(Зависимости!$D$5:$D$100,A20)=0,"","◆ "&amp;IFERROR(VLOOKUP(A20,Зависимости!$D$5:$I$100,2,FALSE),"")&amp;" · "&amp;IFERROR(VLOOKUP(A20,Зависимости!$D$5:$I$100,6,FALSE),""))</f>
        <v/>
      </c>
    </row>
    <row r="21">
      <c r="A21" s="119">
        <f>IF(Бэклог!A21="","",Бэклог!A21)</f>
        <v/>
      </c>
      <c r="B21" s="120">
        <f>IF($A21="","",Бэклог!B21)</f>
        <v/>
      </c>
      <c r="C21" s="119">
        <f>IF($A21="","",Бэклог!M21)</f>
        <v/>
      </c>
      <c r="D21" s="120">
        <f>IF($A21="","",Бэклог!C21)</f>
        <v/>
      </c>
      <c r="E21" s="119">
        <f>IF($A21="","",Бэклог!F21)</f>
        <v/>
      </c>
      <c r="F21" s="131" t="inlineStr">
        <is>
          <t>T-16</t>
        </is>
      </c>
      <c r="G21" s="121">
        <f>IF($A21="","",MAX(SUMIF('Дорожная карта'!$A$6:$A$16,C21,'Дорожная карта'!$C$6:$C$16),IF(F21="",0,IFERROR(INDEX($H$5:$H$44,MATCH(F21,$A$5:$A$44,0)),0))))</f>
        <v/>
      </c>
      <c r="H21" s="121">
        <f>IF($A21="","",G21+I21)</f>
        <v/>
      </c>
      <c r="I21" s="122">
        <f>IF($A21="","",Бэклог!E21)</f>
        <v/>
      </c>
      <c r="J21" s="140" t="n"/>
      <c r="K21" s="236">
        <f>IF(COUNTIF(Зависимости!$D$5:$D$100,A21)=0,"","◆ "&amp;IFERROR(VLOOKUP(A21,Зависимости!$D$5:$I$100,2,FALSE),"")&amp;" · "&amp;IFERROR(VLOOKUP(A21,Зависимости!$D$5:$I$100,6,FALSE),""))</f>
        <v/>
      </c>
    </row>
    <row r="22">
      <c r="A22" s="119">
        <f>IF(Бэклог!A22="","",Бэклог!A22)</f>
        <v/>
      </c>
      <c r="B22" s="120">
        <f>IF($A22="","",Бэклог!B22)</f>
        <v/>
      </c>
      <c r="C22" s="119">
        <f>IF($A22="","",Бэклог!M22)</f>
        <v/>
      </c>
      <c r="D22" s="120">
        <f>IF($A22="","",Бэклог!C22)</f>
        <v/>
      </c>
      <c r="E22" s="119">
        <f>IF($A22="","",Бэклог!F22)</f>
        <v/>
      </c>
      <c r="F22" s="131" t="n"/>
      <c r="G22" s="121">
        <f>IF($A22="","",MAX(SUMIF('Дорожная карта'!$A$6:$A$16,C22,'Дорожная карта'!$C$6:$C$16),IF(F22="",0,IFERROR(INDEX($H$5:$H$44,MATCH(F22,$A$5:$A$44,0)),0))))</f>
        <v/>
      </c>
      <c r="H22" s="121">
        <f>IF($A22="","",G22+I22)</f>
        <v/>
      </c>
      <c r="I22" s="122">
        <f>IF($A22="","",Бэклог!E22)</f>
        <v/>
      </c>
      <c r="J22" s="140" t="n"/>
      <c r="K22" s="236">
        <f>IF(COUNTIF(Зависимости!$D$5:$D$100,A22)=0,"","◆ "&amp;IFERROR(VLOOKUP(A22,Зависимости!$D$5:$I$100,2,FALSE),"")&amp;" · "&amp;IFERROR(VLOOKUP(A22,Зависимости!$D$5:$I$100,6,FALSE),""))</f>
        <v/>
      </c>
    </row>
    <row r="23" ht="27.6" customHeight="1">
      <c r="A23" s="119">
        <f>IF(Бэклог!A23="","",Бэклог!A23)</f>
        <v/>
      </c>
      <c r="B23" s="120">
        <f>IF($A23="","",Бэклог!B23)</f>
        <v/>
      </c>
      <c r="C23" s="119">
        <f>IF($A23="","",Бэклог!M23)</f>
        <v/>
      </c>
      <c r="D23" s="120">
        <f>IF($A23="","",Бэклог!C23)</f>
        <v/>
      </c>
      <c r="E23" s="119">
        <f>IF($A23="","",Бэклог!F23)</f>
        <v/>
      </c>
      <c r="F23" s="131" t="n"/>
      <c r="G23" s="121">
        <f>IF($A23="","",MAX(SUMIF('Дорожная карта'!$A$6:$A$16,C23,'Дорожная карта'!$C$6:$C$16),IF(F23="",0,IFERROR(INDEX($H$5:$H$44,MATCH(F23,$A$5:$A$44,0)),0))))</f>
        <v/>
      </c>
      <c r="H23" s="121">
        <f>IF($A23="","",G23+I23)</f>
        <v/>
      </c>
      <c r="I23" s="122">
        <f>IF($A23="","",Бэклог!E23)</f>
        <v/>
      </c>
      <c r="J23" s="140" t="n"/>
      <c r="K23" s="236">
        <f>IF(COUNTIF(Зависимости!$D$5:$D$100,A23)=0,"","◆ "&amp;IFERROR(VLOOKUP(A23,Зависимости!$D$5:$I$100,2,FALSE),"")&amp;" · "&amp;IFERROR(VLOOKUP(A23,Зависимости!$D$5:$I$100,6,FALSE),""))</f>
        <v/>
      </c>
    </row>
    <row r="24">
      <c r="A24" s="119">
        <f>IF(Бэклог!A24="","",Бэклог!A24)</f>
        <v/>
      </c>
      <c r="B24" s="120">
        <f>IF($A24="","",Бэклог!B24)</f>
        <v/>
      </c>
      <c r="C24" s="119">
        <f>IF($A24="","",Бэклог!M24)</f>
        <v/>
      </c>
      <c r="D24" s="120">
        <f>IF($A24="","",Бэклог!C24)</f>
        <v/>
      </c>
      <c r="E24" s="119">
        <f>IF($A24="","",Бэклог!F24)</f>
        <v/>
      </c>
      <c r="F24" s="131" t="n"/>
      <c r="G24" s="121">
        <f>IF($A24="","",MAX(SUMIF('Дорожная карта'!$A$6:$A$16,C24,'Дорожная карта'!$C$6:$C$16),IF(F24="",0,IFERROR(INDEX($H$5:$H$44,MATCH(F24,$A$5:$A$44,0)),0))))</f>
        <v/>
      </c>
      <c r="H24" s="121">
        <f>IF($A24="","",G24+I24)</f>
        <v/>
      </c>
      <c r="I24" s="122">
        <f>IF($A24="","",Бэклог!E24)</f>
        <v/>
      </c>
      <c r="J24" s="140" t="n"/>
      <c r="K24" s="236">
        <f>IF(COUNTIF(Зависимости!$D$5:$D$100,A24)=0,"","◆ "&amp;IFERROR(VLOOKUP(A24,Зависимости!$D$5:$I$100,2,FALSE),"")&amp;" · "&amp;IFERROR(VLOOKUP(A24,Зависимости!$D$5:$I$100,6,FALSE),""))</f>
        <v/>
      </c>
    </row>
    <row r="25">
      <c r="A25" s="119">
        <f>IF(Бэклог!A25="","",Бэклог!A25)</f>
        <v/>
      </c>
      <c r="B25" s="120">
        <f>IF($A25="","",Бэклог!B25)</f>
        <v/>
      </c>
      <c r="C25" s="119">
        <f>IF($A25="","",Бэклог!M25)</f>
        <v/>
      </c>
      <c r="D25" s="120">
        <f>IF($A25="","",Бэклог!C25)</f>
        <v/>
      </c>
      <c r="E25" s="119">
        <f>IF($A25="","",Бэклог!F25)</f>
        <v/>
      </c>
      <c r="F25" s="131" t="n"/>
      <c r="G25" s="121">
        <f>IF($A25="","",MAX(SUMIF('Дорожная карта'!$A$6:$A$16,C25,'Дорожная карта'!$C$6:$C$16),IF(F25="",0,IFERROR(INDEX($H$5:$H$44,MATCH(F25,$A$5:$A$44,0)),0))))</f>
        <v/>
      </c>
      <c r="H25" s="121">
        <f>IF($A25="","",G25+I25)</f>
        <v/>
      </c>
      <c r="I25" s="122">
        <f>IF($A25="","",Бэклог!E25)</f>
        <v/>
      </c>
      <c r="J25" s="140" t="n"/>
    </row>
    <row r="26">
      <c r="A26" s="119">
        <f>IF(Бэклог!A26="","",Бэклог!A26)</f>
        <v/>
      </c>
      <c r="B26" s="120">
        <f>IF($A26="","",Бэклог!B26)</f>
        <v/>
      </c>
      <c r="C26" s="119">
        <f>IF($A26="","",Бэклог!M26)</f>
        <v/>
      </c>
      <c r="D26" s="120">
        <f>IF($A26="","",Бэклог!C26)</f>
        <v/>
      </c>
      <c r="E26" s="119">
        <f>IF($A26="","",Бэклог!F26)</f>
        <v/>
      </c>
      <c r="F26" s="131" t="n"/>
      <c r="G26" s="121">
        <f>IF($A26="","",MAX(SUMIF('Дорожная карта'!$A$6:$A$16,C26,'Дорожная карта'!$C$6:$C$16),IF(F26="",0,IFERROR(INDEX($H$5:$H$44,MATCH(F26,$A$5:$A$44,0)),0))))</f>
        <v/>
      </c>
      <c r="H26" s="121">
        <f>IF($A26="","",G26+I26)</f>
        <v/>
      </c>
      <c r="I26" s="122">
        <f>IF($A26="","",Бэклог!E26)</f>
        <v/>
      </c>
      <c r="J26" s="140" t="n"/>
    </row>
    <row r="27">
      <c r="A27" s="119">
        <f>IF(Бэклог!A27="","",Бэклог!A27)</f>
        <v/>
      </c>
      <c r="B27" s="120">
        <f>IF($A27="","",Бэклог!B27)</f>
        <v/>
      </c>
      <c r="C27" s="119">
        <f>IF($A27="","",Бэклог!M27)</f>
        <v/>
      </c>
      <c r="D27" s="120">
        <f>IF($A27="","",Бэклог!C27)</f>
        <v/>
      </c>
      <c r="E27" s="119">
        <f>IF($A27="","",Бэклог!F27)</f>
        <v/>
      </c>
      <c r="F27" s="131" t="n"/>
      <c r="G27" s="121">
        <f>IF($A27="","",MAX(SUMIF('Дорожная карта'!$A$6:$A$16,C27,'Дорожная карта'!$C$6:$C$16),IF(F27="",0,IFERROR(INDEX($H$5:$H$44,MATCH(F27,$A$5:$A$44,0)),0))))</f>
        <v/>
      </c>
      <c r="H27" s="121">
        <f>IF($A27="","",G27+I27)</f>
        <v/>
      </c>
      <c r="I27" s="122">
        <f>IF($A27="","",Бэклог!E27)</f>
        <v/>
      </c>
      <c r="J27" s="140" t="n"/>
    </row>
    <row r="28">
      <c r="A28" s="119">
        <f>IF(Бэклог!A28="","",Бэклог!A28)</f>
        <v/>
      </c>
      <c r="B28" s="120">
        <f>IF($A28="","",Бэклог!B28)</f>
        <v/>
      </c>
      <c r="C28" s="119">
        <f>IF($A28="","",Бэклог!M28)</f>
        <v/>
      </c>
      <c r="D28" s="120">
        <f>IF($A28="","",Бэклог!C28)</f>
        <v/>
      </c>
      <c r="E28" s="119">
        <f>IF($A28="","",Бэклог!F28)</f>
        <v/>
      </c>
      <c r="F28" s="131" t="n"/>
      <c r="G28" s="121">
        <f>IF($A28="","",MAX(SUMIF('Дорожная карта'!$A$6:$A$16,C28,'Дорожная карта'!$C$6:$C$16),IF(F28="",0,IFERROR(INDEX($H$5:$H$44,MATCH(F28,$A$5:$A$44,0)),0))))</f>
        <v/>
      </c>
      <c r="H28" s="121">
        <f>IF($A28="","",G28+I28)</f>
        <v/>
      </c>
      <c r="I28" s="122">
        <f>IF($A28="","",Бэклог!E28)</f>
        <v/>
      </c>
      <c r="J28" s="140" t="n"/>
    </row>
    <row r="29">
      <c r="A29" s="119">
        <f>IF(Бэклог!A29="","",Бэклог!A29)</f>
        <v/>
      </c>
      <c r="B29" s="120">
        <f>IF($A29="","",Бэклог!B29)</f>
        <v/>
      </c>
      <c r="C29" s="119">
        <f>IF($A29="","",Бэклог!M29)</f>
        <v/>
      </c>
      <c r="D29" s="120">
        <f>IF($A29="","",Бэклог!C29)</f>
        <v/>
      </c>
      <c r="E29" s="119">
        <f>IF($A29="","",Бэклог!F29)</f>
        <v/>
      </c>
      <c r="F29" s="131" t="n"/>
      <c r="G29" s="121">
        <f>IF($A29="","",MAX(SUMIF('Дорожная карта'!$A$6:$A$16,C29,'Дорожная карта'!$C$6:$C$16),IF(F29="",0,IFERROR(INDEX($H$5:$H$44,MATCH(F29,$A$5:$A$44,0)),0))))</f>
        <v/>
      </c>
      <c r="H29" s="121">
        <f>IF($A29="","",G29+I29)</f>
        <v/>
      </c>
      <c r="I29" s="122">
        <f>IF($A29="","",Бэклог!E29)</f>
        <v/>
      </c>
      <c r="J29" s="140" t="n"/>
    </row>
    <row r="30">
      <c r="A30" s="119">
        <f>IF(Бэклог!A30="","",Бэклог!A30)</f>
        <v/>
      </c>
      <c r="B30" s="120">
        <f>IF($A30="","",Бэклог!B30)</f>
        <v/>
      </c>
      <c r="C30" s="119">
        <f>IF($A30="","",Бэклог!M30)</f>
        <v/>
      </c>
      <c r="D30" s="120">
        <f>IF($A30="","",Бэклог!C30)</f>
        <v/>
      </c>
      <c r="E30" s="119">
        <f>IF($A30="","",Бэклог!F30)</f>
        <v/>
      </c>
      <c r="F30" s="131" t="n"/>
      <c r="G30" s="121">
        <f>IF($A30="","",MAX(SUMIF('Дорожная карта'!$A$6:$A$16,C30,'Дорожная карта'!$C$6:$C$16),IF(F30="",0,IFERROR(INDEX($H$5:$H$44,MATCH(F30,$A$5:$A$44,0)),0))))</f>
        <v/>
      </c>
      <c r="H30" s="121">
        <f>IF($A30="","",G30+I30)</f>
        <v/>
      </c>
      <c r="I30" s="122">
        <f>IF($A30="","",Бэклог!E30)</f>
        <v/>
      </c>
      <c r="J30" s="140" t="n"/>
    </row>
    <row r="31">
      <c r="A31" s="119">
        <f>IF(Бэклог!A31="","",Бэклог!A31)</f>
        <v/>
      </c>
      <c r="B31" s="120">
        <f>IF($A31="","",Бэклог!B31)</f>
        <v/>
      </c>
      <c r="C31" s="119">
        <f>IF($A31="","",Бэклог!M31)</f>
        <v/>
      </c>
      <c r="D31" s="120">
        <f>IF($A31="","",Бэклог!C31)</f>
        <v/>
      </c>
      <c r="E31" s="119">
        <f>IF($A31="","",Бэклог!F31)</f>
        <v/>
      </c>
      <c r="F31" s="131" t="n"/>
      <c r="G31" s="121">
        <f>IF($A31="","",MAX(SUMIF('Дорожная карта'!$A$6:$A$16,C31,'Дорожная карта'!$C$6:$C$16),IF(F31="",0,IFERROR(INDEX($H$5:$H$44,MATCH(F31,$A$5:$A$44,0)),0))))</f>
        <v/>
      </c>
      <c r="H31" s="121">
        <f>IF($A31="","",G31+I31)</f>
        <v/>
      </c>
      <c r="I31" s="122">
        <f>IF($A31="","",Бэклог!E31)</f>
        <v/>
      </c>
      <c r="J31" s="140" t="n"/>
    </row>
    <row r="32">
      <c r="A32" s="119">
        <f>IF(Бэклог!A32="","",Бэклог!A32)</f>
        <v/>
      </c>
      <c r="B32" s="120">
        <f>IF($A32="","",Бэклог!B32)</f>
        <v/>
      </c>
      <c r="C32" s="119">
        <f>IF($A32="","",Бэклог!M32)</f>
        <v/>
      </c>
      <c r="D32" s="120">
        <f>IF($A32="","",Бэклог!C32)</f>
        <v/>
      </c>
      <c r="E32" s="119">
        <f>IF($A32="","",Бэклог!F32)</f>
        <v/>
      </c>
      <c r="F32" s="131" t="n"/>
      <c r="G32" s="121">
        <f>IF($A32="","",MAX(SUMIF('Дорожная карта'!$A$6:$A$16,C32,'Дорожная карта'!$C$6:$C$16),IF(F32="",0,IFERROR(INDEX($H$5:$H$44,MATCH(F32,$A$5:$A$44,0)),0))))</f>
        <v/>
      </c>
      <c r="H32" s="121">
        <f>IF($A32="","",G32+I32)</f>
        <v/>
      </c>
      <c r="I32" s="122">
        <f>IF($A32="","",Бэклог!E32)</f>
        <v/>
      </c>
      <c r="J32" s="140" t="n"/>
    </row>
    <row r="33">
      <c r="A33" s="119">
        <f>IF(Бэклог!A33="","",Бэклог!A33)</f>
        <v/>
      </c>
      <c r="B33" s="120">
        <f>IF($A33="","",Бэклог!B33)</f>
        <v/>
      </c>
      <c r="C33" s="119">
        <f>IF($A33="","",Бэклог!M33)</f>
        <v/>
      </c>
      <c r="D33" s="120">
        <f>IF($A33="","",Бэклог!C33)</f>
        <v/>
      </c>
      <c r="E33" s="119">
        <f>IF($A33="","",Бэклог!F33)</f>
        <v/>
      </c>
      <c r="F33" s="131" t="n"/>
      <c r="G33" s="121">
        <f>IF($A33="","",MAX(SUMIF('Дорожная карта'!$A$6:$A$16,C33,'Дорожная карта'!$C$6:$C$16),IF(F33="",0,IFERROR(INDEX($H$5:$H$44,MATCH(F33,$A$5:$A$44,0)),0))))</f>
        <v/>
      </c>
      <c r="H33" s="121">
        <f>IF($A33="","",G33+I33)</f>
        <v/>
      </c>
      <c r="I33" s="122">
        <f>IF($A33="","",Бэклог!E33)</f>
        <v/>
      </c>
      <c r="J33" s="140" t="n"/>
    </row>
    <row r="34">
      <c r="A34" s="119">
        <f>IF(Бэклог!A34="","",Бэклог!A34)</f>
        <v/>
      </c>
      <c r="B34" s="120">
        <f>IF($A34="","",Бэклог!B34)</f>
        <v/>
      </c>
      <c r="C34" s="119">
        <f>IF($A34="","",Бэклог!M34)</f>
        <v/>
      </c>
      <c r="D34" s="120">
        <f>IF($A34="","",Бэклог!C34)</f>
        <v/>
      </c>
      <c r="E34" s="119">
        <f>IF($A34="","",Бэклог!F34)</f>
        <v/>
      </c>
      <c r="F34" s="131" t="n"/>
      <c r="G34" s="121">
        <f>IF($A34="","",MAX(SUMIF('Дорожная карта'!$A$6:$A$16,C34,'Дорожная карта'!$C$6:$C$16),IF(F34="",0,IFERROR(INDEX($H$5:$H$44,MATCH(F34,$A$5:$A$44,0)),0))))</f>
        <v/>
      </c>
      <c r="H34" s="121">
        <f>IF($A34="","",G34+I34)</f>
        <v/>
      </c>
      <c r="I34" s="122">
        <f>IF($A34="","",Бэклог!E34)</f>
        <v/>
      </c>
      <c r="J34" s="140" t="n"/>
    </row>
    <row r="35">
      <c r="A35" s="119">
        <f>IF(Бэклог!A35="","",Бэклог!A35)</f>
        <v/>
      </c>
      <c r="B35" s="120">
        <f>IF($A35="","",Бэклог!B35)</f>
        <v/>
      </c>
      <c r="C35" s="119">
        <f>IF($A35="","",Бэклог!M35)</f>
        <v/>
      </c>
      <c r="D35" s="120">
        <f>IF($A35="","",Бэклог!C35)</f>
        <v/>
      </c>
      <c r="E35" s="119">
        <f>IF($A35="","",Бэклог!F35)</f>
        <v/>
      </c>
      <c r="F35" s="131" t="n"/>
      <c r="G35" s="121">
        <f>IF($A35="","",MAX(SUMIF('Дорожная карта'!$A$6:$A$16,C35,'Дорожная карта'!$C$6:$C$16),IF(F35="",0,IFERROR(INDEX($H$5:$H$44,MATCH(F35,$A$5:$A$44,0)),0))))</f>
        <v/>
      </c>
      <c r="H35" s="121">
        <f>IF($A35="","",G35+I35)</f>
        <v/>
      </c>
      <c r="I35" s="122">
        <f>IF($A35="","",Бэклог!E35)</f>
        <v/>
      </c>
      <c r="J35" s="140" t="n"/>
    </row>
    <row r="36">
      <c r="A36" s="119">
        <f>IF(Бэклог!A36="","",Бэклог!A36)</f>
        <v/>
      </c>
      <c r="B36" s="120">
        <f>IF($A36="","",Бэклог!B36)</f>
        <v/>
      </c>
      <c r="C36" s="119">
        <f>IF($A36="","",Бэклог!M36)</f>
        <v/>
      </c>
      <c r="D36" s="120">
        <f>IF($A36="","",Бэклог!C36)</f>
        <v/>
      </c>
      <c r="E36" s="119">
        <f>IF($A36="","",Бэклог!F36)</f>
        <v/>
      </c>
      <c r="F36" s="131" t="n"/>
      <c r="G36" s="121">
        <f>IF($A36="","",MAX(SUMIF('Дорожная карта'!$A$6:$A$16,C36,'Дорожная карта'!$C$6:$C$16),IF(F36="",0,IFERROR(INDEX($H$5:$H$44,MATCH(F36,$A$5:$A$44,0)),0))))</f>
        <v/>
      </c>
      <c r="H36" s="121">
        <f>IF($A36="","",G36+I36)</f>
        <v/>
      </c>
      <c r="I36" s="122">
        <f>IF($A36="","",Бэклог!E36)</f>
        <v/>
      </c>
      <c r="J36" s="140" t="n"/>
    </row>
    <row r="37">
      <c r="A37" s="119">
        <f>IF(Бэклог!A37="","",Бэклог!A37)</f>
        <v/>
      </c>
      <c r="B37" s="120">
        <f>IF($A37="","",Бэклог!B37)</f>
        <v/>
      </c>
      <c r="C37" s="119">
        <f>IF($A37="","",Бэклог!M37)</f>
        <v/>
      </c>
      <c r="D37" s="120">
        <f>IF($A37="","",Бэклог!C37)</f>
        <v/>
      </c>
      <c r="E37" s="119">
        <f>IF($A37="","",Бэклог!F37)</f>
        <v/>
      </c>
      <c r="F37" s="131" t="n"/>
      <c r="G37" s="121">
        <f>IF($A37="","",MAX(SUMIF('Дорожная карта'!$A$6:$A$16,C37,'Дорожная карта'!$C$6:$C$16),IF(F37="",0,IFERROR(INDEX($H$5:$H$44,MATCH(F37,$A$5:$A$44,0)),0))))</f>
        <v/>
      </c>
      <c r="H37" s="121">
        <f>IF($A37="","",G37+I37)</f>
        <v/>
      </c>
      <c r="I37" s="122">
        <f>IF($A37="","",Бэклог!E37)</f>
        <v/>
      </c>
      <c r="J37" s="140" t="n"/>
    </row>
    <row r="38">
      <c r="A38" s="119">
        <f>IF(Бэклог!A38="","",Бэклог!A38)</f>
        <v/>
      </c>
      <c r="B38" s="120">
        <f>IF($A38="","",Бэклог!B38)</f>
        <v/>
      </c>
      <c r="C38" s="119">
        <f>IF($A38="","",Бэклог!M38)</f>
        <v/>
      </c>
      <c r="D38" s="120">
        <f>IF($A38="","",Бэклог!C38)</f>
        <v/>
      </c>
      <c r="E38" s="119">
        <f>IF($A38="","",Бэклог!F38)</f>
        <v/>
      </c>
      <c r="F38" s="131" t="n"/>
      <c r="G38" s="121">
        <f>IF($A38="","",MAX(SUMIF('Дорожная карта'!$A$6:$A$16,C38,'Дорожная карта'!$C$6:$C$16),IF(F38="",0,IFERROR(INDEX($H$5:$H$44,MATCH(F38,$A$5:$A$44,0)),0))))</f>
        <v/>
      </c>
      <c r="H38" s="121">
        <f>IF($A38="","",G38+I38)</f>
        <v/>
      </c>
      <c r="I38" s="122">
        <f>IF($A38="","",Бэклог!E38)</f>
        <v/>
      </c>
      <c r="J38" s="140" t="n"/>
    </row>
    <row r="39">
      <c r="A39" s="119">
        <f>IF(Бэклог!A39="","",Бэклог!A39)</f>
        <v/>
      </c>
      <c r="B39" s="120">
        <f>IF($A39="","",Бэклог!B39)</f>
        <v/>
      </c>
      <c r="C39" s="119">
        <f>IF($A39="","",Бэклог!M39)</f>
        <v/>
      </c>
      <c r="D39" s="120">
        <f>IF($A39="","",Бэклог!C39)</f>
        <v/>
      </c>
      <c r="E39" s="119">
        <f>IF($A39="","",Бэклог!F39)</f>
        <v/>
      </c>
      <c r="F39" s="131" t="n"/>
      <c r="G39" s="121">
        <f>IF($A39="","",MAX(SUMIF('Дорожная карта'!$A$6:$A$16,C39,'Дорожная карта'!$C$6:$C$16),IF(F39="",0,IFERROR(INDEX($H$5:$H$44,MATCH(F39,$A$5:$A$44,0)),0))))</f>
        <v/>
      </c>
      <c r="H39" s="121">
        <f>IF($A39="","",G39+I39)</f>
        <v/>
      </c>
      <c r="I39" s="122">
        <f>IF($A39="","",Бэклог!E39)</f>
        <v/>
      </c>
      <c r="J39" s="140" t="n"/>
    </row>
    <row r="40">
      <c r="A40" s="119">
        <f>IF(Бэклог!A40="","",Бэклог!A40)</f>
        <v/>
      </c>
      <c r="B40" s="120">
        <f>IF($A40="","",Бэклог!B40)</f>
        <v/>
      </c>
      <c r="C40" s="119">
        <f>IF($A40="","",Бэклог!M40)</f>
        <v/>
      </c>
      <c r="D40" s="120">
        <f>IF($A40="","",Бэклог!C40)</f>
        <v/>
      </c>
      <c r="E40" s="119">
        <f>IF($A40="","",Бэклог!F40)</f>
        <v/>
      </c>
      <c r="F40" s="131" t="n"/>
      <c r="G40" s="121">
        <f>IF($A40="","",MAX(SUMIF('Дорожная карта'!$A$6:$A$16,C40,'Дорожная карта'!$C$6:$C$16),IF(F40="",0,IFERROR(INDEX($H$5:$H$44,MATCH(F40,$A$5:$A$44,0)),0))))</f>
        <v/>
      </c>
      <c r="H40" s="121">
        <f>IF($A40="","",G40+I40)</f>
        <v/>
      </c>
      <c r="I40" s="122">
        <f>IF($A40="","",Бэклог!E40)</f>
        <v/>
      </c>
      <c r="J40" s="140" t="n"/>
    </row>
    <row r="41">
      <c r="A41" s="119">
        <f>IF(Бэклог!A41="","",Бэклог!A41)</f>
        <v/>
      </c>
      <c r="B41" s="120">
        <f>IF($A41="","",Бэклог!B41)</f>
        <v/>
      </c>
      <c r="C41" s="119">
        <f>IF($A41="","",Бэклог!M41)</f>
        <v/>
      </c>
      <c r="D41" s="120">
        <f>IF($A41="","",Бэклог!C41)</f>
        <v/>
      </c>
      <c r="E41" s="119">
        <f>IF($A41="","",Бэклог!F41)</f>
        <v/>
      </c>
      <c r="F41" s="131" t="n"/>
      <c r="G41" s="121">
        <f>IF($A41="","",MAX(SUMIF('Дорожная карта'!$A$6:$A$16,C41,'Дорожная карта'!$C$6:$C$16),IF(F41="",0,IFERROR(INDEX($H$5:$H$44,MATCH(F41,$A$5:$A$44,0)),0))))</f>
        <v/>
      </c>
      <c r="H41" s="121">
        <f>IF($A41="","",G41+I41)</f>
        <v/>
      </c>
      <c r="I41" s="122">
        <f>IF($A41="","",Бэклог!E41)</f>
        <v/>
      </c>
      <c r="J41" s="140" t="n"/>
    </row>
    <row r="42">
      <c r="A42" s="119">
        <f>IF(Бэклог!A42="","",Бэклог!A42)</f>
        <v/>
      </c>
      <c r="B42" s="120">
        <f>IF($A42="","",Бэклог!B42)</f>
        <v/>
      </c>
      <c r="C42" s="119">
        <f>IF($A42="","",Бэклог!M42)</f>
        <v/>
      </c>
      <c r="D42" s="120">
        <f>IF($A42="","",Бэклог!C42)</f>
        <v/>
      </c>
      <c r="E42" s="119">
        <f>IF($A42="","",Бэклог!F42)</f>
        <v/>
      </c>
      <c r="F42" s="131" t="n"/>
      <c r="G42" s="121">
        <f>IF($A42="","",MAX(SUMIF('Дорожная карта'!$A$6:$A$16,C42,'Дорожная карта'!$C$6:$C$16),IF(F42="",0,IFERROR(INDEX($H$5:$H$44,MATCH(F42,$A$5:$A$44,0)),0))))</f>
        <v/>
      </c>
      <c r="H42" s="121">
        <f>IF($A42="","",G42+I42)</f>
        <v/>
      </c>
      <c r="I42" s="122">
        <f>IF($A42="","",Бэклог!E42)</f>
        <v/>
      </c>
      <c r="J42" s="140" t="n"/>
    </row>
    <row r="43">
      <c r="A43" s="119">
        <f>IF(Бэклог!A43="","",Бэклог!A43)</f>
        <v/>
      </c>
      <c r="B43" s="120">
        <f>IF($A43="","",Бэклог!B43)</f>
        <v/>
      </c>
      <c r="C43" s="119">
        <f>IF($A43="","",Бэклог!M43)</f>
        <v/>
      </c>
      <c r="D43" s="120">
        <f>IF($A43="","",Бэклог!C43)</f>
        <v/>
      </c>
      <c r="E43" s="119">
        <f>IF($A43="","",Бэклог!F43)</f>
        <v/>
      </c>
      <c r="F43" s="131" t="n"/>
      <c r="G43" s="121">
        <f>IF($A43="","",MAX(SUMIF('Дорожная карта'!$A$6:$A$16,C43,'Дорожная карта'!$C$6:$C$16),IF(F43="",0,IFERROR(INDEX($H$5:$H$44,MATCH(F43,$A$5:$A$44,0)),0))))</f>
        <v/>
      </c>
      <c r="H43" s="121">
        <f>IF($A43="","",G43+I43)</f>
        <v/>
      </c>
      <c r="I43" s="122">
        <f>IF($A43="","",Бэклог!E43)</f>
        <v/>
      </c>
      <c r="J43" s="140" t="n"/>
    </row>
    <row r="44">
      <c r="A44" s="119">
        <f>IF(Бэклог!A44="","",Бэклог!A44)</f>
        <v/>
      </c>
      <c r="B44" s="120">
        <f>IF($A44="","",Бэклог!B44)</f>
        <v/>
      </c>
      <c r="C44" s="119">
        <f>IF($A44="","",Бэклог!M44)</f>
        <v/>
      </c>
      <c r="D44" s="120">
        <f>IF($A44="","",Бэклог!C44)</f>
        <v/>
      </c>
      <c r="E44" s="119">
        <f>IF($A44="","",Бэклог!F44)</f>
        <v/>
      </c>
      <c r="F44" s="131" t="n"/>
      <c r="G44" s="121">
        <f>IF($A44="","",MAX(SUMIF('Дорожная карта'!$A$6:$A$16,C44,'Дорожная карта'!$C$6:$C$16),IF(F44="",0,IFERROR(INDEX($H$5:$H$44,MATCH(F44,$A$5:$A$44,0)),0))))</f>
        <v/>
      </c>
      <c r="H44" s="121">
        <f>IF($A44="","",G44+I44)</f>
        <v/>
      </c>
      <c r="I44" s="122">
        <f>IF($A44="","",Бэклог!E44)</f>
        <v/>
      </c>
      <c r="J44" s="140" t="n"/>
    </row>
    <row r="46">
      <c r="A46" s="14" t="inlineStr">
        <is>
          <t>Легенда спринтов:</t>
        </is>
      </c>
    </row>
    <row r="47" ht="27.6" customHeight="1">
      <c r="A47" s="123" t="inlineStr">
        <is>
          <t>Спринт 1</t>
        </is>
      </c>
    </row>
    <row r="48" ht="27.6" customHeight="1">
      <c r="A48" s="124" t="inlineStr">
        <is>
          <t>Спринт 2</t>
        </is>
      </c>
    </row>
    <row r="49" ht="27.6" customHeight="1">
      <c r="A49" s="125" t="inlineStr">
        <is>
          <t>Спринт 3</t>
        </is>
      </c>
    </row>
    <row r="50" ht="27.6" customHeight="1">
      <c r="A50" s="126" t="inlineStr">
        <is>
          <t>Спринт 4</t>
        </is>
      </c>
    </row>
    <row r="51" ht="27.6" customHeight="1">
      <c r="A51" s="127" t="inlineStr">
        <is>
          <t>Спринт 5</t>
        </is>
      </c>
    </row>
    <row r="53">
      <c r="A53" s="117" t="inlineStr">
        <is>
          <t>Стрелки-связи Excel не строит; зависимость видна по сдвигу старта задачи.</t>
        </is>
      </c>
    </row>
    <row r="54" ht="15.6" customHeight="1">
      <c r="A54" s="132" t="inlineStr">
        <is>
          <t>Карта зависимостей (сверху вниз = порядок выполнения, FS)</t>
        </is>
      </c>
    </row>
    <row r="56">
      <c r="B56" s="133" t="inlineStr">
        <is>
          <t>T-01</t>
        </is>
      </c>
      <c r="D56" s="133" t="inlineStr">
        <is>
          <t>T-01</t>
        </is>
      </c>
      <c r="F56" s="134" t="inlineStr">
        <is>
          <t>T-04</t>
        </is>
      </c>
      <c r="H56" s="135" t="inlineStr">
        <is>
          <t>T-15</t>
        </is>
      </c>
    </row>
    <row r="57" ht="15.6" customHeight="1">
      <c r="B57" s="136" t="inlineStr">
        <is>
          <t>▼</t>
        </is>
      </c>
      <c r="D57" s="136" t="inlineStr">
        <is>
          <t>▼</t>
        </is>
      </c>
      <c r="F57" s="136" t="inlineStr">
        <is>
          <t>▼</t>
        </is>
      </c>
      <c r="H57" s="136" t="inlineStr">
        <is>
          <t>▼</t>
        </is>
      </c>
    </row>
    <row r="58">
      <c r="B58" s="133" t="inlineStr">
        <is>
          <t>T-02</t>
        </is>
      </c>
      <c r="D58" s="134" t="inlineStr">
        <is>
          <t>T-03</t>
        </is>
      </c>
      <c r="F58" s="135" t="inlineStr">
        <is>
          <t>T-07</t>
        </is>
      </c>
      <c r="H58" s="137" t="inlineStr">
        <is>
          <t>T-16</t>
        </is>
      </c>
    </row>
    <row r="59" ht="15.6" customHeight="1">
      <c r="D59" s="136" t="inlineStr">
        <is>
          <t>▼</t>
        </is>
      </c>
      <c r="H59" s="136" t="inlineStr">
        <is>
          <t>▼</t>
        </is>
      </c>
    </row>
    <row r="60">
      <c r="D60" s="135" t="inlineStr">
        <is>
          <t>T-13</t>
        </is>
      </c>
      <c r="H60" s="137" t="inlineStr">
        <is>
          <t>T-17</t>
        </is>
      </c>
    </row>
    <row r="61" ht="15.6" customHeight="1">
      <c r="D61" s="136" t="inlineStr">
        <is>
          <t>▼</t>
        </is>
      </c>
    </row>
    <row r="62">
      <c r="D62" s="135" t="inlineStr">
        <is>
          <t>T-14</t>
        </is>
      </c>
    </row>
    <row r="65">
      <c r="A65" s="117" t="inlineStr">
        <is>
          <t>Плашки раскрашены по спринтам (см. легенду выше). Связи — из столбца «Зависит от».</t>
        </is>
      </c>
    </row>
    <row r="70">
      <c r="A70" s="141" t="inlineStr">
        <is>
          <t>Критический путь — красная обводка баров и «Да» в столбце «Критич. путь». Длина проекта: 26 раб./чел-дн.</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K20"/>
  <sheetViews>
    <sheetView showGridLines="0" workbookViewId="0">
      <pane ySplit="4" topLeftCell="A5" activePane="bottomLeft" state="frozen"/>
      <selection pane="bottomLeft" activeCell="A1" sqref="A1"/>
    </sheetView>
  </sheetViews>
  <sheetFormatPr baseColWidth="8" defaultRowHeight="14.4"/>
  <cols>
    <col width="7" customWidth="1" min="1" max="1"/>
    <col width="26" customWidth="1" min="2" max="2"/>
    <col width="9" customWidth="1" min="3" max="3"/>
    <col width="10" customWidth="1" min="4" max="4"/>
    <col width="22" customWidth="1" min="5" max="5"/>
    <col width="15" customWidth="1" min="6" max="6"/>
    <col width="30" customWidth="1" min="7" max="7"/>
    <col width="8" customWidth="1" min="8" max="8"/>
    <col width="14" customWidth="1" min="9" max="9"/>
    <col width="18" customWidth="1" min="10" max="10"/>
    <col width="8" customWidth="1" min="11" max="11"/>
  </cols>
  <sheetData>
    <row r="1" ht="17.4" customHeight="1">
      <c r="A1" s="213" t="inlineStr">
        <is>
          <t>Зависимости от других стримов</t>
        </is>
      </c>
    </row>
    <row r="2">
      <c r="A2" s="225" t="inlineStr">
        <is>
          <t>Межстримовые зависимости задач, историй и фич. Направление, статус (RAG) и риск.</t>
        </is>
      </c>
    </row>
    <row r="4" ht="27.6" customHeight="1">
      <c r="A4" s="226" t="inlineStr">
        <is>
          <t>ID</t>
        </is>
      </c>
      <c r="B4" s="226" t="inlineStr">
        <is>
          <t>Элемент</t>
        </is>
      </c>
      <c r="C4" s="226" t="inlineStr">
        <is>
          <t>Тип</t>
        </is>
      </c>
      <c r="D4" s="226" t="inlineStr">
        <is>
          <t>Задача
(Гант)</t>
        </is>
      </c>
      <c r="E4" s="226" t="inlineStr">
        <is>
          <t>Внешний стрим</t>
        </is>
      </c>
      <c r="F4" s="226" t="inlineStr">
        <is>
          <t>Направление</t>
        </is>
      </c>
      <c r="G4" s="226" t="inlineStr">
        <is>
          <t>Что именно</t>
        </is>
      </c>
      <c r="H4" s="226" t="inlineStr">
        <is>
          <t>Спринт</t>
        </is>
      </c>
      <c r="I4" s="226" t="inlineStr">
        <is>
          <t>Статус</t>
        </is>
      </c>
      <c r="J4" s="226" t="inlineStr">
        <is>
          <t>Владелец</t>
        </is>
      </c>
      <c r="K4" s="226" t="inlineStr">
        <is>
          <t>Риск</t>
        </is>
      </c>
    </row>
    <row r="5" ht="27.6" customHeight="1">
      <c r="A5" s="237" t="inlineStr">
        <is>
          <t>D-01</t>
        </is>
      </c>
      <c r="B5" s="238" t="inlineStr">
        <is>
          <t>Интеграция платежей</t>
        </is>
      </c>
      <c r="C5" s="230" t="inlineStr">
        <is>
          <t>Задача</t>
        </is>
      </c>
      <c r="D5" s="230" t="inlineStr">
        <is>
          <t>T-03</t>
        </is>
      </c>
      <c r="E5" s="238" t="inlineStr">
        <is>
          <t>Платёжный шлюз</t>
        </is>
      </c>
      <c r="F5" s="239" t="inlineStr">
        <is>
          <t>Мы зависим</t>
        </is>
      </c>
      <c r="G5" s="238" t="inlineStr">
        <is>
          <t>API оплаты v2 (токенизация карт)</t>
        </is>
      </c>
      <c r="H5" s="230" t="n">
        <v>3</v>
      </c>
      <c r="I5" s="239" t="inlineStr">
        <is>
          <t>Заблокировано</t>
        </is>
      </c>
      <c r="J5" s="239" t="inlineStr">
        <is>
          <t>Команда Payments</t>
        </is>
      </c>
      <c r="K5" s="230" t="inlineStr">
        <is>
          <t>High</t>
        </is>
      </c>
    </row>
    <row r="6">
      <c r="A6" s="237" t="inlineStr">
        <is>
          <t>D-02</t>
        </is>
      </c>
      <c r="B6" s="238" t="inlineStr">
        <is>
          <t>Оплата картой</t>
        </is>
      </c>
      <c r="C6" s="230" t="inlineStr">
        <is>
          <t>Фича</t>
        </is>
      </c>
      <c r="D6" s="230" t="n"/>
      <c r="E6" s="238" t="inlineStr">
        <is>
          <t>Платёжный шлюз</t>
        </is>
      </c>
      <c r="F6" s="239" t="inlineStr">
        <is>
          <t>Мы зависим</t>
        </is>
      </c>
      <c r="G6" s="238" t="inlineStr">
        <is>
          <t>Сертификация PCI DSS</t>
        </is>
      </c>
      <c r="H6" s="230" t="n">
        <v>4</v>
      </c>
      <c r="I6" s="239" t="inlineStr">
        <is>
          <t>Ожидается</t>
        </is>
      </c>
      <c r="J6" s="239" t="inlineStr">
        <is>
          <t>Security / Payments</t>
        </is>
      </c>
      <c r="K6" s="230" t="inlineStr">
        <is>
          <t>High</t>
        </is>
      </c>
    </row>
    <row r="7" ht="27.6" customHeight="1">
      <c r="A7" s="237" t="inlineStr">
        <is>
          <t>D-03</t>
        </is>
      </c>
      <c r="B7" s="238" t="inlineStr">
        <is>
          <t>Уведомления (e-mail/push)</t>
        </is>
      </c>
      <c r="C7" s="230" t="inlineStr">
        <is>
          <t>Задача</t>
        </is>
      </c>
      <c r="D7" s="230" t="inlineStr">
        <is>
          <t>T-08</t>
        </is>
      </c>
      <c r="E7" s="238" t="inlineStr">
        <is>
          <t>Инфраструктура / DevOps</t>
        </is>
      </c>
      <c r="F7" s="239" t="inlineStr">
        <is>
          <t>Мы зависим</t>
        </is>
      </c>
      <c r="G7" s="238" t="inlineStr">
        <is>
          <t>Сервис рассылок (SMTP + Push)</t>
        </is>
      </c>
      <c r="H7" s="230" t="n">
        <v>4</v>
      </c>
      <c r="I7" s="239" t="inlineStr">
        <is>
          <t>Подтверждено</t>
        </is>
      </c>
      <c r="J7" s="239" t="inlineStr">
        <is>
          <t>Platform Team</t>
        </is>
      </c>
      <c r="K7" s="230" t="inlineStr">
        <is>
          <t>Medium</t>
        </is>
      </c>
    </row>
    <row r="8">
      <c r="A8" s="237" t="inlineStr">
        <is>
          <t>D-04</t>
        </is>
      </c>
      <c r="B8" s="238" t="inlineStr">
        <is>
          <t>API промокодов</t>
        </is>
      </c>
      <c r="C8" s="230" t="inlineStr">
        <is>
          <t>Задача</t>
        </is>
      </c>
      <c r="D8" s="230" t="inlineStr">
        <is>
          <t>T-11</t>
        </is>
      </c>
      <c r="E8" s="238" t="inlineStr">
        <is>
          <t>Каталог / Контент</t>
        </is>
      </c>
      <c r="F8" s="239" t="inlineStr">
        <is>
          <t>Мы зависим</t>
        </is>
      </c>
      <c r="G8" s="238" t="inlineStr">
        <is>
          <t>Каталог товаров и цен</t>
        </is>
      </c>
      <c r="H8" s="230" t="n">
        <v>2</v>
      </c>
      <c r="I8" s="239" t="inlineStr">
        <is>
          <t>Получено</t>
        </is>
      </c>
      <c r="J8" s="239" t="inlineStr">
        <is>
          <t>Catalog Team</t>
        </is>
      </c>
      <c r="K8" s="230" t="inlineStr">
        <is>
          <t>Low</t>
        </is>
      </c>
    </row>
    <row r="9" ht="27.6" customHeight="1">
      <c r="A9" s="237" t="inlineStr">
        <is>
          <t>D-05</t>
        </is>
      </c>
      <c r="B9" s="238" t="inlineStr">
        <is>
          <t>Личный кабинет</t>
        </is>
      </c>
      <c r="C9" s="230" t="inlineStr">
        <is>
          <t>История</t>
        </is>
      </c>
      <c r="D9" s="230" t="n"/>
      <c r="E9" s="238" t="inlineStr">
        <is>
          <t>Идентификация (SSO)</t>
        </is>
      </c>
      <c r="F9" s="239" t="inlineStr">
        <is>
          <t>Мы зависим</t>
        </is>
      </c>
      <c r="G9" s="238" t="inlineStr">
        <is>
          <t>Единый вход (OAuth2/OIDC)</t>
        </is>
      </c>
      <c r="H9" s="230" t="n">
        <v>5</v>
      </c>
      <c r="I9" s="239" t="inlineStr">
        <is>
          <t>Ожидается</t>
        </is>
      </c>
      <c r="J9" s="239" t="inlineStr">
        <is>
          <t>IAM Team</t>
        </is>
      </c>
      <c r="K9" s="230" t="inlineStr">
        <is>
          <t>Medium</t>
        </is>
      </c>
    </row>
    <row r="10" ht="27.6" customHeight="1">
      <c r="A10" s="237" t="inlineStr">
        <is>
          <t>D-06</t>
        </is>
      </c>
      <c r="B10" s="238" t="inlineStr">
        <is>
          <t>Экран корзины</t>
        </is>
      </c>
      <c r="C10" s="230" t="inlineStr">
        <is>
          <t>Фича</t>
        </is>
      </c>
      <c r="D10" s="230" t="inlineStr">
        <is>
          <t>T-02</t>
        </is>
      </c>
      <c r="E10" s="238" t="inlineStr">
        <is>
          <t>Мобильное приложение</t>
        </is>
      </c>
      <c r="F10" s="239" t="inlineStr">
        <is>
          <t>Зависят от нас</t>
        </is>
      </c>
      <c r="G10" s="238" t="inlineStr">
        <is>
          <t>REST API заказов для мобильного клиента</t>
        </is>
      </c>
      <c r="H10" s="230" t="n">
        <v>6</v>
      </c>
      <c r="I10" s="239" t="inlineStr">
        <is>
          <t>Подтверждено</t>
        </is>
      </c>
      <c r="J10" s="239" t="inlineStr">
        <is>
          <t>Mobile Team</t>
        </is>
      </c>
      <c r="K10" s="230" t="inlineStr">
        <is>
          <t>Medium</t>
        </is>
      </c>
    </row>
    <row r="11" ht="27.6" customHeight="1">
      <c r="A11" s="237" t="inlineStr">
        <is>
          <t>D-07</t>
        </is>
      </c>
      <c r="B11" s="238" t="inlineStr">
        <is>
          <t>Логирование и метрики</t>
        </is>
      </c>
      <c r="C11" s="230" t="inlineStr">
        <is>
          <t>Задача</t>
        </is>
      </c>
      <c r="D11" s="230" t="inlineStr">
        <is>
          <t>T-12</t>
        </is>
      </c>
      <c r="E11" s="238" t="inlineStr">
        <is>
          <t>Data Platform / Аналитика</t>
        </is>
      </c>
      <c r="F11" s="239" t="inlineStr">
        <is>
          <t>Мы зависим</t>
        </is>
      </c>
      <c r="G11" s="238" t="inlineStr">
        <is>
          <t>Шина событий (Kafka topics)</t>
        </is>
      </c>
      <c r="H11" s="230" t="n">
        <v>4</v>
      </c>
      <c r="I11" s="239" t="inlineStr">
        <is>
          <t>Заблокировано</t>
        </is>
      </c>
      <c r="J11" s="239" t="inlineStr">
        <is>
          <t>Data Platform</t>
        </is>
      </c>
      <c r="K11" s="230" t="inlineStr">
        <is>
          <t>High</t>
        </is>
      </c>
    </row>
    <row r="12" ht="27.6" customHeight="1">
      <c r="A12" s="237" t="inlineStr">
        <is>
          <t>D-08</t>
        </is>
      </c>
      <c r="B12" s="238" t="inlineStr">
        <is>
          <t>Экспорт отчётов</t>
        </is>
      </c>
      <c r="C12" s="230" t="inlineStr">
        <is>
          <t>Фича</t>
        </is>
      </c>
      <c r="D12" s="230" t="n"/>
      <c r="E12" s="238" t="inlineStr">
        <is>
          <t>Data Platform / Аналитика</t>
        </is>
      </c>
      <c r="F12" s="239" t="inlineStr">
        <is>
          <t>Зависят от нас</t>
        </is>
      </c>
      <c r="G12" s="238" t="inlineStr">
        <is>
          <t>Витрина заказов для BI</t>
        </is>
      </c>
      <c r="H12" s="230" t="n">
        <v>7</v>
      </c>
      <c r="I12" s="239" t="inlineStr">
        <is>
          <t>Ожидается</t>
        </is>
      </c>
      <c r="J12" s="239" t="inlineStr">
        <is>
          <t>Analytics</t>
        </is>
      </c>
      <c r="K12" s="230" t="inlineStr">
        <is>
          <t>Low</t>
        </is>
      </c>
    </row>
    <row r="14">
      <c r="A14" s="222" t="inlineStr">
        <is>
          <t>Сводка по статусам</t>
        </is>
      </c>
    </row>
    <row r="15">
      <c r="A15" s="240" t="inlineStr">
        <is>
          <t>Статус</t>
        </is>
      </c>
      <c r="B15" s="240" t="inlineStr">
        <is>
          <t>Кол-во</t>
        </is>
      </c>
    </row>
    <row r="16">
      <c r="A16" s="186" t="inlineStr">
        <is>
          <t>Ожидается</t>
        </is>
      </c>
      <c r="B16" s="186">
        <f>COUNTIF($I$5:$I$12,A16)</f>
        <v/>
      </c>
    </row>
    <row r="17">
      <c r="A17" s="186" t="inlineStr">
        <is>
          <t>Подтверждено</t>
        </is>
      </c>
      <c r="B17" s="186">
        <f>COUNTIF($I$5:$I$12,A17)</f>
        <v/>
      </c>
    </row>
    <row r="18">
      <c r="A18" s="186" t="inlineStr">
        <is>
          <t>Получено</t>
        </is>
      </c>
      <c r="B18" s="186">
        <f>COUNTIF($I$5:$I$12,A18)</f>
        <v/>
      </c>
    </row>
    <row r="19">
      <c r="A19" s="186" t="inlineStr">
        <is>
          <t>Заблокировано</t>
        </is>
      </c>
      <c r="B19" s="186">
        <f>COUNTIF($I$5:$I$12,A19)</f>
        <v/>
      </c>
    </row>
    <row r="20">
      <c r="A20" s="186" t="inlineStr">
        <is>
          <t>Просрочено</t>
        </is>
      </c>
      <c r="B20" s="186">
        <f>COUNTIF($I$5:$I$12,A20)</f>
        <v/>
      </c>
    </row>
  </sheetData>
  <conditionalFormatting sqref="I5:I12">
    <cfRule type="cellIs" priority="1" operator="equal" dxfId="12">
      <formula>"Заблокировано"</formula>
    </cfRule>
    <cfRule type="cellIs" priority="2" operator="equal" dxfId="12">
      <formula>"Просрочено"</formula>
    </cfRule>
    <cfRule type="cellIs" priority="3" operator="equal" dxfId="11">
      <formula>"Ожидается"</formula>
    </cfRule>
    <cfRule type="cellIs" priority="4" operator="equal" dxfId="9">
      <formula>"Получено"</formula>
    </cfRule>
    <cfRule type="cellIs" priority="5" operator="equal" dxfId="9">
      <formula>"Подтверждено"</formula>
    </cfRule>
  </conditionalFormatting>
  <dataValidations count="4">
    <dataValidation sqref="C5:C12" showDropDown="0" showInputMessage="0" showErrorMessage="0" allowBlank="1" type="list">
      <formula1>"История,Задача,Фича,Эпик"</formula1>
    </dataValidation>
    <dataValidation sqref="F5:F12" showDropDown="0" showInputMessage="0" showErrorMessage="0" allowBlank="1" type="list">
      <formula1>"Мы зависим,Зависят от нас"</formula1>
    </dataValidation>
    <dataValidation sqref="I5:I12" showDropDown="0" showInputMessage="0" showErrorMessage="0" allowBlank="1" type="list">
      <formula1>"Ожидается,Подтверждено,Получено,Заблокировано,Просрочено"</formula1>
    </dataValidation>
    <dataValidation sqref="K5:K12" showDropDown="0" showInputMessage="0" showErrorMessage="0" allowBlank="1" type="list">
      <formula1>"High,Medium,Low"</formula1>
    </dataValidation>
  </dataValidation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147"/>
  <sheetViews>
    <sheetView showGridLines="0" workbookViewId="0">
      <pane ySplit="4" topLeftCell="A5" activePane="bottomLeft" state="frozen"/>
      <selection pane="bottomLeft" activeCell="C138" sqref="C138"/>
    </sheetView>
  </sheetViews>
  <sheetFormatPr baseColWidth="8" defaultRowHeight="14.4"/>
  <cols>
    <col width="9" customWidth="1" min="1" max="1"/>
    <col width="16" customWidth="1" min="2" max="2"/>
    <col width="12" customWidth="1" min="3" max="3"/>
    <col width="10" customWidth="1" min="4" max="6"/>
    <col width="8" customWidth="1" min="7" max="7"/>
    <col width="11" customWidth="1" min="8" max="8"/>
    <col width="9" customWidth="1" min="10" max="10"/>
    <col width="13" customWidth="1" min="11" max="11"/>
  </cols>
  <sheetData>
    <row r="1" ht="17.4" customHeight="1">
      <c r="A1" s="37" t="inlineStr">
        <is>
          <t>Капасити команды по спринтам</t>
        </is>
      </c>
    </row>
    <row r="2">
      <c r="A2" s="38" t="inlineStr">
        <is>
          <t>Капасити (дн) = (Раб. дней − Отсутствия) × Доступность × Focus factor, по каждому спринту отдельно. Жёлтые ячейки — заполняются вручную (отсутствия/доступность на спринт).</t>
        </is>
      </c>
    </row>
    <row r="4" ht="55.2" customHeight="1">
      <c r="A4" s="39" t="inlineStr">
        <is>
          <t>№
спринта</t>
        </is>
      </c>
      <c r="B4" s="39" t="inlineStr">
        <is>
          <t>Участник</t>
        </is>
      </c>
      <c r="C4" s="39" t="inlineStr">
        <is>
          <t>Роль</t>
        </is>
      </c>
      <c r="D4" s="39" t="inlineStr">
        <is>
          <t>Раб. дней
в спринте</t>
        </is>
      </c>
      <c r="E4" s="39" t="inlineStr">
        <is>
          <t>Отсутствия
(дней)</t>
        </is>
      </c>
      <c r="F4" s="39" t="inlineStr">
        <is>
          <t>Доступ-
ность</t>
        </is>
      </c>
      <c r="G4" s="39" t="inlineStr">
        <is>
          <t>Focus
factor</t>
        </is>
      </c>
      <c r="H4" s="39" t="inlineStr">
        <is>
          <t>Капасити
(дн)</t>
        </is>
      </c>
      <c r="J4" s="39" t="inlineStr">
        <is>
          <t>Спринт</t>
        </is>
      </c>
      <c r="K4" s="39" t="inlineStr">
        <is>
          <t>Итого
капасити (дн)</t>
        </is>
      </c>
    </row>
    <row r="5">
      <c r="A5" s="40" t="n">
        <v>1</v>
      </c>
      <c r="B5" s="41" t="inlineStr">
        <is>
          <t>Иванов А.</t>
        </is>
      </c>
      <c r="C5" s="41" t="inlineStr">
        <is>
          <t>Backend</t>
        </is>
      </c>
      <c r="D5" s="42">
        <f>SUMIF('Дорожная карта'!$A$6:$A$16,A5,'Дорожная карта'!$E$6:$E$16)</f>
        <v/>
      </c>
      <c r="E5" s="43" t="n">
        <v>0</v>
      </c>
      <c r="F5" s="44" t="n">
        <v>1</v>
      </c>
      <c r="G5" s="45">
        <f>Параметры!$B$9</f>
        <v/>
      </c>
      <c r="H5" s="46">
        <f>MAX(0,(D5-E5)*F5*G5)</f>
        <v/>
      </c>
      <c r="J5" s="47" t="n">
        <v>1</v>
      </c>
      <c r="K5" s="48">
        <f>SUMIF($A$5:$A$147,J5,$H$5:$H$147)</f>
        <v/>
      </c>
    </row>
    <row r="6">
      <c r="A6" s="47" t="n">
        <v>1</v>
      </c>
      <c r="B6" s="49" t="inlineStr">
        <is>
          <t>Петрова М.</t>
        </is>
      </c>
      <c r="C6" s="49" t="inlineStr">
        <is>
          <t>Frontend</t>
        </is>
      </c>
      <c r="D6" s="47">
        <f>SUMIF('Дорожная карта'!$A$6:$A$16,A6,'Дорожная карта'!$E$6:$E$16)</f>
        <v/>
      </c>
      <c r="E6" s="50" t="n">
        <v>1</v>
      </c>
      <c r="F6" s="51" t="n">
        <v>1</v>
      </c>
      <c r="G6" s="52">
        <f>Параметры!$B$9</f>
        <v/>
      </c>
      <c r="H6" s="48">
        <f>MAX(0,(D6-E6)*F6*G6)</f>
        <v/>
      </c>
      <c r="J6" s="47" t="n">
        <v>2</v>
      </c>
      <c r="K6" s="48">
        <f>SUMIF($A$5:$A$147,J6,$H$5:$H$147)</f>
        <v/>
      </c>
    </row>
    <row r="7">
      <c r="A7" s="47" t="n">
        <v>1</v>
      </c>
      <c r="B7" s="49" t="inlineStr">
        <is>
          <t>Сидоров К.</t>
        </is>
      </c>
      <c r="C7" s="49" t="inlineStr">
        <is>
          <t>QA</t>
        </is>
      </c>
      <c r="D7" s="47">
        <f>SUMIF('Дорожная карта'!$A$6:$A$16,A7,'Дорожная карта'!$E$6:$E$16)</f>
        <v/>
      </c>
      <c r="E7" s="50" t="n">
        <v>0</v>
      </c>
      <c r="F7" s="51" t="n">
        <v>0.8</v>
      </c>
      <c r="G7" s="52">
        <f>Параметры!$B$9</f>
        <v/>
      </c>
      <c r="H7" s="48">
        <f>MAX(0,(D7-E7)*F7*G7)</f>
        <v/>
      </c>
      <c r="J7" s="47" t="n">
        <v>3</v>
      </c>
      <c r="K7" s="48">
        <f>SUMIF($A$5:$A$147,J7,$H$5:$H$147)</f>
        <v/>
      </c>
    </row>
    <row r="8">
      <c r="A8" s="47" t="n">
        <v>1</v>
      </c>
      <c r="B8" s="49" t="inlineStr">
        <is>
          <t>Кузнецов Д.</t>
        </is>
      </c>
      <c r="C8" s="49" t="inlineStr">
        <is>
          <t>Backend</t>
        </is>
      </c>
      <c r="D8" s="47">
        <f>SUMIF('Дорожная карта'!$A$6:$A$16,A8,'Дорожная карта'!$E$6:$E$16)</f>
        <v/>
      </c>
      <c r="E8" s="50" t="n">
        <v>2</v>
      </c>
      <c r="F8" s="51" t="n">
        <v>1</v>
      </c>
      <c r="G8" s="52">
        <f>Параметры!$B$9</f>
        <v/>
      </c>
      <c r="H8" s="48">
        <f>MAX(0,(D8-E8)*F8*G8)</f>
        <v/>
      </c>
      <c r="J8" s="47" t="n">
        <v>4</v>
      </c>
      <c r="K8" s="48">
        <f>SUMIF($A$5:$A$147,J8,$H$5:$H$147)</f>
        <v/>
      </c>
    </row>
    <row r="9">
      <c r="A9" s="47" t="n">
        <v>1</v>
      </c>
      <c r="B9" s="49" t="inlineStr">
        <is>
          <t>Орлова Е.</t>
        </is>
      </c>
      <c r="C9" s="49" t="inlineStr">
        <is>
          <t>Analyst</t>
        </is>
      </c>
      <c r="D9" s="47">
        <f>SUMIF('Дорожная карта'!$A$6:$A$16,A9,'Дорожная карта'!$E$6:$E$16)</f>
        <v/>
      </c>
      <c r="E9" s="50" t="n">
        <v>0</v>
      </c>
      <c r="F9" s="51" t="n">
        <v>0.5</v>
      </c>
      <c r="G9" s="52">
        <f>Параметры!$B$9</f>
        <v/>
      </c>
      <c r="H9" s="48">
        <f>MAX(0,(D9-E9)*F9*G9)</f>
        <v/>
      </c>
      <c r="J9" s="47" t="n">
        <v>5</v>
      </c>
      <c r="K9" s="48">
        <f>SUMIF($A$5:$A$147,J9,$H$5:$H$147)</f>
        <v/>
      </c>
    </row>
    <row r="10">
      <c r="A10" s="47" t="n">
        <v>1</v>
      </c>
      <c r="B10" s="49" t="inlineStr">
        <is>
          <t>Смирнов П.</t>
        </is>
      </c>
      <c r="C10" s="49" t="inlineStr">
        <is>
          <t>Backend</t>
        </is>
      </c>
      <c r="D10" s="47">
        <f>SUMIF('Дорожная карта'!$A$6:$A$16,A10,'Дорожная карта'!$E$6:$E$16)</f>
        <v/>
      </c>
      <c r="E10" s="50" t="n">
        <v>0</v>
      </c>
      <c r="F10" s="51" t="n">
        <v>1</v>
      </c>
      <c r="G10" s="52">
        <f>Параметры!$B$9</f>
        <v/>
      </c>
      <c r="H10" s="48">
        <f>MAX(0,(D10-E10)*F10*G10)</f>
        <v/>
      </c>
      <c r="J10" s="47" t="n">
        <v>6</v>
      </c>
      <c r="K10" s="48">
        <f>SUMIF($A$5:$A$147,J10,$H$5:$H$147)</f>
        <v/>
      </c>
    </row>
    <row r="11">
      <c r="A11" s="47" t="n">
        <v>1</v>
      </c>
      <c r="B11" s="49" t="inlineStr">
        <is>
          <t>Волкова Н.</t>
        </is>
      </c>
      <c r="C11" s="49" t="inlineStr">
        <is>
          <t>Frontend</t>
        </is>
      </c>
      <c r="D11" s="47">
        <f>SUMIF('Дорожная карта'!$A$6:$A$16,A11,'Дорожная карта'!$E$6:$E$16)</f>
        <v/>
      </c>
      <c r="E11" s="50" t="n">
        <v>0</v>
      </c>
      <c r="F11" s="51" t="n">
        <v>1</v>
      </c>
      <c r="G11" s="52">
        <f>Параметры!$B$9</f>
        <v/>
      </c>
      <c r="H11" s="48">
        <f>MAX(0,(D11-E11)*F11*G11)</f>
        <v/>
      </c>
      <c r="J11" s="47" t="n">
        <v>7</v>
      </c>
      <c r="K11" s="48">
        <f>SUMIF($A$5:$A$147,J11,$H$5:$H$147)</f>
        <v/>
      </c>
    </row>
    <row r="12">
      <c r="A12" s="47" t="n">
        <v>1</v>
      </c>
      <c r="B12" s="49" t="inlineStr">
        <is>
          <t>Морозов И.</t>
        </is>
      </c>
      <c r="C12" s="49" t="inlineStr">
        <is>
          <t>QA</t>
        </is>
      </c>
      <c r="D12" s="47">
        <f>SUMIF('Дорожная карта'!$A$6:$A$16,A12,'Дорожная карта'!$E$6:$E$16)</f>
        <v/>
      </c>
      <c r="E12" s="50" t="n">
        <v>0</v>
      </c>
      <c r="F12" s="51" t="n">
        <v>1</v>
      </c>
      <c r="G12" s="52">
        <f>Параметры!$B$9</f>
        <v/>
      </c>
      <c r="H12" s="48">
        <f>MAX(0,(D12-E12)*F12*G12)</f>
        <v/>
      </c>
      <c r="J12" s="47" t="n">
        <v>8</v>
      </c>
      <c r="K12" s="48">
        <f>SUMIF($A$5:$A$147,J12,$H$5:$H$147)</f>
        <v/>
      </c>
    </row>
    <row r="13">
      <c r="A13" s="47" t="n">
        <v>1</v>
      </c>
      <c r="B13" s="49" t="inlineStr">
        <is>
          <t>Новиков А.</t>
        </is>
      </c>
      <c r="C13" s="49" t="inlineStr">
        <is>
          <t>DevOps</t>
        </is>
      </c>
      <c r="D13" s="47">
        <f>SUMIF('Дорожная карта'!$A$6:$A$16,A13,'Дорожная карта'!$E$6:$E$16)</f>
        <v/>
      </c>
      <c r="E13" s="50" t="n">
        <v>0</v>
      </c>
      <c r="F13" s="51" t="n">
        <v>0.8</v>
      </c>
      <c r="G13" s="52">
        <f>Параметры!$B$9</f>
        <v/>
      </c>
      <c r="H13" s="48">
        <f>MAX(0,(D13-E13)*F13*G13)</f>
        <v/>
      </c>
      <c r="J13" s="47" t="n">
        <v>9</v>
      </c>
      <c r="K13" s="48">
        <f>SUMIF($A$5:$A$147,J13,$H$5:$H$147)</f>
        <v/>
      </c>
    </row>
    <row r="14">
      <c r="A14" s="47" t="n">
        <v>1</v>
      </c>
      <c r="B14" s="49" t="inlineStr">
        <is>
          <t>Фёдорова О.</t>
        </is>
      </c>
      <c r="C14" s="49" t="inlineStr">
        <is>
          <t>Analyst</t>
        </is>
      </c>
      <c r="D14" s="47">
        <f>SUMIF('Дорожная карта'!$A$6:$A$16,A14,'Дорожная карта'!$E$6:$E$16)</f>
        <v/>
      </c>
      <c r="E14" s="50" t="n">
        <v>0</v>
      </c>
      <c r="F14" s="51" t="n">
        <v>1</v>
      </c>
      <c r="G14" s="52">
        <f>Параметры!$B$9</f>
        <v/>
      </c>
      <c r="H14" s="48">
        <f>MAX(0,(D14-E14)*F14*G14)</f>
        <v/>
      </c>
      <c r="J14" s="47" t="n">
        <v>10</v>
      </c>
      <c r="K14" s="48">
        <f>SUMIF($A$5:$A$147,J14,$H$5:$H$147)</f>
        <v/>
      </c>
    </row>
    <row r="15">
      <c r="A15" s="47" t="n">
        <v>1</v>
      </c>
      <c r="B15" s="49" t="inlineStr">
        <is>
          <t>Козлов В.</t>
        </is>
      </c>
      <c r="C15" s="49" t="inlineStr">
        <is>
          <t>Backend</t>
        </is>
      </c>
      <c r="D15" s="47">
        <f>SUMIF('Дорожная карта'!$A$6:$A$16,A15,'Дорожная карта'!$E$6:$E$16)</f>
        <v/>
      </c>
      <c r="E15" s="50" t="n">
        <v>0</v>
      </c>
      <c r="F15" s="51" t="n">
        <v>1</v>
      </c>
      <c r="G15" s="52">
        <f>Параметры!$B$9</f>
        <v/>
      </c>
      <c r="H15" s="48">
        <f>MAX(0,(D15-E15)*F15*G15)</f>
        <v/>
      </c>
      <c r="J15" s="47" t="n">
        <v>11</v>
      </c>
      <c r="K15" s="48">
        <f>SUMIF($A$5:$A$147,J15,$H$5:$H$147)</f>
        <v/>
      </c>
    </row>
    <row r="16">
      <c r="A16" s="47" t="n">
        <v>1</v>
      </c>
      <c r="B16" s="49" t="inlineStr">
        <is>
          <t>Лебедева Т.</t>
        </is>
      </c>
      <c r="C16" s="49" t="inlineStr">
        <is>
          <t>Designer</t>
        </is>
      </c>
      <c r="D16" s="47">
        <f>SUMIF('Дорожная карта'!$A$6:$A$16,A16,'Дорожная карта'!$E$6:$E$16)</f>
        <v/>
      </c>
      <c r="E16" s="50" t="n">
        <v>0</v>
      </c>
      <c r="F16" s="51" t="n">
        <v>0.8</v>
      </c>
      <c r="G16" s="52">
        <f>Параметры!$B$9</f>
        <v/>
      </c>
      <c r="H16" s="48">
        <f>MAX(0,(D16-E16)*F16*G16)</f>
        <v/>
      </c>
      <c r="J16" s="53" t="inlineStr">
        <is>
          <t>Всего</t>
        </is>
      </c>
      <c r="K16" s="54">
        <f>SUM(K5:K15)</f>
        <v/>
      </c>
    </row>
    <row r="17">
      <c r="A17" s="47" t="n">
        <v>1</v>
      </c>
      <c r="B17" s="49" t="inlineStr">
        <is>
          <t>Соколов Р.</t>
        </is>
      </c>
      <c r="C17" s="49" t="inlineStr">
        <is>
          <t>Frontend</t>
        </is>
      </c>
      <c r="D17" s="47">
        <f>SUMIF('Дорожная карта'!$A$6:$A$16,A17,'Дорожная карта'!$E$6:$E$16)</f>
        <v/>
      </c>
      <c r="E17" s="50" t="n">
        <v>0</v>
      </c>
      <c r="F17" s="51" t="n">
        <v>1</v>
      </c>
      <c r="G17" s="52">
        <f>Параметры!$B$9</f>
        <v/>
      </c>
      <c r="H17" s="48">
        <f>MAX(0,(D17-E17)*F17*G17)</f>
        <v/>
      </c>
    </row>
    <row r="18">
      <c r="A18" s="55" t="n">
        <v>2</v>
      </c>
      <c r="B18" s="41" t="inlineStr">
        <is>
          <t>Иванов А.</t>
        </is>
      </c>
      <c r="C18" s="41" t="inlineStr">
        <is>
          <t>Backend</t>
        </is>
      </c>
      <c r="D18" s="42">
        <f>SUMIF('Дорожная карта'!$A$6:$A$16,A18,'Дорожная карта'!$E$6:$E$16)</f>
        <v/>
      </c>
      <c r="E18" s="43" t="n">
        <v>0</v>
      </c>
      <c r="F18" s="44" t="n">
        <v>1</v>
      </c>
      <c r="G18" s="45">
        <f>Параметры!$B$9</f>
        <v/>
      </c>
      <c r="H18" s="46">
        <f>MAX(0,(D18-E18)*F18*G18)</f>
        <v/>
      </c>
    </row>
    <row r="19">
      <c r="A19" s="56" t="n">
        <v>2</v>
      </c>
      <c r="B19" s="49" t="inlineStr">
        <is>
          <t>Петрова М.</t>
        </is>
      </c>
      <c r="C19" s="49" t="inlineStr">
        <is>
          <t>Frontend</t>
        </is>
      </c>
      <c r="D19" s="47">
        <f>SUMIF('Дорожная карта'!$A$6:$A$16,A19,'Дорожная карта'!$E$6:$E$16)</f>
        <v/>
      </c>
      <c r="E19" s="50" t="n">
        <v>0</v>
      </c>
      <c r="F19" s="51" t="n">
        <v>1</v>
      </c>
      <c r="G19" s="52">
        <f>Параметры!$B$9</f>
        <v/>
      </c>
      <c r="H19" s="48">
        <f>MAX(0,(D19-E19)*F19*G19)</f>
        <v/>
      </c>
    </row>
    <row r="20">
      <c r="A20" s="56" t="n">
        <v>2</v>
      </c>
      <c r="B20" s="49" t="inlineStr">
        <is>
          <t>Сидоров К.</t>
        </is>
      </c>
      <c r="C20" s="49" t="inlineStr">
        <is>
          <t>QA</t>
        </is>
      </c>
      <c r="D20" s="47">
        <f>SUMIF('Дорожная карта'!$A$6:$A$16,A20,'Дорожная карта'!$E$6:$E$16)</f>
        <v/>
      </c>
      <c r="E20" s="50" t="n">
        <v>0</v>
      </c>
      <c r="F20" s="51" t="n">
        <v>0.8</v>
      </c>
      <c r="G20" s="52">
        <f>Параметры!$B$9</f>
        <v/>
      </c>
      <c r="H20" s="48">
        <f>MAX(0,(D20-E20)*F20*G20)</f>
        <v/>
      </c>
    </row>
    <row r="21">
      <c r="A21" s="56" t="n">
        <v>2</v>
      </c>
      <c r="B21" s="49" t="inlineStr">
        <is>
          <t>Кузнецов Д.</t>
        </is>
      </c>
      <c r="C21" s="49" t="inlineStr">
        <is>
          <t>Backend</t>
        </is>
      </c>
      <c r="D21" s="47">
        <f>SUMIF('Дорожная карта'!$A$6:$A$16,A21,'Дорожная карта'!$E$6:$E$16)</f>
        <v/>
      </c>
      <c r="E21" s="50" t="n">
        <v>0</v>
      </c>
      <c r="F21" s="51" t="n">
        <v>1</v>
      </c>
      <c r="G21" s="52">
        <f>Параметры!$B$9</f>
        <v/>
      </c>
      <c r="H21" s="48">
        <f>MAX(0,(D21-E21)*F21*G21)</f>
        <v/>
      </c>
    </row>
    <row r="22">
      <c r="A22" s="56" t="n">
        <v>2</v>
      </c>
      <c r="B22" s="49" t="inlineStr">
        <is>
          <t>Орлова Е.</t>
        </is>
      </c>
      <c r="C22" s="49" t="inlineStr">
        <is>
          <t>Analyst</t>
        </is>
      </c>
      <c r="D22" s="47">
        <f>SUMIF('Дорожная карта'!$A$6:$A$16,A22,'Дорожная карта'!$E$6:$E$16)</f>
        <v/>
      </c>
      <c r="E22" s="50" t="n">
        <v>0</v>
      </c>
      <c r="F22" s="51" t="n">
        <v>0.5</v>
      </c>
      <c r="G22" s="52">
        <f>Параметры!$B$9</f>
        <v/>
      </c>
      <c r="H22" s="48">
        <f>MAX(0,(D22-E22)*F22*G22)</f>
        <v/>
      </c>
    </row>
    <row r="23">
      <c r="A23" s="56" t="n">
        <v>2</v>
      </c>
      <c r="B23" s="49" t="inlineStr">
        <is>
          <t>Смирнов П.</t>
        </is>
      </c>
      <c r="C23" s="49" t="inlineStr">
        <is>
          <t>Backend</t>
        </is>
      </c>
      <c r="D23" s="47">
        <f>SUMIF('Дорожная карта'!$A$6:$A$16,A23,'Дорожная карта'!$E$6:$E$16)</f>
        <v/>
      </c>
      <c r="E23" s="50" t="n">
        <v>0</v>
      </c>
      <c r="F23" s="51" t="n">
        <v>1</v>
      </c>
      <c r="G23" s="52">
        <f>Параметры!$B$9</f>
        <v/>
      </c>
      <c r="H23" s="48">
        <f>MAX(0,(D23-E23)*F23*G23)</f>
        <v/>
      </c>
    </row>
    <row r="24">
      <c r="A24" s="56" t="n">
        <v>2</v>
      </c>
      <c r="B24" s="49" t="inlineStr">
        <is>
          <t>Волкова Н.</t>
        </is>
      </c>
      <c r="C24" s="49" t="inlineStr">
        <is>
          <t>Frontend</t>
        </is>
      </c>
      <c r="D24" s="47">
        <f>SUMIF('Дорожная карта'!$A$6:$A$16,A24,'Дорожная карта'!$E$6:$E$16)</f>
        <v/>
      </c>
      <c r="E24" s="50" t="n">
        <v>0</v>
      </c>
      <c r="F24" s="51" t="n">
        <v>1</v>
      </c>
      <c r="G24" s="52">
        <f>Параметры!$B$9</f>
        <v/>
      </c>
      <c r="H24" s="48">
        <f>MAX(0,(D24-E24)*F24*G24)</f>
        <v/>
      </c>
    </row>
    <row r="25">
      <c r="A25" s="56" t="n">
        <v>2</v>
      </c>
      <c r="B25" s="49" t="inlineStr">
        <is>
          <t>Морозов И.</t>
        </is>
      </c>
      <c r="C25" s="49" t="inlineStr">
        <is>
          <t>QA</t>
        </is>
      </c>
      <c r="D25" s="47">
        <f>SUMIF('Дорожная карта'!$A$6:$A$16,A25,'Дорожная карта'!$E$6:$E$16)</f>
        <v/>
      </c>
      <c r="E25" s="50" t="n">
        <v>0</v>
      </c>
      <c r="F25" s="51" t="n">
        <v>1</v>
      </c>
      <c r="G25" s="52">
        <f>Параметры!$B$9</f>
        <v/>
      </c>
      <c r="H25" s="48">
        <f>MAX(0,(D25-E25)*F25*G25)</f>
        <v/>
      </c>
    </row>
    <row r="26">
      <c r="A26" s="56" t="n">
        <v>2</v>
      </c>
      <c r="B26" s="49" t="inlineStr">
        <is>
          <t>Новиков А.</t>
        </is>
      </c>
      <c r="C26" s="49" t="inlineStr">
        <is>
          <t>DevOps</t>
        </is>
      </c>
      <c r="D26" s="47">
        <f>SUMIF('Дорожная карта'!$A$6:$A$16,A26,'Дорожная карта'!$E$6:$E$16)</f>
        <v/>
      </c>
      <c r="E26" s="50" t="n">
        <v>0</v>
      </c>
      <c r="F26" s="51" t="n">
        <v>0.8</v>
      </c>
      <c r="G26" s="52">
        <f>Параметры!$B$9</f>
        <v/>
      </c>
      <c r="H26" s="48">
        <f>MAX(0,(D26-E26)*F26*G26)</f>
        <v/>
      </c>
    </row>
    <row r="27">
      <c r="A27" s="56" t="n">
        <v>2</v>
      </c>
      <c r="B27" s="49" t="inlineStr">
        <is>
          <t>Фёдорова О.</t>
        </is>
      </c>
      <c r="C27" s="49" t="inlineStr">
        <is>
          <t>Analyst</t>
        </is>
      </c>
      <c r="D27" s="47">
        <f>SUMIF('Дорожная карта'!$A$6:$A$16,A27,'Дорожная карта'!$E$6:$E$16)</f>
        <v/>
      </c>
      <c r="E27" s="50" t="n">
        <v>0</v>
      </c>
      <c r="F27" s="51" t="n">
        <v>1</v>
      </c>
      <c r="G27" s="52">
        <f>Параметры!$B$9</f>
        <v/>
      </c>
      <c r="H27" s="48">
        <f>MAX(0,(D27-E27)*F27*G27)</f>
        <v/>
      </c>
    </row>
    <row r="28">
      <c r="A28" s="56" t="n">
        <v>2</v>
      </c>
      <c r="B28" s="49" t="inlineStr">
        <is>
          <t>Козлов В.</t>
        </is>
      </c>
      <c r="C28" s="49" t="inlineStr">
        <is>
          <t>Backend</t>
        </is>
      </c>
      <c r="D28" s="47">
        <f>SUMIF('Дорожная карта'!$A$6:$A$16,A28,'Дорожная карта'!$E$6:$E$16)</f>
        <v/>
      </c>
      <c r="E28" s="50" t="n">
        <v>0</v>
      </c>
      <c r="F28" s="51" t="n">
        <v>1</v>
      </c>
      <c r="G28" s="52">
        <f>Параметры!$B$9</f>
        <v/>
      </c>
      <c r="H28" s="48">
        <f>MAX(0,(D28-E28)*F28*G28)</f>
        <v/>
      </c>
    </row>
    <row r="29">
      <c r="A29" s="56" t="n">
        <v>2</v>
      </c>
      <c r="B29" s="49" t="inlineStr">
        <is>
          <t>Лебедева Т.</t>
        </is>
      </c>
      <c r="C29" s="49" t="inlineStr">
        <is>
          <t>Designer</t>
        </is>
      </c>
      <c r="D29" s="47">
        <f>SUMIF('Дорожная карта'!$A$6:$A$16,A29,'Дорожная карта'!$E$6:$E$16)</f>
        <v/>
      </c>
      <c r="E29" s="50" t="n">
        <v>0</v>
      </c>
      <c r="F29" s="51" t="n">
        <v>0.8</v>
      </c>
      <c r="G29" s="52">
        <f>Параметры!$B$9</f>
        <v/>
      </c>
      <c r="H29" s="48">
        <f>MAX(0,(D29-E29)*F29*G29)</f>
        <v/>
      </c>
    </row>
    <row r="30">
      <c r="A30" s="56" t="n">
        <v>2</v>
      </c>
      <c r="B30" s="49" t="inlineStr">
        <is>
          <t>Соколов Р.</t>
        </is>
      </c>
      <c r="C30" s="49" t="inlineStr">
        <is>
          <t>Frontend</t>
        </is>
      </c>
      <c r="D30" s="47">
        <f>SUMIF('Дорожная карта'!$A$6:$A$16,A30,'Дорожная карта'!$E$6:$E$16)</f>
        <v/>
      </c>
      <c r="E30" s="50" t="n">
        <v>0</v>
      </c>
      <c r="F30" s="51" t="n">
        <v>1</v>
      </c>
      <c r="G30" s="52">
        <f>Параметры!$B$9</f>
        <v/>
      </c>
      <c r="H30" s="48">
        <f>MAX(0,(D30-E30)*F30*G30)</f>
        <v/>
      </c>
    </row>
    <row r="31">
      <c r="A31" s="40" t="n">
        <v>3</v>
      </c>
      <c r="B31" s="41" t="inlineStr">
        <is>
          <t>Иванов А.</t>
        </is>
      </c>
      <c r="C31" s="41" t="inlineStr">
        <is>
          <t>Backend</t>
        </is>
      </c>
      <c r="D31" s="42">
        <f>SUMIF('Дорожная карта'!$A$6:$A$16,A31,'Дорожная карта'!$E$6:$E$16)</f>
        <v/>
      </c>
      <c r="E31" s="43" t="n">
        <v>0</v>
      </c>
      <c r="F31" s="44" t="n">
        <v>1</v>
      </c>
      <c r="G31" s="45">
        <f>Параметры!$B$9</f>
        <v/>
      </c>
      <c r="H31" s="46">
        <f>MAX(0,(D31-E31)*F31*G31)</f>
        <v/>
      </c>
    </row>
    <row r="32">
      <c r="A32" s="47" t="n">
        <v>3</v>
      </c>
      <c r="B32" s="49" t="inlineStr">
        <is>
          <t>Петрова М.</t>
        </is>
      </c>
      <c r="C32" s="49" t="inlineStr">
        <is>
          <t>Frontend</t>
        </is>
      </c>
      <c r="D32" s="47">
        <f>SUMIF('Дорожная карта'!$A$6:$A$16,A32,'Дорожная карта'!$E$6:$E$16)</f>
        <v/>
      </c>
      <c r="E32" s="50" t="n">
        <v>0</v>
      </c>
      <c r="F32" s="51" t="n">
        <v>1</v>
      </c>
      <c r="G32" s="52">
        <f>Параметры!$B$9</f>
        <v/>
      </c>
      <c r="H32" s="48">
        <f>MAX(0,(D32-E32)*F32*G32)</f>
        <v/>
      </c>
    </row>
    <row r="33">
      <c r="A33" s="47" t="n">
        <v>3</v>
      </c>
      <c r="B33" s="49" t="inlineStr">
        <is>
          <t>Сидоров К.</t>
        </is>
      </c>
      <c r="C33" s="49" t="inlineStr">
        <is>
          <t>QA</t>
        </is>
      </c>
      <c r="D33" s="47">
        <f>SUMIF('Дорожная карта'!$A$6:$A$16,A33,'Дорожная карта'!$E$6:$E$16)</f>
        <v/>
      </c>
      <c r="E33" s="50" t="n">
        <v>0</v>
      </c>
      <c r="F33" s="51" t="n">
        <v>0.8</v>
      </c>
      <c r="G33" s="52">
        <f>Параметры!$B$9</f>
        <v/>
      </c>
      <c r="H33" s="48">
        <f>MAX(0,(D33-E33)*F33*G33)</f>
        <v/>
      </c>
    </row>
    <row r="34">
      <c r="A34" s="47" t="n">
        <v>3</v>
      </c>
      <c r="B34" s="49" t="inlineStr">
        <is>
          <t>Кузнецов Д.</t>
        </is>
      </c>
      <c r="C34" s="49" t="inlineStr">
        <is>
          <t>Backend</t>
        </is>
      </c>
      <c r="D34" s="47">
        <f>SUMIF('Дорожная карта'!$A$6:$A$16,A34,'Дорожная карта'!$E$6:$E$16)</f>
        <v/>
      </c>
      <c r="E34" s="50" t="n">
        <v>0</v>
      </c>
      <c r="F34" s="51" t="n">
        <v>1</v>
      </c>
      <c r="G34" s="52">
        <f>Параметры!$B$9</f>
        <v/>
      </c>
      <c r="H34" s="48">
        <f>MAX(0,(D34-E34)*F34*G34)</f>
        <v/>
      </c>
    </row>
    <row r="35">
      <c r="A35" s="47" t="n">
        <v>3</v>
      </c>
      <c r="B35" s="49" t="inlineStr">
        <is>
          <t>Орлова Е.</t>
        </is>
      </c>
      <c r="C35" s="49" t="inlineStr">
        <is>
          <t>Analyst</t>
        </is>
      </c>
      <c r="D35" s="47">
        <f>SUMIF('Дорожная карта'!$A$6:$A$16,A35,'Дорожная карта'!$E$6:$E$16)</f>
        <v/>
      </c>
      <c r="E35" s="50" t="n">
        <v>0</v>
      </c>
      <c r="F35" s="51" t="n">
        <v>0.5</v>
      </c>
      <c r="G35" s="52">
        <f>Параметры!$B$9</f>
        <v/>
      </c>
      <c r="H35" s="48">
        <f>MAX(0,(D35-E35)*F35*G35)</f>
        <v/>
      </c>
    </row>
    <row r="36">
      <c r="A36" s="47" t="n">
        <v>3</v>
      </c>
      <c r="B36" s="49" t="inlineStr">
        <is>
          <t>Смирнов П.</t>
        </is>
      </c>
      <c r="C36" s="49" t="inlineStr">
        <is>
          <t>Backend</t>
        </is>
      </c>
      <c r="D36" s="47">
        <f>SUMIF('Дорожная карта'!$A$6:$A$16,A36,'Дорожная карта'!$E$6:$E$16)</f>
        <v/>
      </c>
      <c r="E36" s="50" t="n">
        <v>0</v>
      </c>
      <c r="F36" s="51" t="n">
        <v>1</v>
      </c>
      <c r="G36" s="52">
        <f>Параметры!$B$9</f>
        <v/>
      </c>
      <c r="H36" s="48">
        <f>MAX(0,(D36-E36)*F36*G36)</f>
        <v/>
      </c>
    </row>
    <row r="37">
      <c r="A37" s="47" t="n">
        <v>3</v>
      </c>
      <c r="B37" s="49" t="inlineStr">
        <is>
          <t>Волкова Н.</t>
        </is>
      </c>
      <c r="C37" s="49" t="inlineStr">
        <is>
          <t>Frontend</t>
        </is>
      </c>
      <c r="D37" s="47">
        <f>SUMIF('Дорожная карта'!$A$6:$A$16,A37,'Дорожная карта'!$E$6:$E$16)</f>
        <v/>
      </c>
      <c r="E37" s="50" t="n">
        <v>0</v>
      </c>
      <c r="F37" s="51" t="n">
        <v>1</v>
      </c>
      <c r="G37" s="52">
        <f>Параметры!$B$9</f>
        <v/>
      </c>
      <c r="H37" s="48">
        <f>MAX(0,(D37-E37)*F37*G37)</f>
        <v/>
      </c>
    </row>
    <row r="38">
      <c r="A38" s="47" t="n">
        <v>3</v>
      </c>
      <c r="B38" s="49" t="inlineStr">
        <is>
          <t>Морозов И.</t>
        </is>
      </c>
      <c r="C38" s="49" t="inlineStr">
        <is>
          <t>QA</t>
        </is>
      </c>
      <c r="D38" s="47">
        <f>SUMIF('Дорожная карта'!$A$6:$A$16,A38,'Дорожная карта'!$E$6:$E$16)</f>
        <v/>
      </c>
      <c r="E38" s="50" t="n">
        <v>0</v>
      </c>
      <c r="F38" s="51" t="n">
        <v>1</v>
      </c>
      <c r="G38" s="52">
        <f>Параметры!$B$9</f>
        <v/>
      </c>
      <c r="H38" s="48">
        <f>MAX(0,(D38-E38)*F38*G38)</f>
        <v/>
      </c>
    </row>
    <row r="39">
      <c r="A39" s="47" t="n">
        <v>3</v>
      </c>
      <c r="B39" s="49" t="inlineStr">
        <is>
          <t>Новиков А.</t>
        </is>
      </c>
      <c r="C39" s="49" t="inlineStr">
        <is>
          <t>DevOps</t>
        </is>
      </c>
      <c r="D39" s="47">
        <f>SUMIF('Дорожная карта'!$A$6:$A$16,A39,'Дорожная карта'!$E$6:$E$16)</f>
        <v/>
      </c>
      <c r="E39" s="50" t="n">
        <v>0</v>
      </c>
      <c r="F39" s="51" t="n">
        <v>0.8</v>
      </c>
      <c r="G39" s="52">
        <f>Параметры!$B$9</f>
        <v/>
      </c>
      <c r="H39" s="48">
        <f>MAX(0,(D39-E39)*F39*G39)</f>
        <v/>
      </c>
    </row>
    <row r="40">
      <c r="A40" s="47" t="n">
        <v>3</v>
      </c>
      <c r="B40" s="49" t="inlineStr">
        <is>
          <t>Фёдорова О.</t>
        </is>
      </c>
      <c r="C40" s="49" t="inlineStr">
        <is>
          <t>Analyst</t>
        </is>
      </c>
      <c r="D40" s="47">
        <f>SUMIF('Дорожная карта'!$A$6:$A$16,A40,'Дорожная карта'!$E$6:$E$16)</f>
        <v/>
      </c>
      <c r="E40" s="50" t="n">
        <v>0</v>
      </c>
      <c r="F40" s="51" t="n">
        <v>1</v>
      </c>
      <c r="G40" s="52">
        <f>Параметры!$B$9</f>
        <v/>
      </c>
      <c r="H40" s="48">
        <f>MAX(0,(D40-E40)*F40*G40)</f>
        <v/>
      </c>
    </row>
    <row r="41">
      <c r="A41" s="47" t="n">
        <v>3</v>
      </c>
      <c r="B41" s="49" t="inlineStr">
        <is>
          <t>Козлов В.</t>
        </is>
      </c>
      <c r="C41" s="49" t="inlineStr">
        <is>
          <t>Backend</t>
        </is>
      </c>
      <c r="D41" s="47">
        <f>SUMIF('Дорожная карта'!$A$6:$A$16,A41,'Дорожная карта'!$E$6:$E$16)</f>
        <v/>
      </c>
      <c r="E41" s="50" t="n">
        <v>0</v>
      </c>
      <c r="F41" s="51" t="n">
        <v>1</v>
      </c>
      <c r="G41" s="52">
        <f>Параметры!$B$9</f>
        <v/>
      </c>
      <c r="H41" s="48">
        <f>MAX(0,(D41-E41)*F41*G41)</f>
        <v/>
      </c>
    </row>
    <row r="42">
      <c r="A42" s="47" t="n">
        <v>3</v>
      </c>
      <c r="B42" s="49" t="inlineStr">
        <is>
          <t>Лебедева Т.</t>
        </is>
      </c>
      <c r="C42" s="49" t="inlineStr">
        <is>
          <t>Designer</t>
        </is>
      </c>
      <c r="D42" s="47">
        <f>SUMIF('Дорожная карта'!$A$6:$A$16,A42,'Дорожная карта'!$E$6:$E$16)</f>
        <v/>
      </c>
      <c r="E42" s="50" t="n">
        <v>0</v>
      </c>
      <c r="F42" s="51" t="n">
        <v>0.8</v>
      </c>
      <c r="G42" s="52">
        <f>Параметры!$B$9</f>
        <v/>
      </c>
      <c r="H42" s="48">
        <f>MAX(0,(D42-E42)*F42*G42)</f>
        <v/>
      </c>
    </row>
    <row r="43">
      <c r="A43" s="47" t="n">
        <v>3</v>
      </c>
      <c r="B43" s="49" t="inlineStr">
        <is>
          <t>Соколов Р.</t>
        </is>
      </c>
      <c r="C43" s="49" t="inlineStr">
        <is>
          <t>Frontend</t>
        </is>
      </c>
      <c r="D43" s="47">
        <f>SUMIF('Дорожная карта'!$A$6:$A$16,A43,'Дорожная карта'!$E$6:$E$16)</f>
        <v/>
      </c>
      <c r="E43" s="50" t="n">
        <v>0</v>
      </c>
      <c r="F43" s="51" t="n">
        <v>1</v>
      </c>
      <c r="G43" s="52">
        <f>Параметры!$B$9</f>
        <v/>
      </c>
      <c r="H43" s="48">
        <f>MAX(0,(D43-E43)*F43*G43)</f>
        <v/>
      </c>
    </row>
    <row r="44">
      <c r="A44" s="55" t="n">
        <v>4</v>
      </c>
      <c r="B44" s="41" t="inlineStr">
        <is>
          <t>Иванов А.</t>
        </is>
      </c>
      <c r="C44" s="41" t="inlineStr">
        <is>
          <t>Backend</t>
        </is>
      </c>
      <c r="D44" s="42">
        <f>SUMIF('Дорожная карта'!$A$6:$A$16,A44,'Дорожная карта'!$E$6:$E$16)</f>
        <v/>
      </c>
      <c r="E44" s="43" t="n">
        <v>0</v>
      </c>
      <c r="F44" s="44" t="n">
        <v>1</v>
      </c>
      <c r="G44" s="45">
        <f>Параметры!$B$9</f>
        <v/>
      </c>
      <c r="H44" s="46">
        <f>MAX(0,(D44-E44)*F44*G44)</f>
        <v/>
      </c>
    </row>
    <row r="45">
      <c r="A45" s="56" t="n">
        <v>4</v>
      </c>
      <c r="B45" s="49" t="inlineStr">
        <is>
          <t>Петрова М.</t>
        </is>
      </c>
      <c r="C45" s="49" t="inlineStr">
        <is>
          <t>Frontend</t>
        </is>
      </c>
      <c r="D45" s="47">
        <f>SUMIF('Дорожная карта'!$A$6:$A$16,A45,'Дорожная карта'!$E$6:$E$16)</f>
        <v/>
      </c>
      <c r="E45" s="50" t="n">
        <v>0</v>
      </c>
      <c r="F45" s="51" t="n">
        <v>1</v>
      </c>
      <c r="G45" s="52">
        <f>Параметры!$B$9</f>
        <v/>
      </c>
      <c r="H45" s="48">
        <f>MAX(0,(D45-E45)*F45*G45)</f>
        <v/>
      </c>
    </row>
    <row r="46">
      <c r="A46" s="56" t="n">
        <v>4</v>
      </c>
      <c r="B46" s="49" t="inlineStr">
        <is>
          <t>Сидоров К.</t>
        </is>
      </c>
      <c r="C46" s="49" t="inlineStr">
        <is>
          <t>QA</t>
        </is>
      </c>
      <c r="D46" s="47">
        <f>SUMIF('Дорожная карта'!$A$6:$A$16,A46,'Дорожная карта'!$E$6:$E$16)</f>
        <v/>
      </c>
      <c r="E46" s="50" t="n">
        <v>0</v>
      </c>
      <c r="F46" s="51" t="n">
        <v>0.8</v>
      </c>
      <c r="G46" s="52">
        <f>Параметры!$B$9</f>
        <v/>
      </c>
      <c r="H46" s="48">
        <f>MAX(0,(D46-E46)*F46*G46)</f>
        <v/>
      </c>
    </row>
    <row r="47">
      <c r="A47" s="56" t="n">
        <v>4</v>
      </c>
      <c r="B47" s="49" t="inlineStr">
        <is>
          <t>Кузнецов Д.</t>
        </is>
      </c>
      <c r="C47" s="49" t="inlineStr">
        <is>
          <t>Backend</t>
        </is>
      </c>
      <c r="D47" s="47">
        <f>SUMIF('Дорожная карта'!$A$6:$A$16,A47,'Дорожная карта'!$E$6:$E$16)</f>
        <v/>
      </c>
      <c r="E47" s="50" t="n">
        <v>0</v>
      </c>
      <c r="F47" s="51" t="n">
        <v>1</v>
      </c>
      <c r="G47" s="52">
        <f>Параметры!$B$9</f>
        <v/>
      </c>
      <c r="H47" s="48">
        <f>MAX(0,(D47-E47)*F47*G47)</f>
        <v/>
      </c>
    </row>
    <row r="48">
      <c r="A48" s="56" t="n">
        <v>4</v>
      </c>
      <c r="B48" s="49" t="inlineStr">
        <is>
          <t>Орлова Е.</t>
        </is>
      </c>
      <c r="C48" s="49" t="inlineStr">
        <is>
          <t>Analyst</t>
        </is>
      </c>
      <c r="D48" s="47">
        <f>SUMIF('Дорожная карта'!$A$6:$A$16,A48,'Дорожная карта'!$E$6:$E$16)</f>
        <v/>
      </c>
      <c r="E48" s="50" t="n">
        <v>0</v>
      </c>
      <c r="F48" s="51" t="n">
        <v>0.5</v>
      </c>
      <c r="G48" s="52">
        <f>Параметры!$B$9</f>
        <v/>
      </c>
      <c r="H48" s="48">
        <f>MAX(0,(D48-E48)*F48*G48)</f>
        <v/>
      </c>
    </row>
    <row r="49">
      <c r="A49" s="56" t="n">
        <v>4</v>
      </c>
      <c r="B49" s="49" t="inlineStr">
        <is>
          <t>Смирнов П.</t>
        </is>
      </c>
      <c r="C49" s="49" t="inlineStr">
        <is>
          <t>Backend</t>
        </is>
      </c>
      <c r="D49" s="47">
        <f>SUMIF('Дорожная карта'!$A$6:$A$16,A49,'Дорожная карта'!$E$6:$E$16)</f>
        <v/>
      </c>
      <c r="E49" s="50" t="n">
        <v>0</v>
      </c>
      <c r="F49" s="51" t="n">
        <v>1</v>
      </c>
      <c r="G49" s="52">
        <f>Параметры!$B$9</f>
        <v/>
      </c>
      <c r="H49" s="48">
        <f>MAX(0,(D49-E49)*F49*G49)</f>
        <v/>
      </c>
    </row>
    <row r="50">
      <c r="A50" s="56" t="n">
        <v>4</v>
      </c>
      <c r="B50" s="49" t="inlineStr">
        <is>
          <t>Волкова Н.</t>
        </is>
      </c>
      <c r="C50" s="49" t="inlineStr">
        <is>
          <t>Frontend</t>
        </is>
      </c>
      <c r="D50" s="47">
        <f>SUMIF('Дорожная карта'!$A$6:$A$16,A50,'Дорожная карта'!$E$6:$E$16)</f>
        <v/>
      </c>
      <c r="E50" s="50" t="n">
        <v>0</v>
      </c>
      <c r="F50" s="51" t="n">
        <v>1</v>
      </c>
      <c r="G50" s="52">
        <f>Параметры!$B$9</f>
        <v/>
      </c>
      <c r="H50" s="48">
        <f>MAX(0,(D50-E50)*F50*G50)</f>
        <v/>
      </c>
    </row>
    <row r="51">
      <c r="A51" s="56" t="n">
        <v>4</v>
      </c>
      <c r="B51" s="49" t="inlineStr">
        <is>
          <t>Морозов И.</t>
        </is>
      </c>
      <c r="C51" s="49" t="inlineStr">
        <is>
          <t>QA</t>
        </is>
      </c>
      <c r="D51" s="47">
        <f>SUMIF('Дорожная карта'!$A$6:$A$16,A51,'Дорожная карта'!$E$6:$E$16)</f>
        <v/>
      </c>
      <c r="E51" s="50" t="n">
        <v>0</v>
      </c>
      <c r="F51" s="51" t="n">
        <v>1</v>
      </c>
      <c r="G51" s="52">
        <f>Параметры!$B$9</f>
        <v/>
      </c>
      <c r="H51" s="48">
        <f>MAX(0,(D51-E51)*F51*G51)</f>
        <v/>
      </c>
    </row>
    <row r="52">
      <c r="A52" s="56" t="n">
        <v>4</v>
      </c>
      <c r="B52" s="49" t="inlineStr">
        <is>
          <t>Новиков А.</t>
        </is>
      </c>
      <c r="C52" s="49" t="inlineStr">
        <is>
          <t>DevOps</t>
        </is>
      </c>
      <c r="D52" s="47">
        <f>SUMIF('Дорожная карта'!$A$6:$A$16,A52,'Дорожная карта'!$E$6:$E$16)</f>
        <v/>
      </c>
      <c r="E52" s="50" t="n">
        <v>0</v>
      </c>
      <c r="F52" s="51" t="n">
        <v>0.8</v>
      </c>
      <c r="G52" s="52">
        <f>Параметры!$B$9</f>
        <v/>
      </c>
      <c r="H52" s="48">
        <f>MAX(0,(D52-E52)*F52*G52)</f>
        <v/>
      </c>
    </row>
    <row r="53">
      <c r="A53" s="56" t="n">
        <v>4</v>
      </c>
      <c r="B53" s="49" t="inlineStr">
        <is>
          <t>Фёдорова О.</t>
        </is>
      </c>
      <c r="C53" s="49" t="inlineStr">
        <is>
          <t>Analyst</t>
        </is>
      </c>
      <c r="D53" s="47">
        <f>SUMIF('Дорожная карта'!$A$6:$A$16,A53,'Дорожная карта'!$E$6:$E$16)</f>
        <v/>
      </c>
      <c r="E53" s="50" t="n">
        <v>0</v>
      </c>
      <c r="F53" s="51" t="n">
        <v>1</v>
      </c>
      <c r="G53" s="52">
        <f>Параметры!$B$9</f>
        <v/>
      </c>
      <c r="H53" s="48">
        <f>MAX(0,(D53-E53)*F53*G53)</f>
        <v/>
      </c>
    </row>
    <row r="54">
      <c r="A54" s="56" t="n">
        <v>4</v>
      </c>
      <c r="B54" s="49" t="inlineStr">
        <is>
          <t>Козлов В.</t>
        </is>
      </c>
      <c r="C54" s="49" t="inlineStr">
        <is>
          <t>Backend</t>
        </is>
      </c>
      <c r="D54" s="47">
        <f>SUMIF('Дорожная карта'!$A$6:$A$16,A54,'Дорожная карта'!$E$6:$E$16)</f>
        <v/>
      </c>
      <c r="E54" s="50" t="n">
        <v>0</v>
      </c>
      <c r="F54" s="51" t="n">
        <v>1</v>
      </c>
      <c r="G54" s="52">
        <f>Параметры!$B$9</f>
        <v/>
      </c>
      <c r="H54" s="48">
        <f>MAX(0,(D54-E54)*F54*G54)</f>
        <v/>
      </c>
    </row>
    <row r="55">
      <c r="A55" s="56" t="n">
        <v>4</v>
      </c>
      <c r="B55" s="49" t="inlineStr">
        <is>
          <t>Лебедева Т.</t>
        </is>
      </c>
      <c r="C55" s="49" t="inlineStr">
        <is>
          <t>Designer</t>
        </is>
      </c>
      <c r="D55" s="47">
        <f>SUMIF('Дорожная карта'!$A$6:$A$16,A55,'Дорожная карта'!$E$6:$E$16)</f>
        <v/>
      </c>
      <c r="E55" s="50" t="n">
        <v>0</v>
      </c>
      <c r="F55" s="51" t="n">
        <v>0.8</v>
      </c>
      <c r="G55" s="52">
        <f>Параметры!$B$9</f>
        <v/>
      </c>
      <c r="H55" s="48">
        <f>MAX(0,(D55-E55)*F55*G55)</f>
        <v/>
      </c>
    </row>
    <row r="56">
      <c r="A56" s="56" t="n">
        <v>4</v>
      </c>
      <c r="B56" s="49" t="inlineStr">
        <is>
          <t>Соколов Р.</t>
        </is>
      </c>
      <c r="C56" s="49" t="inlineStr">
        <is>
          <t>Frontend</t>
        </is>
      </c>
      <c r="D56" s="47">
        <f>SUMIF('Дорожная карта'!$A$6:$A$16,A56,'Дорожная карта'!$E$6:$E$16)</f>
        <v/>
      </c>
      <c r="E56" s="50" t="n">
        <v>0</v>
      </c>
      <c r="F56" s="51" t="n">
        <v>1</v>
      </c>
      <c r="G56" s="52">
        <f>Параметры!$B$9</f>
        <v/>
      </c>
      <c r="H56" s="48">
        <f>MAX(0,(D56-E56)*F56*G56)</f>
        <v/>
      </c>
    </row>
    <row r="57">
      <c r="A57" s="40" t="n">
        <v>5</v>
      </c>
      <c r="B57" s="41" t="inlineStr">
        <is>
          <t>Иванов А.</t>
        </is>
      </c>
      <c r="C57" s="41" t="inlineStr">
        <is>
          <t>Backend</t>
        </is>
      </c>
      <c r="D57" s="42">
        <f>SUMIF('Дорожная карта'!$A$6:$A$16,A57,'Дорожная карта'!$E$6:$E$16)</f>
        <v/>
      </c>
      <c r="E57" s="43" t="n">
        <v>0</v>
      </c>
      <c r="F57" s="44" t="n">
        <v>1</v>
      </c>
      <c r="G57" s="45">
        <f>Параметры!$B$9</f>
        <v/>
      </c>
      <c r="H57" s="46">
        <f>MAX(0,(D57-E57)*F57*G57)</f>
        <v/>
      </c>
    </row>
    <row r="58">
      <c r="A58" s="47" t="n">
        <v>5</v>
      </c>
      <c r="B58" s="49" t="inlineStr">
        <is>
          <t>Петрова М.</t>
        </is>
      </c>
      <c r="C58" s="49" t="inlineStr">
        <is>
          <t>Frontend</t>
        </is>
      </c>
      <c r="D58" s="47">
        <f>SUMIF('Дорожная карта'!$A$6:$A$16,A58,'Дорожная карта'!$E$6:$E$16)</f>
        <v/>
      </c>
      <c r="E58" s="50" t="n">
        <v>0</v>
      </c>
      <c r="F58" s="51" t="n">
        <v>1</v>
      </c>
      <c r="G58" s="52">
        <f>Параметры!$B$9</f>
        <v/>
      </c>
      <c r="H58" s="48">
        <f>MAX(0,(D58-E58)*F58*G58)</f>
        <v/>
      </c>
    </row>
    <row r="59">
      <c r="A59" s="47" t="n">
        <v>5</v>
      </c>
      <c r="B59" s="49" t="inlineStr">
        <is>
          <t>Сидоров К.</t>
        </is>
      </c>
      <c r="C59" s="49" t="inlineStr">
        <is>
          <t>QA</t>
        </is>
      </c>
      <c r="D59" s="47">
        <f>SUMIF('Дорожная карта'!$A$6:$A$16,A59,'Дорожная карта'!$E$6:$E$16)</f>
        <v/>
      </c>
      <c r="E59" s="50" t="n">
        <v>0</v>
      </c>
      <c r="F59" s="51" t="n">
        <v>0.8</v>
      </c>
      <c r="G59" s="52">
        <f>Параметры!$B$9</f>
        <v/>
      </c>
      <c r="H59" s="48">
        <f>MAX(0,(D59-E59)*F59*G59)</f>
        <v/>
      </c>
    </row>
    <row r="60">
      <c r="A60" s="47" t="n">
        <v>5</v>
      </c>
      <c r="B60" s="49" t="inlineStr">
        <is>
          <t>Кузнецов Д.</t>
        </is>
      </c>
      <c r="C60" s="49" t="inlineStr">
        <is>
          <t>Backend</t>
        </is>
      </c>
      <c r="D60" s="47">
        <f>SUMIF('Дорожная карта'!$A$6:$A$16,A60,'Дорожная карта'!$E$6:$E$16)</f>
        <v/>
      </c>
      <c r="E60" s="50" t="n">
        <v>0</v>
      </c>
      <c r="F60" s="51" t="n">
        <v>1</v>
      </c>
      <c r="G60" s="52">
        <f>Параметры!$B$9</f>
        <v/>
      </c>
      <c r="H60" s="48">
        <f>MAX(0,(D60-E60)*F60*G60)</f>
        <v/>
      </c>
    </row>
    <row r="61">
      <c r="A61" s="47" t="n">
        <v>5</v>
      </c>
      <c r="B61" s="49" t="inlineStr">
        <is>
          <t>Орлова Е.</t>
        </is>
      </c>
      <c r="C61" s="49" t="inlineStr">
        <is>
          <t>Analyst</t>
        </is>
      </c>
      <c r="D61" s="47">
        <f>SUMIF('Дорожная карта'!$A$6:$A$16,A61,'Дорожная карта'!$E$6:$E$16)</f>
        <v/>
      </c>
      <c r="E61" s="50" t="n">
        <v>5</v>
      </c>
      <c r="F61" s="51" t="n">
        <v>0.5</v>
      </c>
      <c r="G61" s="52">
        <f>Параметры!$B$9</f>
        <v/>
      </c>
      <c r="H61" s="48">
        <f>MAX(0,(D61-E61)*F61*G61)</f>
        <v/>
      </c>
    </row>
    <row r="62">
      <c r="A62" s="47" t="n">
        <v>5</v>
      </c>
      <c r="B62" s="49" t="inlineStr">
        <is>
          <t>Смирнов П.</t>
        </is>
      </c>
      <c r="C62" s="49" t="inlineStr">
        <is>
          <t>Backend</t>
        </is>
      </c>
      <c r="D62" s="47">
        <f>SUMIF('Дорожная карта'!$A$6:$A$16,A62,'Дорожная карта'!$E$6:$E$16)</f>
        <v/>
      </c>
      <c r="E62" s="50" t="n">
        <v>0</v>
      </c>
      <c r="F62" s="51" t="n">
        <v>1</v>
      </c>
      <c r="G62" s="52">
        <f>Параметры!$B$9</f>
        <v/>
      </c>
      <c r="H62" s="48">
        <f>MAX(0,(D62-E62)*F62*G62)</f>
        <v/>
      </c>
    </row>
    <row r="63">
      <c r="A63" s="47" t="n">
        <v>5</v>
      </c>
      <c r="B63" s="49" t="inlineStr">
        <is>
          <t>Волкова Н.</t>
        </is>
      </c>
      <c r="C63" s="49" t="inlineStr">
        <is>
          <t>Frontend</t>
        </is>
      </c>
      <c r="D63" s="47">
        <f>SUMIF('Дорожная карта'!$A$6:$A$16,A63,'Дорожная карта'!$E$6:$E$16)</f>
        <v/>
      </c>
      <c r="E63" s="50" t="n">
        <v>0</v>
      </c>
      <c r="F63" s="51" t="n">
        <v>1</v>
      </c>
      <c r="G63" s="52">
        <f>Параметры!$B$9</f>
        <v/>
      </c>
      <c r="H63" s="48">
        <f>MAX(0,(D63-E63)*F63*G63)</f>
        <v/>
      </c>
    </row>
    <row r="64">
      <c r="A64" s="47" t="n">
        <v>5</v>
      </c>
      <c r="B64" s="49" t="inlineStr">
        <is>
          <t>Морозов И.</t>
        </is>
      </c>
      <c r="C64" s="49" t="inlineStr">
        <is>
          <t>QA</t>
        </is>
      </c>
      <c r="D64" s="47">
        <f>SUMIF('Дорожная карта'!$A$6:$A$16,A64,'Дорожная карта'!$E$6:$E$16)</f>
        <v/>
      </c>
      <c r="E64" s="50" t="n">
        <v>0</v>
      </c>
      <c r="F64" s="51" t="n">
        <v>1</v>
      </c>
      <c r="G64" s="52">
        <f>Параметры!$B$9</f>
        <v/>
      </c>
      <c r="H64" s="48">
        <f>MAX(0,(D64-E64)*F64*G64)</f>
        <v/>
      </c>
    </row>
    <row r="65">
      <c r="A65" s="47" t="n">
        <v>5</v>
      </c>
      <c r="B65" s="49" t="inlineStr">
        <is>
          <t>Новиков А.</t>
        </is>
      </c>
      <c r="C65" s="49" t="inlineStr">
        <is>
          <t>DevOps</t>
        </is>
      </c>
      <c r="D65" s="47">
        <f>SUMIF('Дорожная карта'!$A$6:$A$16,A65,'Дорожная карта'!$E$6:$E$16)</f>
        <v/>
      </c>
      <c r="E65" s="50" t="n">
        <v>0</v>
      </c>
      <c r="F65" s="51" t="n">
        <v>0.8</v>
      </c>
      <c r="G65" s="52">
        <f>Параметры!$B$9</f>
        <v/>
      </c>
      <c r="H65" s="48">
        <f>MAX(0,(D65-E65)*F65*G65)</f>
        <v/>
      </c>
    </row>
    <row r="66">
      <c r="A66" s="47" t="n">
        <v>5</v>
      </c>
      <c r="B66" s="49" t="inlineStr">
        <is>
          <t>Фёдорова О.</t>
        </is>
      </c>
      <c r="C66" s="49" t="inlineStr">
        <is>
          <t>Analyst</t>
        </is>
      </c>
      <c r="D66" s="47">
        <f>SUMIF('Дорожная карта'!$A$6:$A$16,A66,'Дорожная карта'!$E$6:$E$16)</f>
        <v/>
      </c>
      <c r="E66" s="50" t="n">
        <v>0</v>
      </c>
      <c r="F66" s="51" t="n">
        <v>1</v>
      </c>
      <c r="G66" s="52">
        <f>Параметры!$B$9</f>
        <v/>
      </c>
      <c r="H66" s="48">
        <f>MAX(0,(D66-E66)*F66*G66)</f>
        <v/>
      </c>
    </row>
    <row r="67">
      <c r="A67" s="47" t="n">
        <v>5</v>
      </c>
      <c r="B67" s="49" t="inlineStr">
        <is>
          <t>Козлов В.</t>
        </is>
      </c>
      <c r="C67" s="49" t="inlineStr">
        <is>
          <t>Backend</t>
        </is>
      </c>
      <c r="D67" s="47">
        <f>SUMIF('Дорожная карта'!$A$6:$A$16,A67,'Дорожная карта'!$E$6:$E$16)</f>
        <v/>
      </c>
      <c r="E67" s="50" t="n">
        <v>0</v>
      </c>
      <c r="F67" s="51" t="n">
        <v>1</v>
      </c>
      <c r="G67" s="52">
        <f>Параметры!$B$9</f>
        <v/>
      </c>
      <c r="H67" s="48">
        <f>MAX(0,(D67-E67)*F67*G67)</f>
        <v/>
      </c>
    </row>
    <row r="68">
      <c r="A68" s="47" t="n">
        <v>5</v>
      </c>
      <c r="B68" s="49" t="inlineStr">
        <is>
          <t>Лебедева Т.</t>
        </is>
      </c>
      <c r="C68" s="49" t="inlineStr">
        <is>
          <t>Designer</t>
        </is>
      </c>
      <c r="D68" s="47">
        <f>SUMIF('Дорожная карта'!$A$6:$A$16,A68,'Дорожная карта'!$E$6:$E$16)</f>
        <v/>
      </c>
      <c r="E68" s="50" t="n">
        <v>0</v>
      </c>
      <c r="F68" s="51" t="n">
        <v>0.8</v>
      </c>
      <c r="G68" s="52">
        <f>Параметры!$B$9</f>
        <v/>
      </c>
      <c r="H68" s="48">
        <f>MAX(0,(D68-E68)*F68*G68)</f>
        <v/>
      </c>
    </row>
    <row r="69">
      <c r="A69" s="47" t="n">
        <v>5</v>
      </c>
      <c r="B69" s="49" t="inlineStr">
        <is>
          <t>Соколов Р.</t>
        </is>
      </c>
      <c r="C69" s="49" t="inlineStr">
        <is>
          <t>Frontend</t>
        </is>
      </c>
      <c r="D69" s="47">
        <f>SUMIF('Дорожная карта'!$A$6:$A$16,A69,'Дорожная карта'!$E$6:$E$16)</f>
        <v/>
      </c>
      <c r="E69" s="50" t="n">
        <v>0</v>
      </c>
      <c r="F69" s="51" t="n">
        <v>1</v>
      </c>
      <c r="G69" s="52">
        <f>Параметры!$B$9</f>
        <v/>
      </c>
      <c r="H69" s="48">
        <f>MAX(0,(D69-E69)*F69*G69)</f>
        <v/>
      </c>
    </row>
    <row r="70">
      <c r="A70" s="55" t="n">
        <v>6</v>
      </c>
      <c r="B70" s="41" t="inlineStr">
        <is>
          <t>Иванов А.</t>
        </is>
      </c>
      <c r="C70" s="41" t="inlineStr">
        <is>
          <t>Backend</t>
        </is>
      </c>
      <c r="D70" s="42">
        <f>SUMIF('Дорожная карта'!$A$6:$A$16,A70,'Дорожная карта'!$E$6:$E$16)</f>
        <v/>
      </c>
      <c r="E70" s="43" t="n">
        <v>0</v>
      </c>
      <c r="F70" s="44" t="n">
        <v>1</v>
      </c>
      <c r="G70" s="45">
        <f>Параметры!$B$9</f>
        <v/>
      </c>
      <c r="H70" s="46">
        <f>MAX(0,(D70-E70)*F70*G70)</f>
        <v/>
      </c>
    </row>
    <row r="71">
      <c r="A71" s="56" t="n">
        <v>6</v>
      </c>
      <c r="B71" s="49" t="inlineStr">
        <is>
          <t>Петрова М.</t>
        </is>
      </c>
      <c r="C71" s="49" t="inlineStr">
        <is>
          <t>Frontend</t>
        </is>
      </c>
      <c r="D71" s="47">
        <f>SUMIF('Дорожная карта'!$A$6:$A$16,A71,'Дорожная карта'!$E$6:$E$16)</f>
        <v/>
      </c>
      <c r="E71" s="50" t="n">
        <v>0</v>
      </c>
      <c r="F71" s="51" t="n">
        <v>1</v>
      </c>
      <c r="G71" s="52">
        <f>Параметры!$B$9</f>
        <v/>
      </c>
      <c r="H71" s="48">
        <f>MAX(0,(D71-E71)*F71*G71)</f>
        <v/>
      </c>
    </row>
    <row r="72">
      <c r="A72" s="56" t="n">
        <v>6</v>
      </c>
      <c r="B72" s="49" t="inlineStr">
        <is>
          <t>Сидоров К.</t>
        </is>
      </c>
      <c r="C72" s="49" t="inlineStr">
        <is>
          <t>QA</t>
        </is>
      </c>
      <c r="D72" s="47">
        <f>SUMIF('Дорожная карта'!$A$6:$A$16,A72,'Дорожная карта'!$E$6:$E$16)</f>
        <v/>
      </c>
      <c r="E72" s="50" t="n">
        <v>0</v>
      </c>
      <c r="F72" s="51" t="n">
        <v>0.8</v>
      </c>
      <c r="G72" s="52">
        <f>Параметры!$B$9</f>
        <v/>
      </c>
      <c r="H72" s="48">
        <f>MAX(0,(D72-E72)*F72*G72)</f>
        <v/>
      </c>
    </row>
    <row r="73">
      <c r="A73" s="56" t="n">
        <v>6</v>
      </c>
      <c r="B73" s="49" t="inlineStr">
        <is>
          <t>Кузнецов Д.</t>
        </is>
      </c>
      <c r="C73" s="49" t="inlineStr">
        <is>
          <t>Backend</t>
        </is>
      </c>
      <c r="D73" s="47">
        <f>SUMIF('Дорожная карта'!$A$6:$A$16,A73,'Дорожная карта'!$E$6:$E$16)</f>
        <v/>
      </c>
      <c r="E73" s="50" t="n">
        <v>0</v>
      </c>
      <c r="F73" s="51" t="n">
        <v>1</v>
      </c>
      <c r="G73" s="52">
        <f>Параметры!$B$9</f>
        <v/>
      </c>
      <c r="H73" s="48">
        <f>MAX(0,(D73-E73)*F73*G73)</f>
        <v/>
      </c>
    </row>
    <row r="74">
      <c r="A74" s="56" t="n">
        <v>6</v>
      </c>
      <c r="B74" s="49" t="inlineStr">
        <is>
          <t>Орлова Е.</t>
        </is>
      </c>
      <c r="C74" s="49" t="inlineStr">
        <is>
          <t>Analyst</t>
        </is>
      </c>
      <c r="D74" s="47">
        <f>SUMIF('Дорожная карта'!$A$6:$A$16,A74,'Дорожная карта'!$E$6:$E$16)</f>
        <v/>
      </c>
      <c r="E74" s="50" t="n">
        <v>0</v>
      </c>
      <c r="F74" s="51" t="n">
        <v>0.5</v>
      </c>
      <c r="G74" s="52">
        <f>Параметры!$B$9</f>
        <v/>
      </c>
      <c r="H74" s="48">
        <f>MAX(0,(D74-E74)*F74*G74)</f>
        <v/>
      </c>
    </row>
    <row r="75">
      <c r="A75" s="56" t="n">
        <v>6</v>
      </c>
      <c r="B75" s="49" t="inlineStr">
        <is>
          <t>Смирнов П.</t>
        </is>
      </c>
      <c r="C75" s="49" t="inlineStr">
        <is>
          <t>Backend</t>
        </is>
      </c>
      <c r="D75" s="47">
        <f>SUMIF('Дорожная карта'!$A$6:$A$16,A75,'Дорожная карта'!$E$6:$E$16)</f>
        <v/>
      </c>
      <c r="E75" s="50" t="n">
        <v>0</v>
      </c>
      <c r="F75" s="51" t="n">
        <v>1</v>
      </c>
      <c r="G75" s="52">
        <f>Параметры!$B$9</f>
        <v/>
      </c>
      <c r="H75" s="48">
        <f>MAX(0,(D75-E75)*F75*G75)</f>
        <v/>
      </c>
    </row>
    <row r="76">
      <c r="A76" s="56" t="n">
        <v>6</v>
      </c>
      <c r="B76" s="49" t="inlineStr">
        <is>
          <t>Волкова Н.</t>
        </is>
      </c>
      <c r="C76" s="49" t="inlineStr">
        <is>
          <t>Frontend</t>
        </is>
      </c>
      <c r="D76" s="47">
        <f>SUMIF('Дорожная карта'!$A$6:$A$16,A76,'Дорожная карта'!$E$6:$E$16)</f>
        <v/>
      </c>
      <c r="E76" s="50" t="n">
        <v>0</v>
      </c>
      <c r="F76" s="51" t="n">
        <v>1</v>
      </c>
      <c r="G76" s="52">
        <f>Параметры!$B$9</f>
        <v/>
      </c>
      <c r="H76" s="48">
        <f>MAX(0,(D76-E76)*F76*G76)</f>
        <v/>
      </c>
    </row>
    <row r="77">
      <c r="A77" s="56" t="n">
        <v>6</v>
      </c>
      <c r="B77" s="49" t="inlineStr">
        <is>
          <t>Морозов И.</t>
        </is>
      </c>
      <c r="C77" s="49" t="inlineStr">
        <is>
          <t>QA</t>
        </is>
      </c>
      <c r="D77" s="47">
        <f>SUMIF('Дорожная карта'!$A$6:$A$16,A77,'Дорожная карта'!$E$6:$E$16)</f>
        <v/>
      </c>
      <c r="E77" s="50" t="n">
        <v>0</v>
      </c>
      <c r="F77" s="51" t="n">
        <v>1</v>
      </c>
      <c r="G77" s="52">
        <f>Параметры!$B$9</f>
        <v/>
      </c>
      <c r="H77" s="48">
        <f>MAX(0,(D77-E77)*F77*G77)</f>
        <v/>
      </c>
    </row>
    <row r="78">
      <c r="A78" s="56" t="n">
        <v>6</v>
      </c>
      <c r="B78" s="49" t="inlineStr">
        <is>
          <t>Новиков А.</t>
        </is>
      </c>
      <c r="C78" s="49" t="inlineStr">
        <is>
          <t>DevOps</t>
        </is>
      </c>
      <c r="D78" s="47">
        <f>SUMIF('Дорожная карта'!$A$6:$A$16,A78,'Дорожная карта'!$E$6:$E$16)</f>
        <v/>
      </c>
      <c r="E78" s="50" t="n">
        <v>0</v>
      </c>
      <c r="F78" s="51" t="n">
        <v>0.8</v>
      </c>
      <c r="G78" s="52">
        <f>Параметры!$B$9</f>
        <v/>
      </c>
      <c r="H78" s="48">
        <f>MAX(0,(D78-E78)*F78*G78)</f>
        <v/>
      </c>
    </row>
    <row r="79">
      <c r="A79" s="56" t="n">
        <v>6</v>
      </c>
      <c r="B79" s="49" t="inlineStr">
        <is>
          <t>Фёдорова О.</t>
        </is>
      </c>
      <c r="C79" s="49" t="inlineStr">
        <is>
          <t>Analyst</t>
        </is>
      </c>
      <c r="D79" s="47">
        <f>SUMIF('Дорожная карта'!$A$6:$A$16,A79,'Дорожная карта'!$E$6:$E$16)</f>
        <v/>
      </c>
      <c r="E79" s="50" t="n">
        <v>0</v>
      </c>
      <c r="F79" s="51" t="n">
        <v>1</v>
      </c>
      <c r="G79" s="52">
        <f>Параметры!$B$9</f>
        <v/>
      </c>
      <c r="H79" s="48">
        <f>MAX(0,(D79-E79)*F79*G79)</f>
        <v/>
      </c>
    </row>
    <row r="80">
      <c r="A80" s="56" t="n">
        <v>6</v>
      </c>
      <c r="B80" s="49" t="inlineStr">
        <is>
          <t>Козлов В.</t>
        </is>
      </c>
      <c r="C80" s="49" t="inlineStr">
        <is>
          <t>Backend</t>
        </is>
      </c>
      <c r="D80" s="47">
        <f>SUMIF('Дорожная карта'!$A$6:$A$16,A80,'Дорожная карта'!$E$6:$E$16)</f>
        <v/>
      </c>
      <c r="E80" s="50" t="n">
        <v>0</v>
      </c>
      <c r="F80" s="51" t="n">
        <v>1</v>
      </c>
      <c r="G80" s="52">
        <f>Параметры!$B$9</f>
        <v/>
      </c>
      <c r="H80" s="48">
        <f>MAX(0,(D80-E80)*F80*G80)</f>
        <v/>
      </c>
    </row>
    <row r="81">
      <c r="A81" s="56" t="n">
        <v>6</v>
      </c>
      <c r="B81" s="49" t="inlineStr">
        <is>
          <t>Лебедева Т.</t>
        </is>
      </c>
      <c r="C81" s="49" t="inlineStr">
        <is>
          <t>Designer</t>
        </is>
      </c>
      <c r="D81" s="47">
        <f>SUMIF('Дорожная карта'!$A$6:$A$16,A81,'Дорожная карта'!$E$6:$E$16)</f>
        <v/>
      </c>
      <c r="E81" s="50" t="n">
        <v>0</v>
      </c>
      <c r="F81" s="51" t="n">
        <v>0.8</v>
      </c>
      <c r="G81" s="52">
        <f>Параметры!$B$9</f>
        <v/>
      </c>
      <c r="H81" s="48">
        <f>MAX(0,(D81-E81)*F81*G81)</f>
        <v/>
      </c>
    </row>
    <row r="82">
      <c r="A82" s="56" t="n">
        <v>6</v>
      </c>
      <c r="B82" s="49" t="inlineStr">
        <is>
          <t>Соколов Р.</t>
        </is>
      </c>
      <c r="C82" s="49" t="inlineStr">
        <is>
          <t>Frontend</t>
        </is>
      </c>
      <c r="D82" s="47">
        <f>SUMIF('Дорожная карта'!$A$6:$A$16,A82,'Дорожная карта'!$E$6:$E$16)</f>
        <v/>
      </c>
      <c r="E82" s="50" t="n">
        <v>0</v>
      </c>
      <c r="F82" s="51" t="n">
        <v>1</v>
      </c>
      <c r="G82" s="52">
        <f>Параметры!$B$9</f>
        <v/>
      </c>
      <c r="H82" s="48">
        <f>MAX(0,(D82-E82)*F82*G82)</f>
        <v/>
      </c>
    </row>
    <row r="83">
      <c r="A83" s="40" t="n">
        <v>7</v>
      </c>
      <c r="B83" s="41" t="inlineStr">
        <is>
          <t>Иванов А.</t>
        </is>
      </c>
      <c r="C83" s="41" t="inlineStr">
        <is>
          <t>Backend</t>
        </is>
      </c>
      <c r="D83" s="42">
        <f>SUMIF('Дорожная карта'!$A$6:$A$16,A83,'Дорожная карта'!$E$6:$E$16)</f>
        <v/>
      </c>
      <c r="E83" s="43" t="n">
        <v>0</v>
      </c>
      <c r="F83" s="44" t="n">
        <v>1</v>
      </c>
      <c r="G83" s="45">
        <f>Параметры!$B$9</f>
        <v/>
      </c>
      <c r="H83" s="46">
        <f>MAX(0,(D83-E83)*F83*G83)</f>
        <v/>
      </c>
    </row>
    <row r="84">
      <c r="A84" s="47" t="n">
        <v>7</v>
      </c>
      <c r="B84" s="49" t="inlineStr">
        <is>
          <t>Петрова М.</t>
        </is>
      </c>
      <c r="C84" s="49" t="inlineStr">
        <is>
          <t>Frontend</t>
        </is>
      </c>
      <c r="D84" s="47">
        <f>SUMIF('Дорожная карта'!$A$6:$A$16,A84,'Дорожная карта'!$E$6:$E$16)</f>
        <v/>
      </c>
      <c r="E84" s="50" t="n">
        <v>0</v>
      </c>
      <c r="F84" s="51" t="n">
        <v>1</v>
      </c>
      <c r="G84" s="52">
        <f>Параметры!$B$9</f>
        <v/>
      </c>
      <c r="H84" s="48">
        <f>MAX(0,(D84-E84)*F84*G84)</f>
        <v/>
      </c>
    </row>
    <row r="85">
      <c r="A85" s="47" t="n">
        <v>7</v>
      </c>
      <c r="B85" s="49" t="inlineStr">
        <is>
          <t>Сидоров К.</t>
        </is>
      </c>
      <c r="C85" s="49" t="inlineStr">
        <is>
          <t>QA</t>
        </is>
      </c>
      <c r="D85" s="47">
        <f>SUMIF('Дорожная карта'!$A$6:$A$16,A85,'Дорожная карта'!$E$6:$E$16)</f>
        <v/>
      </c>
      <c r="E85" s="50" t="n">
        <v>0</v>
      </c>
      <c r="F85" s="51" t="n">
        <v>0.8</v>
      </c>
      <c r="G85" s="52">
        <f>Параметры!$B$9</f>
        <v/>
      </c>
      <c r="H85" s="48">
        <f>MAX(0,(D85-E85)*F85*G85)</f>
        <v/>
      </c>
    </row>
    <row r="86">
      <c r="A86" s="47" t="n">
        <v>7</v>
      </c>
      <c r="B86" s="49" t="inlineStr">
        <is>
          <t>Кузнецов Д.</t>
        </is>
      </c>
      <c r="C86" s="49" t="inlineStr">
        <is>
          <t>Backend</t>
        </is>
      </c>
      <c r="D86" s="47">
        <f>SUMIF('Дорожная карта'!$A$6:$A$16,A86,'Дорожная карта'!$E$6:$E$16)</f>
        <v/>
      </c>
      <c r="E86" s="50" t="n">
        <v>0</v>
      </c>
      <c r="F86" s="51" t="n">
        <v>1</v>
      </c>
      <c r="G86" s="52">
        <f>Параметры!$B$9</f>
        <v/>
      </c>
      <c r="H86" s="48">
        <f>MAX(0,(D86-E86)*F86*G86)</f>
        <v/>
      </c>
    </row>
    <row r="87">
      <c r="A87" s="47" t="n">
        <v>7</v>
      </c>
      <c r="B87" s="49" t="inlineStr">
        <is>
          <t>Орлова Е.</t>
        </is>
      </c>
      <c r="C87" s="49" t="inlineStr">
        <is>
          <t>Analyst</t>
        </is>
      </c>
      <c r="D87" s="47">
        <f>SUMIF('Дорожная карта'!$A$6:$A$16,A87,'Дорожная карта'!$E$6:$E$16)</f>
        <v/>
      </c>
      <c r="E87" s="50" t="n">
        <v>0</v>
      </c>
      <c r="F87" s="51" t="n">
        <v>0.5</v>
      </c>
      <c r="G87" s="52">
        <f>Параметры!$B$9</f>
        <v/>
      </c>
      <c r="H87" s="48">
        <f>MAX(0,(D87-E87)*F87*G87)</f>
        <v/>
      </c>
    </row>
    <row r="88">
      <c r="A88" s="47" t="n">
        <v>7</v>
      </c>
      <c r="B88" s="49" t="inlineStr">
        <is>
          <t>Смирнов П.</t>
        </is>
      </c>
      <c r="C88" s="49" t="inlineStr">
        <is>
          <t>Backend</t>
        </is>
      </c>
      <c r="D88" s="47">
        <f>SUMIF('Дорожная карта'!$A$6:$A$16,A88,'Дорожная карта'!$E$6:$E$16)</f>
        <v/>
      </c>
      <c r="E88" s="50" t="n">
        <v>0</v>
      </c>
      <c r="F88" s="51" t="n">
        <v>1</v>
      </c>
      <c r="G88" s="52">
        <f>Параметры!$B$9</f>
        <v/>
      </c>
      <c r="H88" s="48">
        <f>MAX(0,(D88-E88)*F88*G88)</f>
        <v/>
      </c>
    </row>
    <row r="89">
      <c r="A89" s="47" t="n">
        <v>7</v>
      </c>
      <c r="B89" s="49" t="inlineStr">
        <is>
          <t>Волкова Н.</t>
        </is>
      </c>
      <c r="C89" s="49" t="inlineStr">
        <is>
          <t>Frontend</t>
        </is>
      </c>
      <c r="D89" s="47">
        <f>SUMIF('Дорожная карта'!$A$6:$A$16,A89,'Дорожная карта'!$E$6:$E$16)</f>
        <v/>
      </c>
      <c r="E89" s="50" t="n">
        <v>0</v>
      </c>
      <c r="F89" s="51" t="n">
        <v>1</v>
      </c>
      <c r="G89" s="52">
        <f>Параметры!$B$9</f>
        <v/>
      </c>
      <c r="H89" s="48">
        <f>MAX(0,(D89-E89)*F89*G89)</f>
        <v/>
      </c>
    </row>
    <row r="90">
      <c r="A90" s="47" t="n">
        <v>7</v>
      </c>
      <c r="B90" s="49" t="inlineStr">
        <is>
          <t>Морозов И.</t>
        </is>
      </c>
      <c r="C90" s="49" t="inlineStr">
        <is>
          <t>QA</t>
        </is>
      </c>
      <c r="D90" s="47">
        <f>SUMIF('Дорожная карта'!$A$6:$A$16,A90,'Дорожная карта'!$E$6:$E$16)</f>
        <v/>
      </c>
      <c r="E90" s="50" t="n">
        <v>0</v>
      </c>
      <c r="F90" s="51" t="n">
        <v>1</v>
      </c>
      <c r="G90" s="52">
        <f>Параметры!$B$9</f>
        <v/>
      </c>
      <c r="H90" s="48">
        <f>MAX(0,(D90-E90)*F90*G90)</f>
        <v/>
      </c>
    </row>
    <row r="91">
      <c r="A91" s="47" t="n">
        <v>7</v>
      </c>
      <c r="B91" s="49" t="inlineStr">
        <is>
          <t>Новиков А.</t>
        </is>
      </c>
      <c r="C91" s="49" t="inlineStr">
        <is>
          <t>DevOps</t>
        </is>
      </c>
      <c r="D91" s="47">
        <f>SUMIF('Дорожная карта'!$A$6:$A$16,A91,'Дорожная карта'!$E$6:$E$16)</f>
        <v/>
      </c>
      <c r="E91" s="50" t="n">
        <v>0</v>
      </c>
      <c r="F91" s="51" t="n">
        <v>0.8</v>
      </c>
      <c r="G91" s="52">
        <f>Параметры!$B$9</f>
        <v/>
      </c>
      <c r="H91" s="48">
        <f>MAX(0,(D91-E91)*F91*G91)</f>
        <v/>
      </c>
    </row>
    <row r="92">
      <c r="A92" s="47" t="n">
        <v>7</v>
      </c>
      <c r="B92" s="49" t="inlineStr">
        <is>
          <t>Фёдорова О.</t>
        </is>
      </c>
      <c r="C92" s="49" t="inlineStr">
        <is>
          <t>Analyst</t>
        </is>
      </c>
      <c r="D92" s="47">
        <f>SUMIF('Дорожная карта'!$A$6:$A$16,A92,'Дорожная карта'!$E$6:$E$16)</f>
        <v/>
      </c>
      <c r="E92" s="50" t="n">
        <v>0</v>
      </c>
      <c r="F92" s="51" t="n">
        <v>1</v>
      </c>
      <c r="G92" s="52">
        <f>Параметры!$B$9</f>
        <v/>
      </c>
      <c r="H92" s="48">
        <f>MAX(0,(D92-E92)*F92*G92)</f>
        <v/>
      </c>
    </row>
    <row r="93">
      <c r="A93" s="47" t="n">
        <v>7</v>
      </c>
      <c r="B93" s="49" t="inlineStr">
        <is>
          <t>Козлов В.</t>
        </is>
      </c>
      <c r="C93" s="49" t="inlineStr">
        <is>
          <t>Backend</t>
        </is>
      </c>
      <c r="D93" s="47">
        <f>SUMIF('Дорожная карта'!$A$6:$A$16,A93,'Дорожная карта'!$E$6:$E$16)</f>
        <v/>
      </c>
      <c r="E93" s="50" t="n">
        <v>0</v>
      </c>
      <c r="F93" s="51" t="n">
        <v>1</v>
      </c>
      <c r="G93" s="52">
        <f>Параметры!$B$9</f>
        <v/>
      </c>
      <c r="H93" s="48">
        <f>MAX(0,(D93-E93)*F93*G93)</f>
        <v/>
      </c>
    </row>
    <row r="94">
      <c r="A94" s="47" t="n">
        <v>7</v>
      </c>
      <c r="B94" s="49" t="inlineStr">
        <is>
          <t>Лебедева Т.</t>
        </is>
      </c>
      <c r="C94" s="49" t="inlineStr">
        <is>
          <t>Designer</t>
        </is>
      </c>
      <c r="D94" s="47">
        <f>SUMIF('Дорожная карта'!$A$6:$A$16,A94,'Дорожная карта'!$E$6:$E$16)</f>
        <v/>
      </c>
      <c r="E94" s="50" t="n">
        <v>0</v>
      </c>
      <c r="F94" s="51" t="n">
        <v>0.8</v>
      </c>
      <c r="G94" s="52">
        <f>Параметры!$B$9</f>
        <v/>
      </c>
      <c r="H94" s="48">
        <f>MAX(0,(D94-E94)*F94*G94)</f>
        <v/>
      </c>
    </row>
    <row r="95">
      <c r="A95" s="47" t="n">
        <v>7</v>
      </c>
      <c r="B95" s="49" t="inlineStr">
        <is>
          <t>Соколов Р.</t>
        </is>
      </c>
      <c r="C95" s="49" t="inlineStr">
        <is>
          <t>Frontend</t>
        </is>
      </c>
      <c r="D95" s="47">
        <f>SUMIF('Дорожная карта'!$A$6:$A$16,A95,'Дорожная карта'!$E$6:$E$16)</f>
        <v/>
      </c>
      <c r="E95" s="50" t="n">
        <v>0</v>
      </c>
      <c r="F95" s="51" t="n">
        <v>1</v>
      </c>
      <c r="G95" s="52">
        <f>Параметры!$B$9</f>
        <v/>
      </c>
      <c r="H95" s="48">
        <f>MAX(0,(D95-E95)*F95*G95)</f>
        <v/>
      </c>
    </row>
    <row r="96">
      <c r="A96" s="55" t="n">
        <v>8</v>
      </c>
      <c r="B96" s="41" t="inlineStr">
        <is>
          <t>Иванов А.</t>
        </is>
      </c>
      <c r="C96" s="41" t="inlineStr">
        <is>
          <t>Backend</t>
        </is>
      </c>
      <c r="D96" s="42">
        <f>SUMIF('Дорожная карта'!$A$6:$A$16,A96,'Дорожная карта'!$E$6:$E$16)</f>
        <v/>
      </c>
      <c r="E96" s="43" t="n">
        <v>5</v>
      </c>
      <c r="F96" s="44" t="n">
        <v>1</v>
      </c>
      <c r="G96" s="45">
        <f>Параметры!$B$9</f>
        <v/>
      </c>
      <c r="H96" s="46">
        <f>MAX(0,(D96-E96)*F96*G96)</f>
        <v/>
      </c>
    </row>
    <row r="97">
      <c r="A97" s="56" t="n">
        <v>8</v>
      </c>
      <c r="B97" s="49" t="inlineStr">
        <is>
          <t>Петрова М.</t>
        </is>
      </c>
      <c r="C97" s="49" t="inlineStr">
        <is>
          <t>Frontend</t>
        </is>
      </c>
      <c r="D97" s="47">
        <f>SUMIF('Дорожная карта'!$A$6:$A$16,A97,'Дорожная карта'!$E$6:$E$16)</f>
        <v/>
      </c>
      <c r="E97" s="50" t="n">
        <v>0</v>
      </c>
      <c r="F97" s="51" t="n">
        <v>1</v>
      </c>
      <c r="G97" s="52">
        <f>Параметры!$B$9</f>
        <v/>
      </c>
      <c r="H97" s="48">
        <f>MAX(0,(D97-E97)*F97*G97)</f>
        <v/>
      </c>
    </row>
    <row r="98">
      <c r="A98" s="56" t="n">
        <v>8</v>
      </c>
      <c r="B98" s="49" t="inlineStr">
        <is>
          <t>Сидоров К.</t>
        </is>
      </c>
      <c r="C98" s="49" t="inlineStr">
        <is>
          <t>QA</t>
        </is>
      </c>
      <c r="D98" s="47">
        <f>SUMIF('Дорожная карта'!$A$6:$A$16,A98,'Дорожная карта'!$E$6:$E$16)</f>
        <v/>
      </c>
      <c r="E98" s="50" t="n">
        <v>0</v>
      </c>
      <c r="F98" s="51" t="n">
        <v>0.8</v>
      </c>
      <c r="G98" s="52">
        <f>Параметры!$B$9</f>
        <v/>
      </c>
      <c r="H98" s="48">
        <f>MAX(0,(D98-E98)*F98*G98)</f>
        <v/>
      </c>
    </row>
    <row r="99">
      <c r="A99" s="56" t="n">
        <v>8</v>
      </c>
      <c r="B99" s="49" t="inlineStr">
        <is>
          <t>Кузнецов Д.</t>
        </is>
      </c>
      <c r="C99" s="49" t="inlineStr">
        <is>
          <t>Backend</t>
        </is>
      </c>
      <c r="D99" s="47">
        <f>SUMIF('Дорожная карта'!$A$6:$A$16,A99,'Дорожная карта'!$E$6:$E$16)</f>
        <v/>
      </c>
      <c r="E99" s="50" t="n">
        <v>0</v>
      </c>
      <c r="F99" s="51" t="n">
        <v>1</v>
      </c>
      <c r="G99" s="52">
        <f>Параметры!$B$9</f>
        <v/>
      </c>
      <c r="H99" s="48">
        <f>MAX(0,(D99-E99)*F99*G99)</f>
        <v/>
      </c>
    </row>
    <row r="100">
      <c r="A100" s="56" t="n">
        <v>8</v>
      </c>
      <c r="B100" s="49" t="inlineStr">
        <is>
          <t>Орлова Е.</t>
        </is>
      </c>
      <c r="C100" s="49" t="inlineStr">
        <is>
          <t>Analyst</t>
        </is>
      </c>
      <c r="D100" s="47">
        <f>SUMIF('Дорожная карта'!$A$6:$A$16,A100,'Дорожная карта'!$E$6:$E$16)</f>
        <v/>
      </c>
      <c r="E100" s="50" t="n">
        <v>0</v>
      </c>
      <c r="F100" s="51" t="n">
        <v>0.5</v>
      </c>
      <c r="G100" s="52">
        <f>Параметры!$B$9</f>
        <v/>
      </c>
      <c r="H100" s="48">
        <f>MAX(0,(D100-E100)*F100*G100)</f>
        <v/>
      </c>
    </row>
    <row r="101">
      <c r="A101" s="56" t="n">
        <v>8</v>
      </c>
      <c r="B101" s="49" t="inlineStr">
        <is>
          <t>Смирнов П.</t>
        </is>
      </c>
      <c r="C101" s="49" t="inlineStr">
        <is>
          <t>Backend</t>
        </is>
      </c>
      <c r="D101" s="47">
        <f>SUMIF('Дорожная карта'!$A$6:$A$16,A101,'Дорожная карта'!$E$6:$E$16)</f>
        <v/>
      </c>
      <c r="E101" s="50" t="n">
        <v>0</v>
      </c>
      <c r="F101" s="51" t="n">
        <v>1</v>
      </c>
      <c r="G101" s="52">
        <f>Параметры!$B$9</f>
        <v/>
      </c>
      <c r="H101" s="48">
        <f>MAX(0,(D101-E101)*F101*G101)</f>
        <v/>
      </c>
    </row>
    <row r="102">
      <c r="A102" s="56" t="n">
        <v>8</v>
      </c>
      <c r="B102" s="49" t="inlineStr">
        <is>
          <t>Волкова Н.</t>
        </is>
      </c>
      <c r="C102" s="49" t="inlineStr">
        <is>
          <t>Frontend</t>
        </is>
      </c>
      <c r="D102" s="47">
        <f>SUMIF('Дорожная карта'!$A$6:$A$16,A102,'Дорожная карта'!$E$6:$E$16)</f>
        <v/>
      </c>
      <c r="E102" s="50" t="n">
        <v>0</v>
      </c>
      <c r="F102" s="51" t="n">
        <v>1</v>
      </c>
      <c r="G102" s="52">
        <f>Параметры!$B$9</f>
        <v/>
      </c>
      <c r="H102" s="48">
        <f>MAX(0,(D102-E102)*F102*G102)</f>
        <v/>
      </c>
    </row>
    <row r="103">
      <c r="A103" s="56" t="n">
        <v>8</v>
      </c>
      <c r="B103" s="49" t="inlineStr">
        <is>
          <t>Морозов И.</t>
        </is>
      </c>
      <c r="C103" s="49" t="inlineStr">
        <is>
          <t>QA</t>
        </is>
      </c>
      <c r="D103" s="47">
        <f>SUMIF('Дорожная карта'!$A$6:$A$16,A103,'Дорожная карта'!$E$6:$E$16)</f>
        <v/>
      </c>
      <c r="E103" s="50" t="n">
        <v>0</v>
      </c>
      <c r="F103" s="51" t="n">
        <v>1</v>
      </c>
      <c r="G103" s="52">
        <f>Параметры!$B$9</f>
        <v/>
      </c>
      <c r="H103" s="48">
        <f>MAX(0,(D103-E103)*F103*G103)</f>
        <v/>
      </c>
    </row>
    <row r="104">
      <c r="A104" s="56" t="n">
        <v>8</v>
      </c>
      <c r="B104" s="49" t="inlineStr">
        <is>
          <t>Новиков А.</t>
        </is>
      </c>
      <c r="C104" s="49" t="inlineStr">
        <is>
          <t>DevOps</t>
        </is>
      </c>
      <c r="D104" s="47">
        <f>SUMIF('Дорожная карта'!$A$6:$A$16,A104,'Дорожная карта'!$E$6:$E$16)</f>
        <v/>
      </c>
      <c r="E104" s="50" t="n">
        <v>0</v>
      </c>
      <c r="F104" s="51" t="n">
        <v>0.8</v>
      </c>
      <c r="G104" s="52">
        <f>Параметры!$B$9</f>
        <v/>
      </c>
      <c r="H104" s="48">
        <f>MAX(0,(D104-E104)*F104*G104)</f>
        <v/>
      </c>
    </row>
    <row r="105">
      <c r="A105" s="56" t="n">
        <v>8</v>
      </c>
      <c r="B105" s="49" t="inlineStr">
        <is>
          <t>Фёдорова О.</t>
        </is>
      </c>
      <c r="C105" s="49" t="inlineStr">
        <is>
          <t>Analyst</t>
        </is>
      </c>
      <c r="D105" s="47">
        <f>SUMIF('Дорожная карта'!$A$6:$A$16,A105,'Дорожная карта'!$E$6:$E$16)</f>
        <v/>
      </c>
      <c r="E105" s="50" t="n">
        <v>0</v>
      </c>
      <c r="F105" s="51" t="n">
        <v>1</v>
      </c>
      <c r="G105" s="52">
        <f>Параметры!$B$9</f>
        <v/>
      </c>
      <c r="H105" s="48">
        <f>MAX(0,(D105-E105)*F105*G105)</f>
        <v/>
      </c>
    </row>
    <row r="106">
      <c r="A106" s="56" t="n">
        <v>8</v>
      </c>
      <c r="B106" s="49" t="inlineStr">
        <is>
          <t>Козлов В.</t>
        </is>
      </c>
      <c r="C106" s="49" t="inlineStr">
        <is>
          <t>Backend</t>
        </is>
      </c>
      <c r="D106" s="47">
        <f>SUMIF('Дорожная карта'!$A$6:$A$16,A106,'Дорожная карта'!$E$6:$E$16)</f>
        <v/>
      </c>
      <c r="E106" s="50" t="n">
        <v>0</v>
      </c>
      <c r="F106" s="51" t="n">
        <v>1</v>
      </c>
      <c r="G106" s="52">
        <f>Параметры!$B$9</f>
        <v/>
      </c>
      <c r="H106" s="48">
        <f>MAX(0,(D106-E106)*F106*G106)</f>
        <v/>
      </c>
    </row>
    <row r="107">
      <c r="A107" s="56" t="n">
        <v>8</v>
      </c>
      <c r="B107" s="49" t="inlineStr">
        <is>
          <t>Лебедева Т.</t>
        </is>
      </c>
      <c r="C107" s="49" t="inlineStr">
        <is>
          <t>Designer</t>
        </is>
      </c>
      <c r="D107" s="47">
        <f>SUMIF('Дорожная карта'!$A$6:$A$16,A107,'Дорожная карта'!$E$6:$E$16)</f>
        <v/>
      </c>
      <c r="E107" s="50" t="n">
        <v>0</v>
      </c>
      <c r="F107" s="51" t="n">
        <v>0.8</v>
      </c>
      <c r="G107" s="52">
        <f>Параметры!$B$9</f>
        <v/>
      </c>
      <c r="H107" s="48">
        <f>MAX(0,(D107-E107)*F107*G107)</f>
        <v/>
      </c>
    </row>
    <row r="108">
      <c r="A108" s="56" t="n">
        <v>8</v>
      </c>
      <c r="B108" s="49" t="inlineStr">
        <is>
          <t>Соколов Р.</t>
        </is>
      </c>
      <c r="C108" s="49" t="inlineStr">
        <is>
          <t>Frontend</t>
        </is>
      </c>
      <c r="D108" s="47">
        <f>SUMIF('Дорожная карта'!$A$6:$A$16,A108,'Дорожная карта'!$E$6:$E$16)</f>
        <v/>
      </c>
      <c r="E108" s="50" t="n">
        <v>0</v>
      </c>
      <c r="F108" s="51" t="n">
        <v>1</v>
      </c>
      <c r="G108" s="52">
        <f>Параметры!$B$9</f>
        <v/>
      </c>
      <c r="H108" s="48">
        <f>MAX(0,(D108-E108)*F108*G108)</f>
        <v/>
      </c>
    </row>
    <row r="109">
      <c r="A109" s="40" t="n">
        <v>9</v>
      </c>
      <c r="B109" s="41" t="inlineStr">
        <is>
          <t>Иванов А.</t>
        </is>
      </c>
      <c r="C109" s="41" t="inlineStr">
        <is>
          <t>Backend</t>
        </is>
      </c>
      <c r="D109" s="42">
        <f>SUMIF('Дорожная карта'!$A$6:$A$16,A109,'Дорожная карта'!$E$6:$E$16)</f>
        <v/>
      </c>
      <c r="E109" s="43" t="n">
        <v>0</v>
      </c>
      <c r="F109" s="44" t="n">
        <v>1</v>
      </c>
      <c r="G109" s="45">
        <f>Параметры!$B$9</f>
        <v/>
      </c>
      <c r="H109" s="46">
        <f>MAX(0,(D109-E109)*F109*G109)</f>
        <v/>
      </c>
    </row>
    <row r="110">
      <c r="A110" s="47" t="n">
        <v>9</v>
      </c>
      <c r="B110" s="49" t="inlineStr">
        <is>
          <t>Петрова М.</t>
        </is>
      </c>
      <c r="C110" s="49" t="inlineStr">
        <is>
          <t>Frontend</t>
        </is>
      </c>
      <c r="D110" s="47">
        <f>SUMIF('Дорожная карта'!$A$6:$A$16,A110,'Дорожная карта'!$E$6:$E$16)</f>
        <v/>
      </c>
      <c r="E110" s="50" t="n">
        <v>0</v>
      </c>
      <c r="F110" s="51" t="n">
        <v>1</v>
      </c>
      <c r="G110" s="52">
        <f>Параметры!$B$9</f>
        <v/>
      </c>
      <c r="H110" s="48">
        <f>MAX(0,(D110-E110)*F110*G110)</f>
        <v/>
      </c>
    </row>
    <row r="111">
      <c r="A111" s="47" t="n">
        <v>9</v>
      </c>
      <c r="B111" s="49" t="inlineStr">
        <is>
          <t>Сидоров К.</t>
        </is>
      </c>
      <c r="C111" s="49" t="inlineStr">
        <is>
          <t>QA</t>
        </is>
      </c>
      <c r="D111" s="47">
        <f>SUMIF('Дорожная карта'!$A$6:$A$16,A111,'Дорожная карта'!$E$6:$E$16)</f>
        <v/>
      </c>
      <c r="E111" s="50" t="n">
        <v>0</v>
      </c>
      <c r="F111" s="51" t="n">
        <v>0.8</v>
      </c>
      <c r="G111" s="52">
        <f>Параметры!$B$9</f>
        <v/>
      </c>
      <c r="H111" s="48">
        <f>MAX(0,(D111-E111)*F111*G111)</f>
        <v/>
      </c>
    </row>
    <row r="112">
      <c r="A112" s="47" t="n">
        <v>9</v>
      </c>
      <c r="B112" s="49" t="inlineStr">
        <is>
          <t>Кузнецов Д.</t>
        </is>
      </c>
      <c r="C112" s="49" t="inlineStr">
        <is>
          <t>Backend</t>
        </is>
      </c>
      <c r="D112" s="47">
        <f>SUMIF('Дорожная карта'!$A$6:$A$16,A112,'Дорожная карта'!$E$6:$E$16)</f>
        <v/>
      </c>
      <c r="E112" s="50" t="n">
        <v>0</v>
      </c>
      <c r="F112" s="51" t="n">
        <v>1</v>
      </c>
      <c r="G112" s="52">
        <f>Параметры!$B$9</f>
        <v/>
      </c>
      <c r="H112" s="48">
        <f>MAX(0,(D112-E112)*F112*G112)</f>
        <v/>
      </c>
    </row>
    <row r="113">
      <c r="A113" s="47" t="n">
        <v>9</v>
      </c>
      <c r="B113" s="49" t="inlineStr">
        <is>
          <t>Орлова Е.</t>
        </is>
      </c>
      <c r="C113" s="49" t="inlineStr">
        <is>
          <t>Analyst</t>
        </is>
      </c>
      <c r="D113" s="47">
        <f>SUMIF('Дорожная карта'!$A$6:$A$16,A113,'Дорожная карта'!$E$6:$E$16)</f>
        <v/>
      </c>
      <c r="E113" s="50" t="n">
        <v>0</v>
      </c>
      <c r="F113" s="51" t="n">
        <v>0.5</v>
      </c>
      <c r="G113" s="52">
        <f>Параметры!$B$9</f>
        <v/>
      </c>
      <c r="H113" s="48">
        <f>MAX(0,(D113-E113)*F113*G113)</f>
        <v/>
      </c>
    </row>
    <row r="114">
      <c r="A114" s="47" t="n">
        <v>9</v>
      </c>
      <c r="B114" s="49" t="inlineStr">
        <is>
          <t>Смирнов П.</t>
        </is>
      </c>
      <c r="C114" s="49" t="inlineStr">
        <is>
          <t>Backend</t>
        </is>
      </c>
      <c r="D114" s="47">
        <f>SUMIF('Дорожная карта'!$A$6:$A$16,A114,'Дорожная карта'!$E$6:$E$16)</f>
        <v/>
      </c>
      <c r="E114" s="50" t="n">
        <v>0</v>
      </c>
      <c r="F114" s="51" t="n">
        <v>1</v>
      </c>
      <c r="G114" s="52">
        <f>Параметры!$B$9</f>
        <v/>
      </c>
      <c r="H114" s="48">
        <f>MAX(0,(D114-E114)*F114*G114)</f>
        <v/>
      </c>
    </row>
    <row r="115">
      <c r="A115" s="47" t="n">
        <v>9</v>
      </c>
      <c r="B115" s="49" t="inlineStr">
        <is>
          <t>Волкова Н.</t>
        </is>
      </c>
      <c r="C115" s="49" t="inlineStr">
        <is>
          <t>Frontend</t>
        </is>
      </c>
      <c r="D115" s="47">
        <f>SUMIF('Дорожная карта'!$A$6:$A$16,A115,'Дорожная карта'!$E$6:$E$16)</f>
        <v/>
      </c>
      <c r="E115" s="50" t="n">
        <v>0</v>
      </c>
      <c r="F115" s="51" t="n">
        <v>1</v>
      </c>
      <c r="G115" s="52">
        <f>Параметры!$B$9</f>
        <v/>
      </c>
      <c r="H115" s="48">
        <f>MAX(0,(D115-E115)*F115*G115)</f>
        <v/>
      </c>
    </row>
    <row r="116">
      <c r="A116" s="47" t="n">
        <v>9</v>
      </c>
      <c r="B116" s="49" t="inlineStr">
        <is>
          <t>Морозов И.</t>
        </is>
      </c>
      <c r="C116" s="49" t="inlineStr">
        <is>
          <t>QA</t>
        </is>
      </c>
      <c r="D116" s="47">
        <f>SUMIF('Дорожная карта'!$A$6:$A$16,A116,'Дорожная карта'!$E$6:$E$16)</f>
        <v/>
      </c>
      <c r="E116" s="50" t="n">
        <v>0</v>
      </c>
      <c r="F116" s="51" t="n">
        <v>1</v>
      </c>
      <c r="G116" s="52">
        <f>Параметры!$B$9</f>
        <v/>
      </c>
      <c r="H116" s="48">
        <f>MAX(0,(D116-E116)*F116*G116)</f>
        <v/>
      </c>
    </row>
    <row r="117">
      <c r="A117" s="47" t="n">
        <v>9</v>
      </c>
      <c r="B117" s="49" t="inlineStr">
        <is>
          <t>Новиков А.</t>
        </is>
      </c>
      <c r="C117" s="49" t="inlineStr">
        <is>
          <t>DevOps</t>
        </is>
      </c>
      <c r="D117" s="47">
        <f>SUMIF('Дорожная карта'!$A$6:$A$16,A117,'Дорожная карта'!$E$6:$E$16)</f>
        <v/>
      </c>
      <c r="E117" s="50" t="n">
        <v>0</v>
      </c>
      <c r="F117" s="51" t="n">
        <v>0.8</v>
      </c>
      <c r="G117" s="52">
        <f>Параметры!$B$9</f>
        <v/>
      </c>
      <c r="H117" s="48">
        <f>MAX(0,(D117-E117)*F117*G117)</f>
        <v/>
      </c>
    </row>
    <row r="118">
      <c r="A118" s="47" t="n">
        <v>9</v>
      </c>
      <c r="B118" s="49" t="inlineStr">
        <is>
          <t>Фёдорова О.</t>
        </is>
      </c>
      <c r="C118" s="49" t="inlineStr">
        <is>
          <t>Analyst</t>
        </is>
      </c>
      <c r="D118" s="47">
        <f>SUMIF('Дорожная карта'!$A$6:$A$16,A118,'Дорожная карта'!$E$6:$E$16)</f>
        <v/>
      </c>
      <c r="E118" s="50" t="n">
        <v>0</v>
      </c>
      <c r="F118" s="51" t="n">
        <v>1</v>
      </c>
      <c r="G118" s="52">
        <f>Параметры!$B$9</f>
        <v/>
      </c>
      <c r="H118" s="48">
        <f>MAX(0,(D118-E118)*F118*G118)</f>
        <v/>
      </c>
    </row>
    <row r="119">
      <c r="A119" s="47" t="n">
        <v>9</v>
      </c>
      <c r="B119" s="49" t="inlineStr">
        <is>
          <t>Козлов В.</t>
        </is>
      </c>
      <c r="C119" s="49" t="inlineStr">
        <is>
          <t>Backend</t>
        </is>
      </c>
      <c r="D119" s="47">
        <f>SUMIF('Дорожная карта'!$A$6:$A$16,A119,'Дорожная карта'!$E$6:$E$16)</f>
        <v/>
      </c>
      <c r="E119" s="50" t="n">
        <v>0</v>
      </c>
      <c r="F119" s="51" t="n">
        <v>1</v>
      </c>
      <c r="G119" s="52">
        <f>Параметры!$B$9</f>
        <v/>
      </c>
      <c r="H119" s="48">
        <f>MAX(0,(D119-E119)*F119*G119)</f>
        <v/>
      </c>
    </row>
    <row r="120">
      <c r="A120" s="47" t="n">
        <v>9</v>
      </c>
      <c r="B120" s="49" t="inlineStr">
        <is>
          <t>Лебедева Т.</t>
        </is>
      </c>
      <c r="C120" s="49" t="inlineStr">
        <is>
          <t>Designer</t>
        </is>
      </c>
      <c r="D120" s="47">
        <f>SUMIF('Дорожная карта'!$A$6:$A$16,A120,'Дорожная карта'!$E$6:$E$16)</f>
        <v/>
      </c>
      <c r="E120" s="50" t="n">
        <v>0</v>
      </c>
      <c r="F120" s="51" t="n">
        <v>0.8</v>
      </c>
      <c r="G120" s="52">
        <f>Параметры!$B$9</f>
        <v/>
      </c>
      <c r="H120" s="48">
        <f>MAX(0,(D120-E120)*F120*G120)</f>
        <v/>
      </c>
    </row>
    <row r="121">
      <c r="A121" s="47" t="n">
        <v>9</v>
      </c>
      <c r="B121" s="49" t="inlineStr">
        <is>
          <t>Соколов Р.</t>
        </is>
      </c>
      <c r="C121" s="49" t="inlineStr">
        <is>
          <t>Frontend</t>
        </is>
      </c>
      <c r="D121" s="47">
        <f>SUMIF('Дорожная карта'!$A$6:$A$16,A121,'Дорожная карта'!$E$6:$E$16)</f>
        <v/>
      </c>
      <c r="E121" s="50" t="n">
        <v>0</v>
      </c>
      <c r="F121" s="51" t="n">
        <v>1</v>
      </c>
      <c r="G121" s="52">
        <f>Параметры!$B$9</f>
        <v/>
      </c>
      <c r="H121" s="48">
        <f>MAX(0,(D121-E121)*F121*G121)</f>
        <v/>
      </c>
    </row>
    <row r="122">
      <c r="A122" s="55" t="n">
        <v>10</v>
      </c>
      <c r="B122" s="41" t="inlineStr">
        <is>
          <t>Иванов А.</t>
        </is>
      </c>
      <c r="C122" s="41" t="inlineStr">
        <is>
          <t>Backend</t>
        </is>
      </c>
      <c r="D122" s="42">
        <f>SUMIF('Дорожная карта'!$A$6:$A$16,A122,'Дорожная карта'!$E$6:$E$16)</f>
        <v/>
      </c>
      <c r="E122" s="43" t="n">
        <v>0</v>
      </c>
      <c r="F122" s="44" t="n">
        <v>1</v>
      </c>
      <c r="G122" s="45">
        <f>Параметры!$B$9</f>
        <v/>
      </c>
      <c r="H122" s="46">
        <f>MAX(0,(D122-E122)*F122*G122)</f>
        <v/>
      </c>
    </row>
    <row r="123">
      <c r="A123" s="56" t="n">
        <v>10</v>
      </c>
      <c r="B123" s="49" t="inlineStr">
        <is>
          <t>Петрова М.</t>
        </is>
      </c>
      <c r="C123" s="49" t="inlineStr">
        <is>
          <t>Frontend</t>
        </is>
      </c>
      <c r="D123" s="47">
        <f>SUMIF('Дорожная карта'!$A$6:$A$16,A123,'Дорожная карта'!$E$6:$E$16)</f>
        <v/>
      </c>
      <c r="E123" s="50" t="n">
        <v>0</v>
      </c>
      <c r="F123" s="51" t="n">
        <v>1</v>
      </c>
      <c r="G123" s="52">
        <f>Параметры!$B$9</f>
        <v/>
      </c>
      <c r="H123" s="48">
        <f>MAX(0,(D123-E123)*F123*G123)</f>
        <v/>
      </c>
    </row>
    <row r="124">
      <c r="A124" s="56" t="n">
        <v>10</v>
      </c>
      <c r="B124" s="49" t="inlineStr">
        <is>
          <t>Сидоров К.</t>
        </is>
      </c>
      <c r="C124" s="49" t="inlineStr">
        <is>
          <t>QA</t>
        </is>
      </c>
      <c r="D124" s="47">
        <f>SUMIF('Дорожная карта'!$A$6:$A$16,A124,'Дорожная карта'!$E$6:$E$16)</f>
        <v/>
      </c>
      <c r="E124" s="50" t="n">
        <v>0</v>
      </c>
      <c r="F124" s="51" t="n">
        <v>0.8</v>
      </c>
      <c r="G124" s="52">
        <f>Параметры!$B$9</f>
        <v/>
      </c>
      <c r="H124" s="48">
        <f>MAX(0,(D124-E124)*F124*G124)</f>
        <v/>
      </c>
    </row>
    <row r="125">
      <c r="A125" s="56" t="n">
        <v>10</v>
      </c>
      <c r="B125" s="49" t="inlineStr">
        <is>
          <t>Кузнецов Д.</t>
        </is>
      </c>
      <c r="C125" s="49" t="inlineStr">
        <is>
          <t>Backend</t>
        </is>
      </c>
      <c r="D125" s="47">
        <f>SUMIF('Дорожная карта'!$A$6:$A$16,A125,'Дорожная карта'!$E$6:$E$16)</f>
        <v/>
      </c>
      <c r="E125" s="50" t="n">
        <v>0</v>
      </c>
      <c r="F125" s="51" t="n">
        <v>1</v>
      </c>
      <c r="G125" s="52">
        <f>Параметры!$B$9</f>
        <v/>
      </c>
      <c r="H125" s="48">
        <f>MAX(0,(D125-E125)*F125*G125)</f>
        <v/>
      </c>
    </row>
    <row r="126">
      <c r="A126" s="56" t="n">
        <v>10</v>
      </c>
      <c r="B126" s="49" t="inlineStr">
        <is>
          <t>Орлова Е.</t>
        </is>
      </c>
      <c r="C126" s="49" t="inlineStr">
        <is>
          <t>Analyst</t>
        </is>
      </c>
      <c r="D126" s="47">
        <f>SUMIF('Дорожная карта'!$A$6:$A$16,A126,'Дорожная карта'!$E$6:$E$16)</f>
        <v/>
      </c>
      <c r="E126" s="50" t="n">
        <v>0</v>
      </c>
      <c r="F126" s="51" t="n">
        <v>0.5</v>
      </c>
      <c r="G126" s="52">
        <f>Параметры!$B$9</f>
        <v/>
      </c>
      <c r="H126" s="48">
        <f>MAX(0,(D126-E126)*F126*G126)</f>
        <v/>
      </c>
    </row>
    <row r="127">
      <c r="A127" s="56" t="n">
        <v>10</v>
      </c>
      <c r="B127" s="49" t="inlineStr">
        <is>
          <t>Смирнов П.</t>
        </is>
      </c>
      <c r="C127" s="49" t="inlineStr">
        <is>
          <t>Backend</t>
        </is>
      </c>
      <c r="D127" s="47">
        <f>SUMIF('Дорожная карта'!$A$6:$A$16,A127,'Дорожная карта'!$E$6:$E$16)</f>
        <v/>
      </c>
      <c r="E127" s="50" t="n">
        <v>0</v>
      </c>
      <c r="F127" s="51" t="n">
        <v>1</v>
      </c>
      <c r="G127" s="52">
        <f>Параметры!$B$9</f>
        <v/>
      </c>
      <c r="H127" s="48">
        <f>MAX(0,(D127-E127)*F127*G127)</f>
        <v/>
      </c>
    </row>
    <row r="128">
      <c r="A128" s="56" t="n">
        <v>10</v>
      </c>
      <c r="B128" s="49" t="inlineStr">
        <is>
          <t>Волкова Н.</t>
        </is>
      </c>
      <c r="C128" s="49" t="inlineStr">
        <is>
          <t>Frontend</t>
        </is>
      </c>
      <c r="D128" s="47">
        <f>SUMIF('Дорожная карта'!$A$6:$A$16,A128,'Дорожная карта'!$E$6:$E$16)</f>
        <v/>
      </c>
      <c r="E128" s="50" t="n">
        <v>0</v>
      </c>
      <c r="F128" s="51" t="n">
        <v>1</v>
      </c>
      <c r="G128" s="52">
        <f>Параметры!$B$9</f>
        <v/>
      </c>
      <c r="H128" s="48">
        <f>MAX(0,(D128-E128)*F128*G128)</f>
        <v/>
      </c>
    </row>
    <row r="129">
      <c r="A129" s="56" t="n">
        <v>10</v>
      </c>
      <c r="B129" s="49" t="inlineStr">
        <is>
          <t>Морозов И.</t>
        </is>
      </c>
      <c r="C129" s="49" t="inlineStr">
        <is>
          <t>QA</t>
        </is>
      </c>
      <c r="D129" s="47">
        <f>SUMIF('Дорожная карта'!$A$6:$A$16,A129,'Дорожная карта'!$E$6:$E$16)</f>
        <v/>
      </c>
      <c r="E129" s="50" t="n">
        <v>0</v>
      </c>
      <c r="F129" s="51" t="n">
        <v>1</v>
      </c>
      <c r="G129" s="52">
        <f>Параметры!$B$9</f>
        <v/>
      </c>
      <c r="H129" s="48">
        <f>MAX(0,(D129-E129)*F129*G129)</f>
        <v/>
      </c>
    </row>
    <row r="130">
      <c r="A130" s="56" t="n">
        <v>10</v>
      </c>
      <c r="B130" s="49" t="inlineStr">
        <is>
          <t>Новиков А.</t>
        </is>
      </c>
      <c r="C130" s="49" t="inlineStr">
        <is>
          <t>DevOps</t>
        </is>
      </c>
      <c r="D130" s="47">
        <f>SUMIF('Дорожная карта'!$A$6:$A$16,A130,'Дорожная карта'!$E$6:$E$16)</f>
        <v/>
      </c>
      <c r="E130" s="50" t="n">
        <v>0</v>
      </c>
      <c r="F130" s="51" t="n">
        <v>0.8</v>
      </c>
      <c r="G130" s="52">
        <f>Параметры!$B$9</f>
        <v/>
      </c>
      <c r="H130" s="48">
        <f>MAX(0,(D130-E130)*F130*G130)</f>
        <v/>
      </c>
    </row>
    <row r="131">
      <c r="A131" s="56" t="n">
        <v>10</v>
      </c>
      <c r="B131" s="49" t="inlineStr">
        <is>
          <t>Фёдорова О.</t>
        </is>
      </c>
      <c r="C131" s="49" t="inlineStr">
        <is>
          <t>Analyst</t>
        </is>
      </c>
      <c r="D131" s="47">
        <f>SUMIF('Дорожная карта'!$A$6:$A$16,A131,'Дорожная карта'!$E$6:$E$16)</f>
        <v/>
      </c>
      <c r="E131" s="50" t="n">
        <v>0</v>
      </c>
      <c r="F131" s="51" t="n">
        <v>1</v>
      </c>
      <c r="G131" s="52">
        <f>Параметры!$B$9</f>
        <v/>
      </c>
      <c r="H131" s="48">
        <f>MAX(0,(D131-E131)*F131*G131)</f>
        <v/>
      </c>
    </row>
    <row r="132">
      <c r="A132" s="56" t="n">
        <v>10</v>
      </c>
      <c r="B132" s="49" t="inlineStr">
        <is>
          <t>Козлов В.</t>
        </is>
      </c>
      <c r="C132" s="49" t="inlineStr">
        <is>
          <t>Backend</t>
        </is>
      </c>
      <c r="D132" s="47">
        <f>SUMIF('Дорожная карта'!$A$6:$A$16,A132,'Дорожная карта'!$E$6:$E$16)</f>
        <v/>
      </c>
      <c r="E132" s="50" t="n">
        <v>0</v>
      </c>
      <c r="F132" s="51" t="n">
        <v>1</v>
      </c>
      <c r="G132" s="52">
        <f>Параметры!$B$9</f>
        <v/>
      </c>
      <c r="H132" s="48">
        <f>MAX(0,(D132-E132)*F132*G132)</f>
        <v/>
      </c>
    </row>
    <row r="133">
      <c r="A133" s="56" t="n">
        <v>10</v>
      </c>
      <c r="B133" s="49" t="inlineStr">
        <is>
          <t>Лебедева Т.</t>
        </is>
      </c>
      <c r="C133" s="49" t="inlineStr">
        <is>
          <t>Designer</t>
        </is>
      </c>
      <c r="D133" s="47">
        <f>SUMIF('Дорожная карта'!$A$6:$A$16,A133,'Дорожная карта'!$E$6:$E$16)</f>
        <v/>
      </c>
      <c r="E133" s="50" t="n">
        <v>0</v>
      </c>
      <c r="F133" s="51" t="n">
        <v>0.8</v>
      </c>
      <c r="G133" s="52">
        <f>Параметры!$B$9</f>
        <v/>
      </c>
      <c r="H133" s="48">
        <f>MAX(0,(D133-E133)*F133*G133)</f>
        <v/>
      </c>
    </row>
    <row r="134">
      <c r="A134" s="56" t="n">
        <v>10</v>
      </c>
      <c r="B134" s="49" t="inlineStr">
        <is>
          <t>Соколов Р.</t>
        </is>
      </c>
      <c r="C134" s="49" t="inlineStr">
        <is>
          <t>Frontend</t>
        </is>
      </c>
      <c r="D134" s="47">
        <f>SUMIF('Дорожная карта'!$A$6:$A$16,A134,'Дорожная карта'!$E$6:$E$16)</f>
        <v/>
      </c>
      <c r="E134" s="50" t="n">
        <v>0</v>
      </c>
      <c r="F134" s="51" t="n">
        <v>1</v>
      </c>
      <c r="G134" s="52">
        <f>Параметры!$B$9</f>
        <v/>
      </c>
      <c r="H134" s="48">
        <f>MAX(0,(D134-E134)*F134*G134)</f>
        <v/>
      </c>
    </row>
    <row r="135">
      <c r="A135" s="40" t="n">
        <v>11</v>
      </c>
      <c r="B135" s="41" t="inlineStr">
        <is>
          <t>Иванов А.</t>
        </is>
      </c>
      <c r="C135" s="41" t="inlineStr">
        <is>
          <t>Backend</t>
        </is>
      </c>
      <c r="D135" s="42">
        <f>SUMIF('Дорожная карта'!$A$6:$A$16,A135,'Дорожная карта'!$E$6:$E$16)</f>
        <v/>
      </c>
      <c r="E135" s="43" t="n">
        <v>0</v>
      </c>
      <c r="F135" s="44" t="n">
        <v>1</v>
      </c>
      <c r="G135" s="45">
        <f>Параметры!$B$9</f>
        <v/>
      </c>
      <c r="H135" s="46">
        <f>MAX(0,(D135-E135)*F135*G135)</f>
        <v/>
      </c>
    </row>
    <row r="136">
      <c r="A136" s="47" t="n">
        <v>11</v>
      </c>
      <c r="B136" s="49" t="inlineStr">
        <is>
          <t>Петрова М.</t>
        </is>
      </c>
      <c r="C136" s="49" t="inlineStr">
        <is>
          <t>Frontend</t>
        </is>
      </c>
      <c r="D136" s="47">
        <f>SUMIF('Дорожная карта'!$A$6:$A$16,A136,'Дорожная карта'!$E$6:$E$16)</f>
        <v/>
      </c>
      <c r="E136" s="50" t="n">
        <v>0</v>
      </c>
      <c r="F136" s="51" t="n">
        <v>1</v>
      </c>
      <c r="G136" s="52">
        <f>Параметры!$B$9</f>
        <v/>
      </c>
      <c r="H136" s="48">
        <f>MAX(0,(D136-E136)*F136*G136)</f>
        <v/>
      </c>
    </row>
    <row r="137">
      <c r="A137" s="47" t="n">
        <v>11</v>
      </c>
      <c r="B137" s="49" t="inlineStr">
        <is>
          <t>Сидоров К.</t>
        </is>
      </c>
      <c r="C137" s="49" t="inlineStr">
        <is>
          <t>QA</t>
        </is>
      </c>
      <c r="D137" s="47">
        <f>SUMIF('Дорожная карта'!$A$6:$A$16,A137,'Дорожная карта'!$E$6:$E$16)</f>
        <v/>
      </c>
      <c r="E137" s="50" t="n">
        <v>0</v>
      </c>
      <c r="F137" s="51" t="n">
        <v>0.8</v>
      </c>
      <c r="G137" s="52">
        <f>Параметры!$B$9</f>
        <v/>
      </c>
      <c r="H137" s="48">
        <f>MAX(0,(D137-E137)*F137*G137)</f>
        <v/>
      </c>
    </row>
    <row r="138">
      <c r="A138" s="47" t="n">
        <v>11</v>
      </c>
      <c r="B138" s="49" t="inlineStr">
        <is>
          <t>Кузнецов Д.</t>
        </is>
      </c>
      <c r="C138" s="49" t="inlineStr">
        <is>
          <t>Backend</t>
        </is>
      </c>
      <c r="D138" s="47">
        <f>SUMIF('Дорожная карта'!$A$6:$A$16,A138,'Дорожная карта'!$E$6:$E$16)</f>
        <v/>
      </c>
      <c r="E138" s="50" t="n">
        <v>0</v>
      </c>
      <c r="F138" s="51" t="n">
        <v>1</v>
      </c>
      <c r="G138" s="52">
        <f>Параметры!$B$9</f>
        <v/>
      </c>
      <c r="H138" s="48">
        <f>MAX(0,(D138-E138)*F138*G138)</f>
        <v/>
      </c>
    </row>
    <row r="139">
      <c r="A139" s="47" t="n">
        <v>11</v>
      </c>
      <c r="B139" s="49" t="inlineStr">
        <is>
          <t>Орлова Е.</t>
        </is>
      </c>
      <c r="C139" s="49" t="inlineStr">
        <is>
          <t>Analyst</t>
        </is>
      </c>
      <c r="D139" s="47">
        <f>SUMIF('Дорожная карта'!$A$6:$A$16,A139,'Дорожная карта'!$E$6:$E$16)</f>
        <v/>
      </c>
      <c r="E139" s="50" t="n">
        <v>0</v>
      </c>
      <c r="F139" s="51" t="n">
        <v>0.5</v>
      </c>
      <c r="G139" s="52">
        <f>Параметры!$B$9</f>
        <v/>
      </c>
      <c r="H139" s="48">
        <f>MAX(0,(D139-E139)*F139*G139)</f>
        <v/>
      </c>
    </row>
    <row r="140">
      <c r="A140" s="47" t="n">
        <v>11</v>
      </c>
      <c r="B140" s="49" t="inlineStr">
        <is>
          <t>Смирнов П.</t>
        </is>
      </c>
      <c r="C140" s="49" t="inlineStr">
        <is>
          <t>Backend</t>
        </is>
      </c>
      <c r="D140" s="47">
        <f>SUMIF('Дорожная карта'!$A$6:$A$16,A140,'Дорожная карта'!$E$6:$E$16)</f>
        <v/>
      </c>
      <c r="E140" s="50" t="n">
        <v>0</v>
      </c>
      <c r="F140" s="51" t="n">
        <v>1</v>
      </c>
      <c r="G140" s="52">
        <f>Параметры!$B$9</f>
        <v/>
      </c>
      <c r="H140" s="48">
        <f>MAX(0,(D140-E140)*F140*G140)</f>
        <v/>
      </c>
    </row>
    <row r="141">
      <c r="A141" s="47" t="n">
        <v>11</v>
      </c>
      <c r="B141" s="49" t="inlineStr">
        <is>
          <t>Волкова Н.</t>
        </is>
      </c>
      <c r="C141" s="49" t="inlineStr">
        <is>
          <t>Frontend</t>
        </is>
      </c>
      <c r="D141" s="47">
        <f>SUMIF('Дорожная карта'!$A$6:$A$16,A141,'Дорожная карта'!$E$6:$E$16)</f>
        <v/>
      </c>
      <c r="E141" s="50" t="n">
        <v>0</v>
      </c>
      <c r="F141" s="51" t="n">
        <v>1</v>
      </c>
      <c r="G141" s="52">
        <f>Параметры!$B$9</f>
        <v/>
      </c>
      <c r="H141" s="48">
        <f>MAX(0,(D141-E141)*F141*G141)</f>
        <v/>
      </c>
    </row>
    <row r="142">
      <c r="A142" s="47" t="n">
        <v>11</v>
      </c>
      <c r="B142" s="49" t="inlineStr">
        <is>
          <t>Морозов И.</t>
        </is>
      </c>
      <c r="C142" s="49" t="inlineStr">
        <is>
          <t>QA</t>
        </is>
      </c>
      <c r="D142" s="47">
        <f>SUMIF('Дорожная карта'!$A$6:$A$16,A142,'Дорожная карта'!$E$6:$E$16)</f>
        <v/>
      </c>
      <c r="E142" s="50" t="n">
        <v>0</v>
      </c>
      <c r="F142" s="51" t="n">
        <v>1</v>
      </c>
      <c r="G142" s="52">
        <f>Параметры!$B$9</f>
        <v/>
      </c>
      <c r="H142" s="48">
        <f>MAX(0,(D142-E142)*F142*G142)</f>
        <v/>
      </c>
    </row>
    <row r="143">
      <c r="A143" s="47" t="n">
        <v>11</v>
      </c>
      <c r="B143" s="49" t="inlineStr">
        <is>
          <t>Новиков А.</t>
        </is>
      </c>
      <c r="C143" s="49" t="inlineStr">
        <is>
          <t>DevOps</t>
        </is>
      </c>
      <c r="D143" s="47">
        <f>SUMIF('Дорожная карта'!$A$6:$A$16,A143,'Дорожная карта'!$E$6:$E$16)</f>
        <v/>
      </c>
      <c r="E143" s="50" t="n">
        <v>0</v>
      </c>
      <c r="F143" s="51" t="n">
        <v>0.8</v>
      </c>
      <c r="G143" s="52">
        <f>Параметры!$B$9</f>
        <v/>
      </c>
      <c r="H143" s="48">
        <f>MAX(0,(D143-E143)*F143*G143)</f>
        <v/>
      </c>
    </row>
    <row r="144">
      <c r="A144" s="47" t="n">
        <v>11</v>
      </c>
      <c r="B144" s="49" t="inlineStr">
        <is>
          <t>Фёдорова О.</t>
        </is>
      </c>
      <c r="C144" s="49" t="inlineStr">
        <is>
          <t>Analyst</t>
        </is>
      </c>
      <c r="D144" s="47">
        <f>SUMIF('Дорожная карта'!$A$6:$A$16,A144,'Дорожная карта'!$E$6:$E$16)</f>
        <v/>
      </c>
      <c r="E144" s="50" t="n">
        <v>0</v>
      </c>
      <c r="F144" s="51" t="n">
        <v>1</v>
      </c>
      <c r="G144" s="52">
        <f>Параметры!$B$9</f>
        <v/>
      </c>
      <c r="H144" s="48">
        <f>MAX(0,(D144-E144)*F144*G144)</f>
        <v/>
      </c>
    </row>
    <row r="145">
      <c r="A145" s="47" t="n">
        <v>11</v>
      </c>
      <c r="B145" s="49" t="inlineStr">
        <is>
          <t>Козлов В.</t>
        </is>
      </c>
      <c r="C145" s="49" t="inlineStr">
        <is>
          <t>Backend</t>
        </is>
      </c>
      <c r="D145" s="47">
        <f>SUMIF('Дорожная карта'!$A$6:$A$16,A145,'Дорожная карта'!$E$6:$E$16)</f>
        <v/>
      </c>
      <c r="E145" s="50" t="n">
        <v>0</v>
      </c>
      <c r="F145" s="51" t="n">
        <v>1</v>
      </c>
      <c r="G145" s="52">
        <f>Параметры!$B$9</f>
        <v/>
      </c>
      <c r="H145" s="48">
        <f>MAX(0,(D145-E145)*F145*G145)</f>
        <v/>
      </c>
    </row>
    <row r="146">
      <c r="A146" s="47" t="n">
        <v>11</v>
      </c>
      <c r="B146" s="49" t="inlineStr">
        <is>
          <t>Лебедева Т.</t>
        </is>
      </c>
      <c r="C146" s="49" t="inlineStr">
        <is>
          <t>Designer</t>
        </is>
      </c>
      <c r="D146" s="47">
        <f>SUMIF('Дорожная карта'!$A$6:$A$16,A146,'Дорожная карта'!$E$6:$E$16)</f>
        <v/>
      </c>
      <c r="E146" s="50" t="n">
        <v>0</v>
      </c>
      <c r="F146" s="51" t="n">
        <v>0.8</v>
      </c>
      <c r="G146" s="52">
        <f>Параметры!$B$9</f>
        <v/>
      </c>
      <c r="H146" s="48">
        <f>MAX(0,(D146-E146)*F146*G146)</f>
        <v/>
      </c>
    </row>
    <row r="147">
      <c r="A147" s="47" t="n">
        <v>11</v>
      </c>
      <c r="B147" s="49" t="inlineStr">
        <is>
          <t>Соколов Р.</t>
        </is>
      </c>
      <c r="C147" s="49" t="inlineStr">
        <is>
          <t>Frontend</t>
        </is>
      </c>
      <c r="D147" s="47">
        <f>SUMIF('Дорожная карта'!$A$6:$A$16,A147,'Дорожная карта'!$E$6:$E$16)</f>
        <v/>
      </c>
      <c r="E147" s="50" t="n">
        <v>0</v>
      </c>
      <c r="F147" s="51" t="n">
        <v>1</v>
      </c>
      <c r="G147" s="52">
        <f>Параметры!$B$9</f>
        <v/>
      </c>
      <c r="H147" s="48">
        <f>MAX(0,(D147-E147)*F147*G147)</f>
        <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4.4"/>
  <cols>
    <col width="14" customWidth="1" min="1" max="1"/>
    <col width="30" customWidth="1" min="2" max="2"/>
  </cols>
  <sheetData>
    <row r="1" ht="15.6" customHeight="1">
      <c r="A1" s="91" t="inlineStr">
        <is>
          <t>Производственный календарь (нерабочие дни)</t>
        </is>
      </c>
    </row>
    <row r="2">
      <c r="A2" s="82" t="inlineStr">
        <is>
          <t>Раб. дни каждого спринта считаются как ЧИСТРАБДНИ(начало; конец; этот список).</t>
        </is>
      </c>
    </row>
    <row r="4">
      <c r="A4" s="92" t="inlineStr">
        <is>
          <t>Дата</t>
        </is>
      </c>
      <c r="B4" s="92" t="inlineStr">
        <is>
          <t>Праздник / выходной</t>
        </is>
      </c>
    </row>
    <row r="5">
      <c r="A5" s="107" t="n">
        <v>46330</v>
      </c>
      <c r="B5" s="93" t="inlineStr">
        <is>
          <t>День народного единства</t>
        </is>
      </c>
    </row>
    <row r="6">
      <c r="A6" s="107" t="n">
        <v>46388</v>
      </c>
      <c r="B6" s="93" t="inlineStr">
        <is>
          <t>Новый год</t>
        </is>
      </c>
    </row>
    <row r="7">
      <c r="A7" s="107" t="n">
        <v>46389</v>
      </c>
      <c r="B7" s="93" t="inlineStr">
        <is>
          <t>Новогодние каникулы</t>
        </is>
      </c>
    </row>
    <row r="8">
      <c r="A8" s="107" t="n"/>
      <c r="B8" s="93" t="n"/>
    </row>
    <row r="9">
      <c r="A9" s="107" t="n"/>
      <c r="B9" s="93" t="n"/>
    </row>
    <row r="10">
      <c r="A10" s="107" t="n"/>
      <c r="B10" s="93" t="n"/>
    </row>
    <row r="11">
      <c r="A11" s="107" t="n"/>
      <c r="B11" s="93" t="n"/>
    </row>
    <row r="12">
      <c r="A12" s="107" t="n"/>
      <c r="B12" s="93" t="n"/>
    </row>
    <row r="13">
      <c r="A13" s="107" t="n"/>
      <c r="B13" s="93" t="n"/>
    </row>
    <row r="14">
      <c r="A14" s="107" t="n"/>
      <c r="B14" s="93" t="n"/>
    </row>
    <row r="15">
      <c r="A15" s="107" t="n"/>
      <c r="B15" s="93" t="n"/>
    </row>
    <row r="16">
      <c r="A16" s="107" t="n"/>
      <c r="B16" s="93" t="n"/>
    </row>
    <row r="17">
      <c r="A17" s="107" t="n"/>
      <c r="B17" s="93" t="n"/>
    </row>
    <row r="18">
      <c r="A18" s="107" t="n"/>
      <c r="B18" s="93" t="n"/>
    </row>
    <row r="19">
      <c r="A19" s="107" t="n"/>
      <c r="B19" s="93" t="n"/>
    </row>
    <row r="20">
      <c r="A20" s="107" t="n"/>
      <c r="B20" s="93" t="n"/>
    </row>
    <row r="21">
      <c r="A21" s="107" t="n"/>
      <c r="B21" s="93" t="n"/>
    </row>
    <row r="22">
      <c r="A22" s="107" t="n"/>
      <c r="B22" s="93" t="n"/>
    </row>
    <row r="23">
      <c r="A23" s="107" t="n"/>
      <c r="B23" s="93" t="n"/>
    </row>
    <row r="24">
      <c r="A24" s="107" t="n"/>
      <c r="B24" s="93" t="n"/>
    </row>
    <row r="25">
      <c r="A25" s="107" t="n"/>
      <c r="B25" s="93" t="n"/>
    </row>
    <row r="26">
      <c r="A26" s="107" t="n"/>
      <c r="B26" s="93" t="n"/>
    </row>
    <row r="27">
      <c r="A27" s="107" t="n"/>
      <c r="B27" s="93" t="n"/>
    </row>
    <row r="28">
      <c r="A28" s="107" t="n"/>
      <c r="B28" s="93" t="n"/>
    </row>
    <row r="29">
      <c r="A29" s="107" t="n"/>
      <c r="B29" s="93"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7"/>
  <sheetViews>
    <sheetView showGridLines="0" workbookViewId="0">
      <pane ySplit="5" topLeftCell="A9" activePane="bottomLeft" state="frozen"/>
      <selection activeCell="H8" sqref="H8"/>
      <selection pane="bottomLeft" activeCell="H8" sqref="H8"/>
    </sheetView>
  </sheetViews>
  <sheetFormatPr baseColWidth="8" defaultRowHeight="14.4"/>
  <cols>
    <col width="12" customWidth="1" min="1" max="1"/>
    <col width="13" customWidth="1" min="2" max="2"/>
    <col width="16" customWidth="1" min="3" max="3"/>
    <col width="10" customWidth="1" min="4" max="4"/>
    <col width="12" customWidth="1" min="5" max="5"/>
    <col width="11.33203125" customWidth="1" min="7" max="7"/>
  </cols>
  <sheetData>
    <row r="1" ht="17.4" customHeight="1">
      <c r="A1" s="37" t="inlineStr">
        <is>
          <t>Загрузка по ролям</t>
        </is>
      </c>
    </row>
    <row r="2">
      <c r="A2" s="38" t="inlineStr">
        <is>
          <t>Капасити — из «Капасити»; спрос — из «Бэклога» по текущему спринту (авто).</t>
        </is>
      </c>
    </row>
    <row r="3">
      <c r="A3" s="14" t="inlineStr">
        <is>
          <t>Текущий спринт:</t>
        </is>
      </c>
      <c r="B3" s="67">
        <f>Параметры!$B$13</f>
        <v/>
      </c>
    </row>
    <row r="5" ht="27.6" customHeight="1">
      <c r="A5" s="39" t="inlineStr">
        <is>
          <t>Роль</t>
        </is>
      </c>
      <c r="B5" s="39" t="inlineStr">
        <is>
          <t>Капасити (дн)</t>
        </is>
      </c>
      <c r="C5" s="39" t="inlineStr">
        <is>
          <t>Спрос / План (дн)</t>
        </is>
      </c>
      <c r="D5" s="39" t="inlineStr">
        <is>
          <t>Загрузка</t>
        </is>
      </c>
      <c r="E5" s="39" t="inlineStr">
        <is>
          <t>Статус</t>
        </is>
      </c>
    </row>
    <row r="6">
      <c r="A6" s="68" t="inlineStr">
        <is>
          <t>Backend</t>
        </is>
      </c>
      <c r="B6" s="35">
        <f>SUMIFS(Капасити!$H$5:$H$147,Капасити!$A$5:$A$147,Параметры!$B$13,Капасити!$C$5:$C$147,A6)</f>
        <v/>
      </c>
      <c r="C6" s="35">
        <f>SUMIFS(Бэклог!$E$5:$E$44,Бэклог!$H$5:$H$44,A6,Бэклог!$M$5:$M$44,Параметры!$B$13)</f>
        <v/>
      </c>
      <c r="D6" s="60">
        <f>IFERROR(C6/B6,0)</f>
        <v/>
      </c>
      <c r="E6" s="47">
        <f>IF(B6=0,"—",IF(D6&gt;1,"Перегруз",IF(D6&gt;=0.9,"На пределе","OK")))</f>
        <v/>
      </c>
    </row>
    <row r="7">
      <c r="A7" s="68" t="inlineStr">
        <is>
          <t>Frontend</t>
        </is>
      </c>
      <c r="B7" s="35">
        <f>SUMIFS(Капасити!$H$5:$H$147,Капасити!$A$5:$A$147,Параметры!$B$13,Капасити!$C$5:$C$147,A7)</f>
        <v/>
      </c>
      <c r="C7" s="35">
        <f>SUMIFS(Бэклог!$E$5:$E$44,Бэклог!$H$5:$H$44,A7,Бэклог!$M$5:$M$44,Параметры!$B$13)</f>
        <v/>
      </c>
      <c r="D7" s="60">
        <f>IFERROR(C7/B7,0)</f>
        <v/>
      </c>
      <c r="E7" s="47">
        <f>IF(B7=0,"—",IF(D7&gt;1,"Перегруз",IF(D7&gt;=0.9,"На пределе","OK")))</f>
        <v/>
      </c>
    </row>
    <row r="8">
      <c r="A8" s="68" t="inlineStr">
        <is>
          <t>QA</t>
        </is>
      </c>
      <c r="B8" s="35">
        <f>SUMIFS(Капасити!$H$5:$H$147,Капасити!$A$5:$A$147,Параметры!$B$13,Капасити!$C$5:$C$147,A8)</f>
        <v/>
      </c>
      <c r="C8" s="35">
        <f>SUMIFS(Бэклог!$E$5:$E$44,Бэклог!$H$5:$H$44,A8,Бэклог!$M$5:$M$44,Параметры!$B$13)</f>
        <v/>
      </c>
      <c r="D8" s="60">
        <f>IFERROR(C8/B8,0)</f>
        <v/>
      </c>
      <c r="E8" s="47">
        <f>IF(B8=0,"—",IF(D8&gt;1,"Перегруз",IF(D8&gt;=0.9,"На пределе","OK")))</f>
        <v/>
      </c>
    </row>
    <row r="9">
      <c r="A9" s="68" t="inlineStr">
        <is>
          <t>DevOps</t>
        </is>
      </c>
      <c r="B9" s="35">
        <f>SUMIFS(Капасити!$H$5:$H$147,Капасити!$A$5:$A$147,Параметры!$B$13,Капасити!$C$5:$C$147,A9)</f>
        <v/>
      </c>
      <c r="C9" s="35">
        <f>SUMIFS(Бэклог!$E$5:$E$44,Бэклог!$H$5:$H$44,A9,Бэклог!$M$5:$M$44,Параметры!$B$13)</f>
        <v/>
      </c>
      <c r="D9" s="60">
        <f>IFERROR(C9/B9,0)</f>
        <v/>
      </c>
      <c r="E9" s="47">
        <f>IF(B9=0,"—",IF(D9&gt;1,"Перегруз",IF(D9&gt;=0.9,"На пределе","OK")))</f>
        <v/>
      </c>
    </row>
    <row r="10">
      <c r="A10" s="68" t="inlineStr">
        <is>
          <t>Analyst</t>
        </is>
      </c>
      <c r="B10" s="35">
        <f>SUMIFS(Капасити!$H$5:$H$147,Капасити!$A$5:$A$147,Параметры!$B$13,Капасити!$C$5:$C$147,A10)</f>
        <v/>
      </c>
      <c r="C10" s="35">
        <f>SUMIFS(Бэклог!$E$5:$E$44,Бэклог!$H$5:$H$44,A10,Бэклог!$M$5:$M$44,Параметры!$B$13)</f>
        <v/>
      </c>
      <c r="D10" s="60">
        <f>IFERROR(C10/B10,0)</f>
        <v/>
      </c>
      <c r="E10" s="47">
        <f>IF(B10=0,"—",IF(D10&gt;1,"Перегруз",IF(D10&gt;=0.9,"На пределе","OK")))</f>
        <v/>
      </c>
    </row>
    <row r="11">
      <c r="A11" s="68" t="inlineStr">
        <is>
          <t>Designer</t>
        </is>
      </c>
      <c r="B11" s="35">
        <f>SUMIFS(Капасити!$H$5:$H$147,Капасити!$A$5:$A$147,Параметры!$B$13,Капасити!$C$5:$C$147,A11)</f>
        <v/>
      </c>
      <c r="C11" s="35">
        <f>SUMIFS(Бэклог!$E$5:$E$44,Бэклог!$H$5:$H$44,A11,Бэклог!$M$5:$M$44,Параметры!$B$13)</f>
        <v/>
      </c>
      <c r="D11" s="60">
        <f>IFERROR(C11/B11,0)</f>
        <v/>
      </c>
      <c r="E11" s="47">
        <f>IF(B11=0,"—",IF(D11&gt;1,"Перегруз",IF(D11&gt;=0.9,"На пределе","OK")))</f>
        <v/>
      </c>
    </row>
    <row r="12">
      <c r="A12" s="53" t="inlineStr">
        <is>
          <t>ИТОГО</t>
        </is>
      </c>
      <c r="B12" s="54">
        <f>SUM(B6:B11)</f>
        <v/>
      </c>
      <c r="C12" s="54">
        <f>SUM(C6:C11)</f>
        <v/>
      </c>
      <c r="D12" s="66">
        <f>IFERROR(C12/B12,0)</f>
        <v/>
      </c>
      <c r="E12" s="65" t="n"/>
    </row>
    <row r="15" ht="15.6" customHeight="1">
      <c r="A15" s="58" t="inlineStr">
        <is>
          <t>Капасити по ролям × спринтам (дн)</t>
        </is>
      </c>
    </row>
    <row r="16" ht="27.6" customHeight="1">
      <c r="A16" s="39" t="inlineStr">
        <is>
          <t>Спринт</t>
        </is>
      </c>
      <c r="B16" s="39" t="inlineStr">
        <is>
          <t>Backend</t>
        </is>
      </c>
      <c r="C16" s="39" t="inlineStr">
        <is>
          <t>Frontend</t>
        </is>
      </c>
      <c r="D16" s="39" t="inlineStr">
        <is>
          <t>QA</t>
        </is>
      </c>
      <c r="E16" s="39" t="inlineStr">
        <is>
          <t>DevOps</t>
        </is>
      </c>
      <c r="F16" s="39" t="inlineStr">
        <is>
          <t>Analyst</t>
        </is>
      </c>
      <c r="G16" s="39" t="inlineStr">
        <is>
          <t>Designer</t>
        </is>
      </c>
      <c r="H16" s="39" t="inlineStr">
        <is>
          <t>Итого</t>
        </is>
      </c>
    </row>
    <row r="17">
      <c r="A17" s="47" t="n">
        <v>1</v>
      </c>
      <c r="B17" s="69">
        <f>SUMIFS(Капасити!$H$5:$H$147,Капасити!$A$5:$A$147,$A17,Капасити!$C$5:$C$147,B$16)</f>
        <v/>
      </c>
      <c r="C17" s="69">
        <f>SUMIFS(Капасити!$H$5:$H$147,Капасити!$A$5:$A$147,$A17,Капасити!$C$5:$C$147,C$16)</f>
        <v/>
      </c>
      <c r="D17" s="69">
        <f>SUMIFS(Капасити!$H$5:$H$147,Капасити!$A$5:$A$147,$A17,Капасити!$C$5:$C$147,D$16)</f>
        <v/>
      </c>
      <c r="E17" s="69">
        <f>SUMIFS(Капасити!$H$5:$H$147,Капасити!$A$5:$A$147,$A17,Капасити!$C$5:$C$147,E$16)</f>
        <v/>
      </c>
      <c r="F17" s="69">
        <f>SUMIFS(Капасити!$H$5:$H$147,Капасити!$A$5:$A$147,$A17,Капасити!$C$5:$C$147,F$16)</f>
        <v/>
      </c>
      <c r="G17" s="69">
        <f>SUMIFS(Капасити!$H$5:$H$147,Капасити!$A$5:$A$147,$A17,Капасити!$C$5:$C$147,G$16)</f>
        <v/>
      </c>
      <c r="H17" s="48">
        <f>SUM(B17:G17)</f>
        <v/>
      </c>
    </row>
    <row r="18">
      <c r="A18" s="47" t="n">
        <v>2</v>
      </c>
      <c r="B18" s="69">
        <f>SUMIFS(Капасити!$H$5:$H$147,Капасити!$A$5:$A$147,$A18,Капасити!$C$5:$C$147,B$16)</f>
        <v/>
      </c>
      <c r="C18" s="69">
        <f>SUMIFS(Капасити!$H$5:$H$147,Капасити!$A$5:$A$147,$A18,Капасити!$C$5:$C$147,C$16)</f>
        <v/>
      </c>
      <c r="D18" s="69">
        <f>SUMIFS(Капасити!$H$5:$H$147,Капасити!$A$5:$A$147,$A18,Капасити!$C$5:$C$147,D$16)</f>
        <v/>
      </c>
      <c r="E18" s="69">
        <f>SUMIFS(Капасити!$H$5:$H$147,Капасити!$A$5:$A$147,$A18,Капасити!$C$5:$C$147,E$16)</f>
        <v/>
      </c>
      <c r="F18" s="69">
        <f>SUMIFS(Капасити!$H$5:$H$147,Капасити!$A$5:$A$147,$A18,Капасити!$C$5:$C$147,F$16)</f>
        <v/>
      </c>
      <c r="G18" s="69">
        <f>SUMIFS(Капасити!$H$5:$H$147,Капасити!$A$5:$A$147,$A18,Капасити!$C$5:$C$147,G$16)</f>
        <v/>
      </c>
      <c r="H18" s="48">
        <f>SUM(B18:G18)</f>
        <v/>
      </c>
    </row>
    <row r="19">
      <c r="A19" s="47" t="n">
        <v>3</v>
      </c>
      <c r="B19" s="69">
        <f>SUMIFS(Капасити!$H$5:$H$147,Капасити!$A$5:$A$147,$A19,Капасити!$C$5:$C$147,B$16)</f>
        <v/>
      </c>
      <c r="C19" s="69">
        <f>SUMIFS(Капасити!$H$5:$H$147,Капасити!$A$5:$A$147,$A19,Капасити!$C$5:$C$147,C$16)</f>
        <v/>
      </c>
      <c r="D19" s="69">
        <f>SUMIFS(Капасити!$H$5:$H$147,Капасити!$A$5:$A$147,$A19,Капасити!$C$5:$C$147,D$16)</f>
        <v/>
      </c>
      <c r="E19" s="69">
        <f>SUMIFS(Капасити!$H$5:$H$147,Капасити!$A$5:$A$147,$A19,Капасити!$C$5:$C$147,E$16)</f>
        <v/>
      </c>
      <c r="F19" s="69">
        <f>SUMIFS(Капасити!$H$5:$H$147,Капасити!$A$5:$A$147,$A19,Капасити!$C$5:$C$147,F$16)</f>
        <v/>
      </c>
      <c r="G19" s="69">
        <f>SUMIFS(Капасити!$H$5:$H$147,Капасити!$A$5:$A$147,$A19,Капасити!$C$5:$C$147,G$16)</f>
        <v/>
      </c>
      <c r="H19" s="48">
        <f>SUM(B19:G19)</f>
        <v/>
      </c>
    </row>
    <row r="20">
      <c r="A20" s="47" t="n">
        <v>4</v>
      </c>
      <c r="B20" s="69">
        <f>SUMIFS(Капасити!$H$5:$H$147,Капасити!$A$5:$A$147,$A20,Капасити!$C$5:$C$147,B$16)</f>
        <v/>
      </c>
      <c r="C20" s="69">
        <f>SUMIFS(Капасити!$H$5:$H$147,Капасити!$A$5:$A$147,$A20,Капасити!$C$5:$C$147,C$16)</f>
        <v/>
      </c>
      <c r="D20" s="69">
        <f>SUMIFS(Капасити!$H$5:$H$147,Капасити!$A$5:$A$147,$A20,Капасити!$C$5:$C$147,D$16)</f>
        <v/>
      </c>
      <c r="E20" s="69">
        <f>SUMIFS(Капасити!$H$5:$H$147,Капасити!$A$5:$A$147,$A20,Капасити!$C$5:$C$147,E$16)</f>
        <v/>
      </c>
      <c r="F20" s="69">
        <f>SUMIFS(Капасити!$H$5:$H$147,Капасити!$A$5:$A$147,$A20,Капасити!$C$5:$C$147,F$16)</f>
        <v/>
      </c>
      <c r="G20" s="69">
        <f>SUMIFS(Капасити!$H$5:$H$147,Капасити!$A$5:$A$147,$A20,Капасити!$C$5:$C$147,G$16)</f>
        <v/>
      </c>
      <c r="H20" s="48">
        <f>SUM(B20:G20)</f>
        <v/>
      </c>
    </row>
    <row r="21">
      <c r="A21" s="47" t="n">
        <v>5</v>
      </c>
      <c r="B21" s="69">
        <f>SUMIFS(Капасити!$H$5:$H$147,Капасити!$A$5:$A$147,$A21,Капасити!$C$5:$C$147,B$16)</f>
        <v/>
      </c>
      <c r="C21" s="69">
        <f>SUMIFS(Капасити!$H$5:$H$147,Капасити!$A$5:$A$147,$A21,Капасити!$C$5:$C$147,C$16)</f>
        <v/>
      </c>
      <c r="D21" s="69">
        <f>SUMIFS(Капасити!$H$5:$H$147,Капасити!$A$5:$A$147,$A21,Капасити!$C$5:$C$147,D$16)</f>
        <v/>
      </c>
      <c r="E21" s="69">
        <f>SUMIFS(Капасити!$H$5:$H$147,Капасити!$A$5:$A$147,$A21,Капасити!$C$5:$C$147,E$16)</f>
        <v/>
      </c>
      <c r="F21" s="69">
        <f>SUMIFS(Капасити!$H$5:$H$147,Капасити!$A$5:$A$147,$A21,Капасити!$C$5:$C$147,F$16)</f>
        <v/>
      </c>
      <c r="G21" s="69">
        <f>SUMIFS(Капасити!$H$5:$H$147,Капасити!$A$5:$A$147,$A21,Капасити!$C$5:$C$147,G$16)</f>
        <v/>
      </c>
      <c r="H21" s="48">
        <f>SUM(B21:G21)</f>
        <v/>
      </c>
    </row>
    <row r="22">
      <c r="A22" s="47" t="n">
        <v>6</v>
      </c>
      <c r="B22" s="69">
        <f>SUMIFS(Капасити!$H$5:$H$147,Капасити!$A$5:$A$147,$A22,Капасити!$C$5:$C$147,B$16)</f>
        <v/>
      </c>
      <c r="C22" s="69">
        <f>SUMIFS(Капасити!$H$5:$H$147,Капасити!$A$5:$A$147,$A22,Капасити!$C$5:$C$147,C$16)</f>
        <v/>
      </c>
      <c r="D22" s="69">
        <f>SUMIFS(Капасити!$H$5:$H$147,Капасити!$A$5:$A$147,$A22,Капасити!$C$5:$C$147,D$16)</f>
        <v/>
      </c>
      <c r="E22" s="69">
        <f>SUMIFS(Капасити!$H$5:$H$147,Капасити!$A$5:$A$147,$A22,Капасити!$C$5:$C$147,E$16)</f>
        <v/>
      </c>
      <c r="F22" s="69">
        <f>SUMIFS(Капасити!$H$5:$H$147,Капасити!$A$5:$A$147,$A22,Капасити!$C$5:$C$147,F$16)</f>
        <v/>
      </c>
      <c r="G22" s="69">
        <f>SUMIFS(Капасити!$H$5:$H$147,Капасити!$A$5:$A$147,$A22,Капасити!$C$5:$C$147,G$16)</f>
        <v/>
      </c>
      <c r="H22" s="48">
        <f>SUM(B22:G22)</f>
        <v/>
      </c>
    </row>
    <row r="23">
      <c r="A23" s="47" t="n">
        <v>7</v>
      </c>
      <c r="B23" s="69">
        <f>SUMIFS(Капасити!$H$5:$H$147,Капасити!$A$5:$A$147,$A23,Капасити!$C$5:$C$147,B$16)</f>
        <v/>
      </c>
      <c r="C23" s="69">
        <f>SUMIFS(Капасити!$H$5:$H$147,Капасити!$A$5:$A$147,$A23,Капасити!$C$5:$C$147,C$16)</f>
        <v/>
      </c>
      <c r="D23" s="69">
        <f>SUMIFS(Капасити!$H$5:$H$147,Капасити!$A$5:$A$147,$A23,Капасити!$C$5:$C$147,D$16)</f>
        <v/>
      </c>
      <c r="E23" s="69">
        <f>SUMIFS(Капасити!$H$5:$H$147,Капасити!$A$5:$A$147,$A23,Капасити!$C$5:$C$147,E$16)</f>
        <v/>
      </c>
      <c r="F23" s="69">
        <f>SUMIFS(Капасити!$H$5:$H$147,Капасити!$A$5:$A$147,$A23,Капасити!$C$5:$C$147,F$16)</f>
        <v/>
      </c>
      <c r="G23" s="69">
        <f>SUMIFS(Капасити!$H$5:$H$147,Капасити!$A$5:$A$147,$A23,Капасити!$C$5:$C$147,G$16)</f>
        <v/>
      </c>
      <c r="H23" s="48">
        <f>SUM(B23:G23)</f>
        <v/>
      </c>
    </row>
    <row r="24">
      <c r="A24" s="47" t="n">
        <v>8</v>
      </c>
      <c r="B24" s="69">
        <f>SUMIFS(Капасити!$H$5:$H$147,Капасити!$A$5:$A$147,$A24,Капасити!$C$5:$C$147,B$16)</f>
        <v/>
      </c>
      <c r="C24" s="69">
        <f>SUMIFS(Капасити!$H$5:$H$147,Капасити!$A$5:$A$147,$A24,Капасити!$C$5:$C$147,C$16)</f>
        <v/>
      </c>
      <c r="D24" s="69">
        <f>SUMIFS(Капасити!$H$5:$H$147,Капасити!$A$5:$A$147,$A24,Капасити!$C$5:$C$147,D$16)</f>
        <v/>
      </c>
      <c r="E24" s="69">
        <f>SUMIFS(Капасити!$H$5:$H$147,Капасити!$A$5:$A$147,$A24,Капасити!$C$5:$C$147,E$16)</f>
        <v/>
      </c>
      <c r="F24" s="69">
        <f>SUMIFS(Капасити!$H$5:$H$147,Капасити!$A$5:$A$147,$A24,Капасити!$C$5:$C$147,F$16)</f>
        <v/>
      </c>
      <c r="G24" s="69">
        <f>SUMIFS(Капасити!$H$5:$H$147,Капасити!$A$5:$A$147,$A24,Капасити!$C$5:$C$147,G$16)</f>
        <v/>
      </c>
      <c r="H24" s="48">
        <f>SUM(B24:G24)</f>
        <v/>
      </c>
    </row>
    <row r="25">
      <c r="A25" s="47" t="n">
        <v>9</v>
      </c>
      <c r="B25" s="69">
        <f>SUMIFS(Капасити!$H$5:$H$147,Капасити!$A$5:$A$147,$A25,Капасити!$C$5:$C$147,B$16)</f>
        <v/>
      </c>
      <c r="C25" s="69">
        <f>SUMIFS(Капасити!$H$5:$H$147,Капасити!$A$5:$A$147,$A25,Капасити!$C$5:$C$147,C$16)</f>
        <v/>
      </c>
      <c r="D25" s="69">
        <f>SUMIFS(Капасити!$H$5:$H$147,Капасити!$A$5:$A$147,$A25,Капасити!$C$5:$C$147,D$16)</f>
        <v/>
      </c>
      <c r="E25" s="69">
        <f>SUMIFS(Капасити!$H$5:$H$147,Капасити!$A$5:$A$147,$A25,Капасити!$C$5:$C$147,E$16)</f>
        <v/>
      </c>
      <c r="F25" s="69">
        <f>SUMIFS(Капасити!$H$5:$H$147,Капасити!$A$5:$A$147,$A25,Капасити!$C$5:$C$147,F$16)</f>
        <v/>
      </c>
      <c r="G25" s="69">
        <f>SUMIFS(Капасити!$H$5:$H$147,Капасити!$A$5:$A$147,$A25,Капасити!$C$5:$C$147,G$16)</f>
        <v/>
      </c>
      <c r="H25" s="48">
        <f>SUM(B25:G25)</f>
        <v/>
      </c>
    </row>
    <row r="26">
      <c r="A26" s="47" t="n">
        <v>10</v>
      </c>
      <c r="B26" s="69">
        <f>SUMIFS(Капасити!$H$5:$H$147,Капасити!$A$5:$A$147,$A26,Капасити!$C$5:$C$147,B$16)</f>
        <v/>
      </c>
      <c r="C26" s="69">
        <f>SUMIFS(Капасити!$H$5:$H$147,Капасити!$A$5:$A$147,$A26,Капасити!$C$5:$C$147,C$16)</f>
        <v/>
      </c>
      <c r="D26" s="69">
        <f>SUMIFS(Капасити!$H$5:$H$147,Капасити!$A$5:$A$147,$A26,Капасити!$C$5:$C$147,D$16)</f>
        <v/>
      </c>
      <c r="E26" s="69">
        <f>SUMIFS(Капасити!$H$5:$H$147,Капасити!$A$5:$A$147,$A26,Капасити!$C$5:$C$147,E$16)</f>
        <v/>
      </c>
      <c r="F26" s="69">
        <f>SUMIFS(Капасити!$H$5:$H$147,Капасити!$A$5:$A$147,$A26,Капасити!$C$5:$C$147,F$16)</f>
        <v/>
      </c>
      <c r="G26" s="69">
        <f>SUMIFS(Капасити!$H$5:$H$147,Капасити!$A$5:$A$147,$A26,Капасити!$C$5:$C$147,G$16)</f>
        <v/>
      </c>
      <c r="H26" s="48">
        <f>SUM(B26:G26)</f>
        <v/>
      </c>
    </row>
    <row r="27">
      <c r="A27" s="47" t="n">
        <v>11</v>
      </c>
      <c r="B27" s="69">
        <f>SUMIFS(Капасити!$H$5:$H$147,Капасити!$A$5:$A$147,$A27,Капасити!$C$5:$C$147,B$16)</f>
        <v/>
      </c>
      <c r="C27" s="69">
        <f>SUMIFS(Капасити!$H$5:$H$147,Капасити!$A$5:$A$147,$A27,Капасити!$C$5:$C$147,C$16)</f>
        <v/>
      </c>
      <c r="D27" s="69">
        <f>SUMIFS(Капасити!$H$5:$H$147,Капасити!$A$5:$A$147,$A27,Капасити!$C$5:$C$147,D$16)</f>
        <v/>
      </c>
      <c r="E27" s="69">
        <f>SUMIFS(Капасити!$H$5:$H$147,Капасити!$A$5:$A$147,$A27,Капасити!$C$5:$C$147,E$16)</f>
        <v/>
      </c>
      <c r="F27" s="69">
        <f>SUMIFS(Капасити!$H$5:$H$147,Капасити!$A$5:$A$147,$A27,Капасити!$C$5:$C$147,F$16)</f>
        <v/>
      </c>
      <c r="G27" s="69">
        <f>SUMIFS(Капасити!$H$5:$H$147,Капасити!$A$5:$A$147,$A27,Капасити!$C$5:$C$147,G$16)</f>
        <v/>
      </c>
      <c r="H27" s="48">
        <f>SUM(B27:G27)</f>
        <v/>
      </c>
    </row>
  </sheetData>
  <conditionalFormatting sqref="D6:D11">
    <cfRule type="cellIs" priority="1" operator="greaterThan" dxfId="2">
      <formula>1</formula>
    </cfRule>
    <cfRule type="cellIs" priority="2" operator="between" dxfId="1">
      <formula>0.9</formula>
      <formula>1</formula>
    </cfRule>
    <cfRule type="cellIs" priority="3" operator="lessThan" dxfId="0">
      <formula>0.9</formula>
    </cfRule>
  </conditionalFormatting>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U100"/>
  <sheetViews>
    <sheetView showGridLines="0" workbookViewId="0">
      <pane ySplit="4" topLeftCell="A11" activePane="bottomLeft" state="frozen"/>
      <selection activeCell="H8" sqref="H8"/>
      <selection pane="bottomLeft" activeCell="H8" sqref="H8"/>
    </sheetView>
  </sheetViews>
  <sheetFormatPr baseColWidth="8" defaultRowHeight="14.4"/>
  <cols>
    <col width="8" customWidth="1" min="1" max="1"/>
    <col width="34" customWidth="1" min="2" max="2"/>
    <col width="14" customWidth="1" min="3" max="3"/>
    <col width="11" customWidth="1" min="4" max="5"/>
    <col width="12" customWidth="1" min="6" max="6"/>
    <col width="11" customWidth="1" min="7" max="8"/>
    <col width="10" customWidth="1" min="9" max="9"/>
    <col width="15.88671875" customWidth="1" min="10" max="10"/>
    <col width="9" customWidth="1" min="11" max="12"/>
    <col width="8" customWidth="1" min="13" max="13"/>
    <col width="12" customWidth="1" min="14" max="14"/>
    <col width="10" customWidth="1" min="15" max="17"/>
    <col width="8" customWidth="1" min="18" max="19"/>
    <col width="9" customWidth="1" min="20" max="20"/>
    <col width="11" customWidth="1" min="21" max="21"/>
  </cols>
  <sheetData>
    <row r="1" ht="17.4" customHeight="1">
      <c r="A1" s="1" t="inlineStr">
        <is>
          <t>Бэклог спринта (задачи)</t>
        </is>
      </c>
    </row>
    <row r="2">
      <c r="A2" s="2" t="inlineStr">
        <is>
          <t>Оценка (дн) — трудоёмкость задачи в человеко-днях. Остаток пересчитывается по статусу («Готово» → 0).</t>
        </is>
      </c>
    </row>
    <row r="4" ht="27.6" customHeight="1">
      <c r="A4" s="3" t="inlineStr">
        <is>
          <t>ID</t>
        </is>
      </c>
      <c r="B4" s="3" t="inlineStr">
        <is>
          <t>Задача</t>
        </is>
      </c>
      <c r="C4" s="3" t="inlineStr">
        <is>
          <t>Исполнитель</t>
        </is>
      </c>
      <c r="D4" s="3" t="inlineStr">
        <is>
          <t>Приоритет</t>
        </is>
      </c>
      <c r="E4" s="3" t="inlineStr">
        <is>
          <t>Оценка (дн)</t>
        </is>
      </c>
      <c r="F4" s="3" t="inlineStr">
        <is>
          <t>Статус</t>
        </is>
      </c>
      <c r="G4" s="3" t="inlineStr">
        <is>
          <t>Остаток (дн)</t>
        </is>
      </c>
      <c r="H4" s="39" t="inlineStr">
        <is>
          <t>Роль</t>
        </is>
      </c>
      <c r="I4" s="39" t="inlineStr">
        <is>
          <t>Факт (дн)</t>
        </is>
      </c>
      <c r="J4" s="39" t="inlineStr">
        <is>
          <t>Точность
(Факт/Оценка)</t>
        </is>
      </c>
      <c r="K4" s="39" t="inlineStr">
        <is>
          <t>Блокер</t>
        </is>
      </c>
      <c r="L4" s="39" t="inlineStr">
        <is>
          <t>Дней
в блоке</t>
        </is>
      </c>
      <c r="M4" s="113" t="inlineStr">
        <is>
          <t>Спринт</t>
        </is>
      </c>
      <c r="N4" s="92" t="inlineStr">
        <is>
          <t>Добавлено
после старта</t>
        </is>
      </c>
      <c r="O4" s="92" t="inlineStr">
        <is>
          <t>Создана</t>
        </is>
      </c>
      <c r="P4" s="92" t="inlineStr">
        <is>
          <t>В работу</t>
        </is>
      </c>
      <c r="Q4" s="92" t="inlineStr">
        <is>
          <t>Готово</t>
        </is>
      </c>
      <c r="R4" s="92" t="inlineStr">
        <is>
          <t>Cycle
(дн)</t>
        </is>
      </c>
      <c r="S4" s="92" t="inlineStr">
        <is>
          <t>Lead
(дн)</t>
        </is>
      </c>
      <c r="T4" s="92" t="inlineStr">
        <is>
          <t>Возраст
WIP (дн)</t>
        </is>
      </c>
      <c r="U4" s="200" t="inlineStr">
        <is>
          <t>Тип</t>
        </is>
      </c>
    </row>
    <row r="5">
      <c r="A5" s="94" t="inlineStr">
        <is>
          <t>T-01</t>
        </is>
      </c>
      <c r="B5" s="95" t="inlineStr">
        <is>
          <t>Проектирование API заказов</t>
        </is>
      </c>
      <c r="C5" s="95" t="inlineStr">
        <is>
          <t>Иванов А.</t>
        </is>
      </c>
      <c r="D5" s="94" t="inlineStr">
        <is>
          <t>High</t>
        </is>
      </c>
      <c r="E5" s="96" t="n">
        <v>5</v>
      </c>
      <c r="F5" s="94" t="inlineStr">
        <is>
          <t>Готово</t>
        </is>
      </c>
      <c r="G5" s="23">
        <f>IF(F5="Готово",0,IF(E5="","",E5))</f>
        <v/>
      </c>
      <c r="H5" s="70">
        <f>IFERROR(INDEX(Капасити!$C$5:$C$147,MATCH($C5,Капасити!$B$5:$B$147,0)),"")</f>
        <v/>
      </c>
      <c r="I5" s="97" t="n">
        <v>6</v>
      </c>
      <c r="J5" s="72">
        <f>IF(AND(I5&lt;&gt;"",E5&lt;&gt;""),I5/E5,"")</f>
        <v/>
      </c>
      <c r="K5" s="50" t="inlineStr">
        <is>
          <t>Нет</t>
        </is>
      </c>
      <c r="L5" s="33" t="n"/>
      <c r="M5" s="98" t="n">
        <v>1</v>
      </c>
      <c r="N5" s="109" t="inlineStr">
        <is>
          <t>Нет</t>
        </is>
      </c>
      <c r="O5" s="128" t="n">
        <v>46233</v>
      </c>
      <c r="P5" s="128" t="n">
        <v>46237</v>
      </c>
      <c r="Q5" s="128" t="n">
        <v>46240</v>
      </c>
      <c r="R5" s="90">
        <f>IF(AND(Q5&lt;&gt;"",P5&lt;&gt;""),Q5-P5,"")</f>
        <v/>
      </c>
      <c r="S5" s="90">
        <f>IF(AND(Q5&lt;&gt;"",O5&lt;&gt;""),Q5-O5,"")</f>
        <v/>
      </c>
      <c r="T5" s="90">
        <f>IF(AND(F5="В работе",P5&lt;&gt;""),Параметры!$B$10-P5,"")</f>
        <v/>
      </c>
      <c r="U5" s="201" t="inlineStr">
        <is>
          <t>История</t>
        </is>
      </c>
    </row>
    <row r="6">
      <c r="A6" s="94" t="inlineStr">
        <is>
          <t>T-02</t>
        </is>
      </c>
      <c r="B6" s="95" t="inlineStr">
        <is>
          <t>Экран корзины (вёрстка)</t>
        </is>
      </c>
      <c r="C6" s="95" t="inlineStr">
        <is>
          <t>Петрова М.</t>
        </is>
      </c>
      <c r="D6" s="94" t="inlineStr">
        <is>
          <t>High</t>
        </is>
      </c>
      <c r="E6" s="96" t="n">
        <v>8</v>
      </c>
      <c r="F6" s="94" t="inlineStr">
        <is>
          <t>Готово</t>
        </is>
      </c>
      <c r="G6" s="23">
        <f>IF(F6="Готово",0,IF(E6="","",E6))</f>
        <v/>
      </c>
      <c r="H6" s="70">
        <f>IFERROR(INDEX(Капасити!$C$5:$C$147,MATCH($C6,Капасити!$B$5:$B$147,0)),"")</f>
        <v/>
      </c>
      <c r="I6" s="97" t="n">
        <v>8</v>
      </c>
      <c r="J6" s="72">
        <f>IF(AND(I6&lt;&gt;"",E6&lt;&gt;""),I6/E6,"")</f>
        <v/>
      </c>
      <c r="K6" s="50" t="inlineStr">
        <is>
          <t>Нет</t>
        </is>
      </c>
      <c r="L6" s="33" t="n"/>
      <c r="M6" s="98" t="n">
        <v>1</v>
      </c>
      <c r="N6" s="109" t="inlineStr">
        <is>
          <t>Нет</t>
        </is>
      </c>
      <c r="O6" s="128" t="n">
        <v>46233</v>
      </c>
      <c r="P6" s="128" t="n">
        <v>46238</v>
      </c>
      <c r="Q6" s="128" t="n">
        <v>46246</v>
      </c>
      <c r="R6" s="90">
        <f>IF(AND(Q6&lt;&gt;"",P6&lt;&gt;""),Q6-P6,"")</f>
        <v/>
      </c>
      <c r="S6" s="90">
        <f>IF(AND(Q6&lt;&gt;"",O6&lt;&gt;""),Q6-O6,"")</f>
        <v/>
      </c>
      <c r="T6" s="90">
        <f>IF(AND(F6="В работе",P6&lt;&gt;""),Параметры!$B$10-P6,"")</f>
        <v/>
      </c>
      <c r="U6" s="201" t="inlineStr">
        <is>
          <t>Задача</t>
        </is>
      </c>
    </row>
    <row r="7">
      <c r="A7" s="94" t="inlineStr">
        <is>
          <t>T-09</t>
        </is>
      </c>
      <c r="B7" s="95" t="inlineStr">
        <is>
          <t>Настройка CI/CD</t>
        </is>
      </c>
      <c r="C7" s="95" t="inlineStr">
        <is>
          <t>Новиков А.</t>
        </is>
      </c>
      <c r="D7" s="94" t="inlineStr">
        <is>
          <t>Medium</t>
        </is>
      </c>
      <c r="E7" s="96" t="n">
        <v>4</v>
      </c>
      <c r="F7" s="94" t="inlineStr">
        <is>
          <t>Готово</t>
        </is>
      </c>
      <c r="G7" s="23">
        <f>IF(F7="Готово",0,IF(E7="","",E7))</f>
        <v/>
      </c>
      <c r="H7" s="70">
        <f>IFERROR(INDEX(Капасити!$C$5:$C$147,MATCH($C7,Капасити!$B$5:$B$147,0)),"")</f>
        <v/>
      </c>
      <c r="I7" s="97" t="n">
        <v>5</v>
      </c>
      <c r="J7" s="72">
        <f>IF(AND(I7&lt;&gt;"",E7&lt;&gt;""),I7/E7,"")</f>
        <v/>
      </c>
      <c r="K7" s="50" t="inlineStr">
        <is>
          <t>Нет</t>
        </is>
      </c>
      <c r="L7" s="33" t="n"/>
      <c r="M7" s="98" t="n">
        <v>1</v>
      </c>
      <c r="N7" s="109" t="inlineStr">
        <is>
          <t>Нет</t>
        </is>
      </c>
      <c r="O7" s="128" t="n">
        <v>46234</v>
      </c>
      <c r="P7" s="128" t="n">
        <v>46237</v>
      </c>
      <c r="Q7" s="128" t="n">
        <v>46239</v>
      </c>
      <c r="R7" s="90">
        <f>IF(AND(Q7&lt;&gt;"",P7&lt;&gt;""),Q7-P7,"")</f>
        <v/>
      </c>
      <c r="S7" s="90">
        <f>IF(AND(Q7&lt;&gt;"",O7&lt;&gt;""),Q7-O7,"")</f>
        <v/>
      </c>
      <c r="T7" s="90">
        <f>IF(AND(F7="В работе",P7&lt;&gt;""),Параметры!$B$10-P7,"")</f>
        <v/>
      </c>
      <c r="U7" s="201" t="inlineStr">
        <is>
          <t>Задача</t>
        </is>
      </c>
    </row>
    <row r="8">
      <c r="A8" s="94" t="inlineStr">
        <is>
          <t>T-10</t>
        </is>
      </c>
      <c r="B8" s="95" t="inlineStr">
        <is>
          <t>Модель данных заказа</t>
        </is>
      </c>
      <c r="C8" s="95" t="inlineStr">
        <is>
          <t>Кузнецов Д.</t>
        </is>
      </c>
      <c r="D8" s="94" t="inlineStr">
        <is>
          <t>High</t>
        </is>
      </c>
      <c r="E8" s="96" t="n">
        <v>5</v>
      </c>
      <c r="F8" s="94" t="inlineStr">
        <is>
          <t>В работе</t>
        </is>
      </c>
      <c r="G8" s="23">
        <f>IF(F8="Готово",0,IF(E8="","",E8))</f>
        <v/>
      </c>
      <c r="H8" s="70">
        <f>IFERROR(INDEX(Капасити!$C$5:$C$147,MATCH($C8,Капасити!$B$5:$B$147,0)),"")</f>
        <v/>
      </c>
      <c r="I8" s="97" t="n"/>
      <c r="J8" s="72">
        <f>IF(AND(I8&lt;&gt;"",E8&lt;&gt;""),I8/E8,"")</f>
        <v/>
      </c>
      <c r="K8" s="50" t="inlineStr">
        <is>
          <t>Нет</t>
        </is>
      </c>
      <c r="L8" s="33" t="n"/>
      <c r="M8" s="98" t="n">
        <v>1</v>
      </c>
      <c r="N8" s="109" t="inlineStr">
        <is>
          <t>Нет</t>
        </is>
      </c>
      <c r="O8" s="128" t="n">
        <v>46234</v>
      </c>
      <c r="P8" s="128" t="n">
        <v>46239</v>
      </c>
      <c r="Q8" s="129" t="n"/>
      <c r="R8" s="90">
        <f>IF(AND(Q8&lt;&gt;"",P8&lt;&gt;""),Q8-P8,"")</f>
        <v/>
      </c>
      <c r="S8" s="90">
        <f>IF(AND(Q8&lt;&gt;"",O8&lt;&gt;""),Q8-O8,"")</f>
        <v/>
      </c>
      <c r="T8" s="90">
        <f>IF(AND(F8="В работе",P8&lt;&gt;""),Параметры!$B$10-P8,"")</f>
        <v/>
      </c>
      <c r="U8" s="201" t="inlineStr">
        <is>
          <t>История</t>
        </is>
      </c>
    </row>
    <row r="9">
      <c r="A9" s="94" t="inlineStr">
        <is>
          <t>T-03</t>
        </is>
      </c>
      <c r="B9" s="95" t="inlineStr">
        <is>
          <t>Интеграция платежей</t>
        </is>
      </c>
      <c r="C9" s="95" t="inlineStr">
        <is>
          <t>Иванов А.</t>
        </is>
      </c>
      <c r="D9" s="94" t="inlineStr">
        <is>
          <t>High</t>
        </is>
      </c>
      <c r="E9" s="96" t="n">
        <v>8</v>
      </c>
      <c r="F9" s="94" t="inlineStr">
        <is>
          <t>Готово</t>
        </is>
      </c>
      <c r="G9" s="23">
        <f>IF(F9="Готово",0,IF(E9="","",E9))</f>
        <v/>
      </c>
      <c r="H9" s="70">
        <f>IFERROR(INDEX(Капасити!$C$5:$C$147,MATCH($C9,Капасити!$B$5:$B$147,0)),"")</f>
        <v/>
      </c>
      <c r="I9" s="97" t="n">
        <v>9</v>
      </c>
      <c r="J9" s="72">
        <f>IF(AND(I9&lt;&gt;"",E9&lt;&gt;""),I9/E9,"")</f>
        <v/>
      </c>
      <c r="K9" s="50" t="inlineStr">
        <is>
          <t>Нет</t>
        </is>
      </c>
      <c r="L9" s="33" t="n"/>
      <c r="M9" s="98" t="n">
        <v>2</v>
      </c>
      <c r="N9" s="109" t="inlineStr">
        <is>
          <t>Нет</t>
        </is>
      </c>
      <c r="O9" s="128" t="n">
        <v>46244</v>
      </c>
      <c r="P9" s="128" t="n">
        <v>46251</v>
      </c>
      <c r="Q9" s="128" t="n">
        <v>46258</v>
      </c>
      <c r="R9" s="90">
        <f>IF(AND(Q9&lt;&gt;"",P9&lt;&gt;""),Q9-P9,"")</f>
        <v/>
      </c>
      <c r="S9" s="90">
        <f>IF(AND(Q9&lt;&gt;"",O9&lt;&gt;""),Q9-O9,"")</f>
        <v/>
      </c>
      <c r="T9" s="90">
        <f>IF(AND(F9="В работе",P9&lt;&gt;""),Параметры!$B$10-P9,"")</f>
        <v/>
      </c>
      <c r="U9" s="201" t="inlineStr">
        <is>
          <t>Задача</t>
        </is>
      </c>
    </row>
    <row r="10">
      <c r="A10" s="94" t="inlineStr">
        <is>
          <t>T-04</t>
        </is>
      </c>
      <c r="B10" s="95" t="inlineStr">
        <is>
          <t>Тест-кейсы оформления</t>
        </is>
      </c>
      <c r="C10" s="95" t="inlineStr">
        <is>
          <t>Сидоров К.</t>
        </is>
      </c>
      <c r="D10" s="94" t="inlineStr">
        <is>
          <t>Medium</t>
        </is>
      </c>
      <c r="E10" s="96" t="n">
        <v>4</v>
      </c>
      <c r="F10" s="94" t="inlineStr">
        <is>
          <t>Готово</t>
        </is>
      </c>
      <c r="G10" s="23">
        <f>IF(F10="Готово",0,IF(E10="","",E10))</f>
        <v/>
      </c>
      <c r="H10" s="70">
        <f>IFERROR(INDEX(Капасити!$C$5:$C$147,MATCH($C10,Капасити!$B$5:$B$147,0)),"")</f>
        <v/>
      </c>
      <c r="I10" s="97" t="n">
        <v>4</v>
      </c>
      <c r="J10" s="72">
        <f>IF(AND(I10&lt;&gt;"",E10&lt;&gt;""),I10/E10,"")</f>
        <v/>
      </c>
      <c r="K10" s="50" t="inlineStr">
        <is>
          <t>Нет</t>
        </is>
      </c>
      <c r="L10" s="33" t="n"/>
      <c r="M10" s="98" t="n">
        <v>2</v>
      </c>
      <c r="N10" s="109" t="inlineStr">
        <is>
          <t>Нет</t>
        </is>
      </c>
      <c r="O10" s="128" t="n">
        <v>46246</v>
      </c>
      <c r="P10" s="128" t="n">
        <v>46252</v>
      </c>
      <c r="Q10" s="128" t="n">
        <v>46254</v>
      </c>
      <c r="R10" s="90">
        <f>IF(AND(Q10&lt;&gt;"",P10&lt;&gt;""),Q10-P10,"")</f>
        <v/>
      </c>
      <c r="S10" s="90">
        <f>IF(AND(Q10&lt;&gt;"",O10&lt;&gt;""),Q10-O10,"")</f>
        <v/>
      </c>
      <c r="T10" s="90">
        <f>IF(AND(F10="В работе",P10&lt;&gt;""),Параметры!$B$10-P10,"")</f>
        <v/>
      </c>
      <c r="U10" s="201" t="inlineStr">
        <is>
          <t>Тех.долг</t>
        </is>
      </c>
    </row>
    <row r="11">
      <c r="A11" s="94" t="inlineStr">
        <is>
          <t>T-08</t>
        </is>
      </c>
      <c r="B11" s="95" t="inlineStr">
        <is>
          <t>Уведомления по e-mail</t>
        </is>
      </c>
      <c r="C11" s="95" t="inlineStr">
        <is>
          <t>Смирнов П.</t>
        </is>
      </c>
      <c r="D11" s="94" t="inlineStr">
        <is>
          <t>Low</t>
        </is>
      </c>
      <c r="E11" s="96" t="n">
        <v>4</v>
      </c>
      <c r="F11" s="94" t="inlineStr">
        <is>
          <t>Готово</t>
        </is>
      </c>
      <c r="G11" s="23">
        <f>IF(F11="Готово",0,IF(E11="","",E11))</f>
        <v/>
      </c>
      <c r="H11" s="70">
        <f>IFERROR(INDEX(Капасити!$C$5:$C$147,MATCH($C11,Капасити!$B$5:$B$147,0)),"")</f>
        <v/>
      </c>
      <c r="I11" s="97" t="n">
        <v>4</v>
      </c>
      <c r="J11" s="72">
        <f>IF(AND(I11&lt;&gt;"",E11&lt;&gt;""),I11/E11,"")</f>
        <v/>
      </c>
      <c r="K11" s="50" t="inlineStr">
        <is>
          <t>Нет</t>
        </is>
      </c>
      <c r="L11" s="33" t="n"/>
      <c r="M11" s="98" t="n">
        <v>2</v>
      </c>
      <c r="N11" s="109" t="inlineStr">
        <is>
          <t>Нет</t>
        </is>
      </c>
      <c r="O11" s="128" t="n">
        <v>46246</v>
      </c>
      <c r="P11" s="128" t="n">
        <v>46253</v>
      </c>
      <c r="Q11" s="128" t="n">
        <v>46260</v>
      </c>
      <c r="R11" s="90">
        <f>IF(AND(Q11&lt;&gt;"",P11&lt;&gt;""),Q11-P11,"")</f>
        <v/>
      </c>
      <c r="S11" s="90">
        <f>IF(AND(Q11&lt;&gt;"",O11&lt;&gt;""),Q11-O11,"")</f>
        <v/>
      </c>
      <c r="T11" s="90">
        <f>IF(AND(F11="В работе",P11&lt;&gt;""),Параметры!$B$10-P11,"")</f>
        <v/>
      </c>
      <c r="U11" s="201" t="inlineStr">
        <is>
          <t>Задача</t>
        </is>
      </c>
    </row>
    <row r="12">
      <c r="A12" s="94" t="inlineStr">
        <is>
          <t>T-11</t>
        </is>
      </c>
      <c r="B12" s="95" t="inlineStr">
        <is>
          <t>API промокодов</t>
        </is>
      </c>
      <c r="C12" s="95" t="inlineStr">
        <is>
          <t>Козлов В.</t>
        </is>
      </c>
      <c r="D12" s="94" t="inlineStr">
        <is>
          <t>Medium</t>
        </is>
      </c>
      <c r="E12" s="96" t="n">
        <v>5</v>
      </c>
      <c r="F12" s="94" t="inlineStr">
        <is>
          <t>Готово</t>
        </is>
      </c>
      <c r="G12" s="23">
        <f>IF(F12="Готово",0,IF(E12="","",E12))</f>
        <v/>
      </c>
      <c r="H12" s="70">
        <f>IFERROR(INDEX(Капасити!$C$5:$C$147,MATCH($C12,Капасити!$B$5:$B$147,0)),"")</f>
        <v/>
      </c>
      <c r="I12" s="97" t="n">
        <v>5</v>
      </c>
      <c r="J12" s="72">
        <f>IF(AND(I12&lt;&gt;"",E12&lt;&gt;""),I12/E12,"")</f>
        <v/>
      </c>
      <c r="K12" s="50" t="inlineStr">
        <is>
          <t>Нет</t>
        </is>
      </c>
      <c r="L12" s="33" t="n"/>
      <c r="M12" s="98" t="n">
        <v>2</v>
      </c>
      <c r="N12" s="109" t="inlineStr">
        <is>
          <t>Нет</t>
        </is>
      </c>
      <c r="O12" s="128" t="n">
        <v>46245</v>
      </c>
      <c r="P12" s="128" t="n">
        <v>46251</v>
      </c>
      <c r="Q12" s="128" t="n">
        <v>46259</v>
      </c>
      <c r="R12" s="90">
        <f>IF(AND(Q12&lt;&gt;"",P12&lt;&gt;""),Q12-P12,"")</f>
        <v/>
      </c>
      <c r="S12" s="90">
        <f>IF(AND(Q12&lt;&gt;"",O12&lt;&gt;""),Q12-O12,"")</f>
        <v/>
      </c>
      <c r="T12" s="90">
        <f>IF(AND(F12="В работе",P12&lt;&gt;""),Параметры!$B$10-P12,"")</f>
        <v/>
      </c>
      <c r="U12" s="201" t="inlineStr">
        <is>
          <t>История</t>
        </is>
      </c>
    </row>
    <row r="13">
      <c r="A13" s="94" t="inlineStr">
        <is>
          <t>T-12</t>
        </is>
      </c>
      <c r="B13" s="95" t="inlineStr">
        <is>
          <t>Логирование и метрики</t>
        </is>
      </c>
      <c r="C13" s="95" t="inlineStr">
        <is>
          <t>Новиков А.</t>
        </is>
      </c>
      <c r="D13" s="94" t="inlineStr">
        <is>
          <t>Low</t>
        </is>
      </c>
      <c r="E13" s="96" t="n">
        <v>3</v>
      </c>
      <c r="F13" s="94" t="inlineStr">
        <is>
          <t>To Do</t>
        </is>
      </c>
      <c r="G13" s="23">
        <f>IF(F13="Готово",0,IF(E13="","",E13))</f>
        <v/>
      </c>
      <c r="H13" s="70">
        <f>IFERROR(INDEX(Капасити!$C$5:$C$147,MATCH($C13,Капасити!$B$5:$B$147,0)),"")</f>
        <v/>
      </c>
      <c r="I13" s="97" t="n"/>
      <c r="J13" s="72">
        <f>IF(AND(I13&lt;&gt;"",E13&lt;&gt;""),I13/E13,"")</f>
        <v/>
      </c>
      <c r="K13" s="50" t="inlineStr">
        <is>
          <t>Нет</t>
        </is>
      </c>
      <c r="L13" s="33" t="n"/>
      <c r="M13" s="98" t="n">
        <v>2</v>
      </c>
      <c r="N13" s="109" t="inlineStr">
        <is>
          <t>Нет</t>
        </is>
      </c>
      <c r="O13" s="129" t="n"/>
      <c r="P13" s="129" t="n"/>
      <c r="Q13" s="129" t="n"/>
      <c r="R13" s="90">
        <f>IF(AND(Q13&lt;&gt;"",P13&lt;&gt;""),Q13-P13,"")</f>
        <v/>
      </c>
      <c r="S13" s="90">
        <f>IF(AND(Q13&lt;&gt;"",O13&lt;&gt;""),Q13-O13,"")</f>
        <v/>
      </c>
      <c r="T13" s="90">
        <f>IF(AND(F13="В работе",P13&lt;&gt;""),Параметры!$B$10-P13,"")</f>
        <v/>
      </c>
      <c r="U13" s="201" t="inlineStr">
        <is>
          <t>Задача</t>
        </is>
      </c>
    </row>
    <row r="14">
      <c r="A14" s="94" t="inlineStr">
        <is>
          <t>T-05</t>
        </is>
      </c>
      <c r="B14" s="95" t="inlineStr">
        <is>
          <t>Рефакторинг авторизации</t>
        </is>
      </c>
      <c r="C14" s="95" t="inlineStr">
        <is>
          <t>Кузнецов Д.</t>
        </is>
      </c>
      <c r="D14" s="94" t="inlineStr">
        <is>
          <t>Medium</t>
        </is>
      </c>
      <c r="E14" s="96" t="n">
        <v>3</v>
      </c>
      <c r="F14" s="94" t="inlineStr">
        <is>
          <t>В работе</t>
        </is>
      </c>
      <c r="G14" s="23">
        <f>IF(F14="Готово",0,IF(E14="","",E14))</f>
        <v/>
      </c>
      <c r="H14" s="70">
        <f>IFERROR(INDEX(Капасити!$C$5:$C$147,MATCH($C14,Капасити!$B$5:$B$147,0)),"")</f>
        <v/>
      </c>
      <c r="I14" s="97" t="n"/>
      <c r="J14" s="72">
        <f>IF(AND(I14&lt;&gt;"",E14&lt;&gt;""),I14/E14,"")</f>
        <v/>
      </c>
      <c r="K14" s="50" t="inlineStr">
        <is>
          <t>Нет</t>
        </is>
      </c>
      <c r="L14" s="33" t="n"/>
      <c r="M14" s="98" t="n">
        <v>3</v>
      </c>
      <c r="N14" s="109" t="inlineStr">
        <is>
          <t>Нет</t>
        </is>
      </c>
      <c r="O14" s="128" t="n">
        <v>46262</v>
      </c>
      <c r="P14" s="128" t="n">
        <v>46267</v>
      </c>
      <c r="Q14" s="129" t="n"/>
      <c r="R14" s="90">
        <f>IF(AND(Q14&lt;&gt;"",P14&lt;&gt;""),Q14-P14,"")</f>
        <v/>
      </c>
      <c r="S14" s="90">
        <f>IF(AND(Q14&lt;&gt;"",O14&lt;&gt;""),Q14-O14,"")</f>
        <v/>
      </c>
      <c r="T14" s="90">
        <f>IF(AND(F14="В работе",P14&lt;&gt;""),Параметры!$B$10-P14,"")</f>
        <v/>
      </c>
      <c r="U14" s="201" t="inlineStr">
        <is>
          <t>Задача</t>
        </is>
      </c>
    </row>
    <row r="15">
      <c r="A15" s="94" t="inlineStr">
        <is>
          <t>T-06</t>
        </is>
      </c>
      <c r="B15" s="95" t="inlineStr">
        <is>
          <t>Аналитика воронки</t>
        </is>
      </c>
      <c r="C15" s="95" t="inlineStr">
        <is>
          <t>Орлова Е.</t>
        </is>
      </c>
      <c r="D15" s="94" t="inlineStr">
        <is>
          <t>Low</t>
        </is>
      </c>
      <c r="E15" s="96" t="n">
        <v>3</v>
      </c>
      <c r="F15" s="94" t="inlineStr">
        <is>
          <t>To Do</t>
        </is>
      </c>
      <c r="G15" s="23">
        <f>IF(F15="Готово",0,IF(E15="","",E15))</f>
        <v/>
      </c>
      <c r="H15" s="70">
        <f>IFERROR(INDEX(Капасити!$C$5:$C$147,MATCH($C15,Капасити!$B$5:$B$147,0)),"")</f>
        <v/>
      </c>
      <c r="I15" s="97" t="n"/>
      <c r="J15" s="72">
        <f>IF(AND(I15&lt;&gt;"",E15&lt;&gt;""),I15/E15,"")</f>
        <v/>
      </c>
      <c r="K15" s="50" t="inlineStr">
        <is>
          <t>Нет</t>
        </is>
      </c>
      <c r="L15" s="33" t="n"/>
      <c r="M15" s="98" t="n">
        <v>3</v>
      </c>
      <c r="N15" s="109" t="inlineStr">
        <is>
          <t>Да</t>
        </is>
      </c>
      <c r="O15" s="129" t="n"/>
      <c r="P15" s="129" t="n"/>
      <c r="Q15" s="129" t="n"/>
      <c r="R15" s="90">
        <f>IF(AND(Q15&lt;&gt;"",P15&lt;&gt;""),Q15-P15,"")</f>
        <v/>
      </c>
      <c r="S15" s="90">
        <f>IF(AND(Q15&lt;&gt;"",O15&lt;&gt;""),Q15-O15,"")</f>
        <v/>
      </c>
      <c r="T15" s="90">
        <f>IF(AND(F15="В работе",P15&lt;&gt;""),Параметры!$B$10-P15,"")</f>
        <v/>
      </c>
      <c r="U15" s="201" t="inlineStr">
        <is>
          <t>История</t>
        </is>
      </c>
    </row>
    <row r="16">
      <c r="A16" s="94" t="inlineStr">
        <is>
          <t>T-07</t>
        </is>
      </c>
      <c r="B16" s="95" t="inlineStr">
        <is>
          <t>Регресс-тестирование релиза</t>
        </is>
      </c>
      <c r="C16" s="95" t="inlineStr">
        <is>
          <t>Сидоров К.</t>
        </is>
      </c>
      <c r="D16" s="94" t="inlineStr">
        <is>
          <t>Medium</t>
        </is>
      </c>
      <c r="E16" s="96" t="n">
        <v>5</v>
      </c>
      <c r="F16" s="94" t="inlineStr">
        <is>
          <t>To Do</t>
        </is>
      </c>
      <c r="G16" s="23">
        <f>IF(F16="Готово",0,IF(E16="","",E16))</f>
        <v/>
      </c>
      <c r="H16" s="70">
        <f>IFERROR(INDEX(Капасити!$C$5:$C$147,MATCH($C16,Капасити!$B$5:$B$147,0)),"")</f>
        <v/>
      </c>
      <c r="I16" s="97" t="n"/>
      <c r="J16" s="72">
        <f>IF(AND(I16&lt;&gt;"",E16&lt;&gt;""),I16/E16,"")</f>
        <v/>
      </c>
      <c r="K16" s="50" t="inlineStr">
        <is>
          <t>Нет</t>
        </is>
      </c>
      <c r="L16" s="33" t="n"/>
      <c r="M16" s="98" t="n">
        <v>3</v>
      </c>
      <c r="N16" s="109" t="inlineStr">
        <is>
          <t>Нет</t>
        </is>
      </c>
      <c r="O16" s="129" t="n"/>
      <c r="P16" s="129" t="n"/>
      <c r="Q16" s="129" t="n"/>
      <c r="R16" s="90">
        <f>IF(AND(Q16&lt;&gt;"",P16&lt;&gt;""),Q16-P16,"")</f>
        <v/>
      </c>
      <c r="S16" s="90">
        <f>IF(AND(Q16&lt;&gt;"",O16&lt;&gt;""),Q16-O16,"")</f>
        <v/>
      </c>
      <c r="T16" s="90">
        <f>IF(AND(F16="В работе",P16&lt;&gt;""),Параметры!$B$10-P16,"")</f>
        <v/>
      </c>
      <c r="U16" s="201" t="inlineStr">
        <is>
          <t>Задача</t>
        </is>
      </c>
    </row>
    <row r="17">
      <c r="A17" s="94" t="inlineStr">
        <is>
          <t>T-13</t>
        </is>
      </c>
      <c r="B17" s="95" t="inlineStr">
        <is>
          <t>Экран оплаты</t>
        </is>
      </c>
      <c r="C17" s="95" t="inlineStr">
        <is>
          <t>Волкова Н.</t>
        </is>
      </c>
      <c r="D17" s="94" t="inlineStr">
        <is>
          <t>High</t>
        </is>
      </c>
      <c r="E17" s="96" t="n">
        <v>8</v>
      </c>
      <c r="F17" s="94" t="inlineStr">
        <is>
          <t>В работе</t>
        </is>
      </c>
      <c r="G17" s="23">
        <f>IF(F17="Готово",0,IF(E17="","",E17))</f>
        <v/>
      </c>
      <c r="H17" s="70">
        <f>IFERROR(INDEX(Капасити!$C$5:$C$147,MATCH($C17,Капасити!$B$5:$B$147,0)),"")</f>
        <v/>
      </c>
      <c r="I17" s="97" t="n"/>
      <c r="J17" s="72">
        <f>IF(AND(I17&lt;&gt;"",E17&lt;&gt;""),I17/E17,"")</f>
        <v/>
      </c>
      <c r="K17" s="50" t="inlineStr">
        <is>
          <t>Нет</t>
        </is>
      </c>
      <c r="L17" s="33" t="n"/>
      <c r="M17" s="98" t="n">
        <v>3</v>
      </c>
      <c r="N17" s="109" t="inlineStr">
        <is>
          <t>Нет</t>
        </is>
      </c>
      <c r="O17" s="128" t="n">
        <v>46262</v>
      </c>
      <c r="P17" s="128" t="n">
        <v>46266</v>
      </c>
      <c r="Q17" s="129" t="n"/>
      <c r="R17" s="90">
        <f>IF(AND(Q17&lt;&gt;"",P17&lt;&gt;""),Q17-P17,"")</f>
        <v/>
      </c>
      <c r="S17" s="90">
        <f>IF(AND(Q17&lt;&gt;"",O17&lt;&gt;""),Q17-O17,"")</f>
        <v/>
      </c>
      <c r="T17" s="90">
        <f>IF(AND(F17="В работе",P17&lt;&gt;""),Параметры!$B$10-P17,"")</f>
        <v/>
      </c>
      <c r="U17" s="201" t="inlineStr">
        <is>
          <t>Задача</t>
        </is>
      </c>
    </row>
    <row r="18">
      <c r="A18" s="94" t="inlineStr">
        <is>
          <t>T-14</t>
        </is>
      </c>
      <c r="B18" s="95" t="inlineStr">
        <is>
          <t>Вебхуки платежей</t>
        </is>
      </c>
      <c r="C18" s="95" t="inlineStr">
        <is>
          <t>Иванов А.</t>
        </is>
      </c>
      <c r="D18" s="94" t="inlineStr">
        <is>
          <t>High</t>
        </is>
      </c>
      <c r="E18" s="96" t="n">
        <v>5</v>
      </c>
      <c r="F18" s="94" t="inlineStr">
        <is>
          <t>To Do</t>
        </is>
      </c>
      <c r="G18" s="23">
        <f>IF(F18="Готово",0,IF(E18="","",E18))</f>
        <v/>
      </c>
      <c r="H18" s="70">
        <f>IFERROR(INDEX(Капасити!$C$5:$C$147,MATCH($C18,Капасити!$B$5:$B$147,0)),"")</f>
        <v/>
      </c>
      <c r="I18" s="97" t="n"/>
      <c r="J18" s="72">
        <f>IF(AND(I18&lt;&gt;"",E18&lt;&gt;""),I18/E18,"")</f>
        <v/>
      </c>
      <c r="K18" s="99" t="inlineStr">
        <is>
          <t>Да</t>
        </is>
      </c>
      <c r="L18" s="100" t="n">
        <v>1</v>
      </c>
      <c r="M18" s="98" t="n">
        <v>3</v>
      </c>
      <c r="N18" s="109" t="inlineStr">
        <is>
          <t>Да</t>
        </is>
      </c>
      <c r="O18" s="129" t="n"/>
      <c r="P18" s="129" t="n"/>
      <c r="Q18" s="129" t="n"/>
      <c r="R18" s="90">
        <f>IF(AND(Q18&lt;&gt;"",P18&lt;&gt;""),Q18-P18,"")</f>
        <v/>
      </c>
      <c r="S18" s="90">
        <f>IF(AND(Q18&lt;&gt;"",O18&lt;&gt;""),Q18-O18,"")</f>
        <v/>
      </c>
      <c r="T18" s="90">
        <f>IF(AND(F18="В работе",P18&lt;&gt;""),Параметры!$B$10-P18,"")</f>
        <v/>
      </c>
      <c r="U18" s="201" t="inlineStr">
        <is>
          <t>История</t>
        </is>
      </c>
    </row>
    <row r="19">
      <c r="A19" s="94" t="inlineStr">
        <is>
          <t>T-15</t>
        </is>
      </c>
      <c r="B19" s="95" t="inlineStr">
        <is>
          <t>История заказов</t>
        </is>
      </c>
      <c r="C19" s="95" t="inlineStr">
        <is>
          <t>Соколов Р.</t>
        </is>
      </c>
      <c r="D19" s="94" t="inlineStr">
        <is>
          <t>Medium</t>
        </is>
      </c>
      <c r="E19" s="96" t="n">
        <v>5</v>
      </c>
      <c r="F19" s="94" t="inlineStr">
        <is>
          <t>To Do</t>
        </is>
      </c>
      <c r="G19" s="23">
        <f>IF(F19="Готово",0,IF(E19="","",E19))</f>
        <v/>
      </c>
      <c r="H19" s="70">
        <f>IFERROR(INDEX(Капасити!$C$5:$C$147,MATCH($C19,Капасити!$B$5:$B$147,0)),"")</f>
        <v/>
      </c>
      <c r="I19" s="97" t="n"/>
      <c r="J19" s="72">
        <f>IF(AND(I19&lt;&gt;"",E19&lt;&gt;""),I19/E19,"")</f>
        <v/>
      </c>
      <c r="K19" s="50" t="inlineStr">
        <is>
          <t>Нет</t>
        </is>
      </c>
      <c r="L19" s="33" t="n"/>
      <c r="M19" s="98" t="n">
        <v>3</v>
      </c>
      <c r="N19" s="109" t="inlineStr">
        <is>
          <t>Нет</t>
        </is>
      </c>
      <c r="O19" s="129" t="n"/>
      <c r="P19" s="129" t="n"/>
      <c r="Q19" s="129" t="n"/>
      <c r="R19" s="90">
        <f>IF(AND(Q19&lt;&gt;"",P19&lt;&gt;""),Q19-P19,"")</f>
        <v/>
      </c>
      <c r="S19" s="90">
        <f>IF(AND(Q19&lt;&gt;"",O19&lt;&gt;""),Q19-O19,"")</f>
        <v/>
      </c>
      <c r="T19" s="90">
        <f>IF(AND(F19="В работе",P19&lt;&gt;""),Параметры!$B$10-P19,"")</f>
        <v/>
      </c>
      <c r="U19" s="201" t="inlineStr">
        <is>
          <t>Задача</t>
        </is>
      </c>
    </row>
    <row r="20">
      <c r="A20" s="94" t="inlineStr">
        <is>
          <t>T-16</t>
        </is>
      </c>
      <c r="B20" s="95" t="inlineStr">
        <is>
          <t>Личный кабинет</t>
        </is>
      </c>
      <c r="C20" s="95" t="inlineStr">
        <is>
          <t>Волкова Н.</t>
        </is>
      </c>
      <c r="D20" s="94" t="inlineStr">
        <is>
          <t>Medium</t>
        </is>
      </c>
      <c r="E20" s="96" t="n">
        <v>8</v>
      </c>
      <c r="F20" s="94" t="inlineStr">
        <is>
          <t>To Do</t>
        </is>
      </c>
      <c r="G20" s="23">
        <f>IF(F20="Готово",0,IF(E20="","",E20))</f>
        <v/>
      </c>
      <c r="H20" s="70">
        <f>IFERROR(INDEX(Капасити!$C$5:$C$147,MATCH($C20,Капасити!$B$5:$B$147,0)),"")</f>
        <v/>
      </c>
      <c r="I20" s="97" t="n"/>
      <c r="J20" s="72">
        <f>IF(AND(I20&lt;&gt;"",E20&lt;&gt;""),I20/E20,"")</f>
        <v/>
      </c>
      <c r="K20" s="50" t="inlineStr">
        <is>
          <t>Нет</t>
        </is>
      </c>
      <c r="L20" s="33" t="n"/>
      <c r="M20" s="98" t="n">
        <v>4</v>
      </c>
      <c r="N20" s="109" t="inlineStr">
        <is>
          <t>Нет</t>
        </is>
      </c>
      <c r="O20" s="129" t="n"/>
      <c r="P20" s="129" t="n"/>
      <c r="Q20" s="129" t="n"/>
      <c r="R20" s="90">
        <f>IF(AND(Q20&lt;&gt;"",P20&lt;&gt;""),Q20-P20,"")</f>
        <v/>
      </c>
      <c r="S20" s="90">
        <f>IF(AND(Q20&lt;&gt;"",O20&lt;&gt;""),Q20-O20,"")</f>
        <v/>
      </c>
      <c r="T20" s="90">
        <f>IF(AND(F20="В работе",P20&lt;&gt;""),Параметры!$B$10-P20,"")</f>
        <v/>
      </c>
      <c r="U20" s="201" t="inlineStr">
        <is>
          <t>Задача</t>
        </is>
      </c>
    </row>
    <row r="21">
      <c r="A21" s="94" t="inlineStr">
        <is>
          <t>T-17</t>
        </is>
      </c>
      <c r="B21" s="95" t="inlineStr">
        <is>
          <t>Фильтры каталога</t>
        </is>
      </c>
      <c r="C21" s="95" t="inlineStr">
        <is>
          <t>Морозов И.</t>
        </is>
      </c>
      <c r="D21" s="94" t="inlineStr">
        <is>
          <t>Medium</t>
        </is>
      </c>
      <c r="E21" s="96" t="n">
        <v>6</v>
      </c>
      <c r="F21" s="94" t="inlineStr">
        <is>
          <t>To Do</t>
        </is>
      </c>
      <c r="G21" s="23">
        <f>IF(F21="Готово",0,IF(E21="","",E21))</f>
        <v/>
      </c>
      <c r="H21" s="70">
        <f>IFERROR(INDEX(Капасити!$C$5:$C$147,MATCH($C21,Капасити!$B$5:$B$147,0)),"")</f>
        <v/>
      </c>
      <c r="I21" s="97" t="n"/>
      <c r="J21" s="72">
        <f>IF(AND(I21&lt;&gt;"",E21&lt;&gt;""),I21/E21,"")</f>
        <v/>
      </c>
      <c r="K21" s="50" t="inlineStr">
        <is>
          <t>Нет</t>
        </is>
      </c>
      <c r="L21" s="33" t="n"/>
      <c r="M21" s="98" t="n">
        <v>4</v>
      </c>
      <c r="N21" s="109" t="inlineStr">
        <is>
          <t>Нет</t>
        </is>
      </c>
      <c r="O21" s="129" t="n"/>
      <c r="P21" s="129" t="n"/>
      <c r="Q21" s="129" t="n"/>
      <c r="R21" s="90">
        <f>IF(AND(Q21&lt;&gt;"",P21&lt;&gt;""),Q21-P21,"")</f>
        <v/>
      </c>
      <c r="S21" s="90">
        <f>IF(AND(Q21&lt;&gt;"",O21&lt;&gt;""),Q21-O21,"")</f>
        <v/>
      </c>
      <c r="T21" s="90">
        <f>IF(AND(F21="В работе",P21&lt;&gt;""),Параметры!$B$10-P21,"")</f>
        <v/>
      </c>
      <c r="U21" s="201" t="inlineStr">
        <is>
          <t>История</t>
        </is>
      </c>
    </row>
    <row r="22">
      <c r="A22" s="94" t="inlineStr">
        <is>
          <t>T-18</t>
        </is>
      </c>
      <c r="B22" s="95" t="inlineStr">
        <is>
          <t>Отзывы и рейтинги</t>
        </is>
      </c>
      <c r="C22" s="95" t="inlineStr">
        <is>
          <t>Лебедева Т.</t>
        </is>
      </c>
      <c r="D22" s="94" t="inlineStr">
        <is>
          <t>Low</t>
        </is>
      </c>
      <c r="E22" s="96" t="n">
        <v>5</v>
      </c>
      <c r="F22" s="94" t="inlineStr">
        <is>
          <t>To Do</t>
        </is>
      </c>
      <c r="G22" s="23">
        <f>IF(F22="Готово",0,IF(E22="","",E22))</f>
        <v/>
      </c>
      <c r="H22" s="70">
        <f>IFERROR(INDEX(Капасити!$C$5:$C$147,MATCH($C22,Капасити!$B$5:$B$147,0)),"")</f>
        <v/>
      </c>
      <c r="I22" s="97" t="n"/>
      <c r="J22" s="72">
        <f>IF(AND(I22&lt;&gt;"",E22&lt;&gt;""),I22/E22,"")</f>
        <v/>
      </c>
      <c r="K22" s="50" t="inlineStr">
        <is>
          <t>Нет</t>
        </is>
      </c>
      <c r="L22" s="33" t="n"/>
      <c r="M22" s="98" t="n">
        <v>4</v>
      </c>
      <c r="N22" s="109" t="inlineStr">
        <is>
          <t>Нет</t>
        </is>
      </c>
      <c r="O22" s="129" t="n"/>
      <c r="P22" s="129" t="n"/>
      <c r="Q22" s="129" t="n"/>
      <c r="R22" s="90">
        <f>IF(AND(Q22&lt;&gt;"",P22&lt;&gt;""),Q22-P22,"")</f>
        <v/>
      </c>
      <c r="S22" s="90">
        <f>IF(AND(Q22&lt;&gt;"",O22&lt;&gt;""),Q22-O22,"")</f>
        <v/>
      </c>
      <c r="T22" s="90">
        <f>IF(AND(F22="В работе",P22&lt;&gt;""),Параметры!$B$10-P22,"")</f>
        <v/>
      </c>
      <c r="U22" s="201" t="inlineStr">
        <is>
          <t>Тех.долг</t>
        </is>
      </c>
    </row>
    <row r="23">
      <c r="A23" s="94" t="inlineStr">
        <is>
          <t>T-19</t>
        </is>
      </c>
      <c r="B23" s="95" t="inlineStr">
        <is>
          <t>Рекомендации</t>
        </is>
      </c>
      <c r="C23" s="95" t="inlineStr">
        <is>
          <t>Фёдорова О.</t>
        </is>
      </c>
      <c r="D23" s="94" t="inlineStr">
        <is>
          <t>Low</t>
        </is>
      </c>
      <c r="E23" s="96" t="n">
        <v>8</v>
      </c>
      <c r="F23" s="94" t="inlineStr">
        <is>
          <t>To Do</t>
        </is>
      </c>
      <c r="G23" s="23">
        <f>IF(F23="Готово",0,IF(E23="","",E23))</f>
        <v/>
      </c>
      <c r="H23" s="70">
        <f>IFERROR(INDEX(Капасити!$C$5:$C$147,MATCH($C23,Капасити!$B$5:$B$147,0)),"")</f>
        <v/>
      </c>
      <c r="I23" s="97" t="n"/>
      <c r="J23" s="72">
        <f>IF(AND(I23&lt;&gt;"",E23&lt;&gt;""),I23/E23,"")</f>
        <v/>
      </c>
      <c r="K23" s="50" t="inlineStr">
        <is>
          <t>Нет</t>
        </is>
      </c>
      <c r="L23" s="33" t="n"/>
      <c r="M23" s="98" t="n">
        <v>5</v>
      </c>
      <c r="N23" s="109" t="inlineStr">
        <is>
          <t>Нет</t>
        </is>
      </c>
      <c r="O23" s="129" t="n"/>
      <c r="P23" s="129" t="n"/>
      <c r="Q23" s="129" t="n"/>
      <c r="R23" s="90">
        <f>IF(AND(Q23&lt;&gt;"",P23&lt;&gt;""),Q23-P23,"")</f>
        <v/>
      </c>
      <c r="S23" s="90">
        <f>IF(AND(Q23&lt;&gt;"",O23&lt;&gt;""),Q23-O23,"")</f>
        <v/>
      </c>
      <c r="T23" s="90">
        <f>IF(AND(F23="В работе",P23&lt;&gt;""),Параметры!$B$10-P23,"")</f>
        <v/>
      </c>
      <c r="U23" s="201" t="inlineStr">
        <is>
          <t>История</t>
        </is>
      </c>
    </row>
    <row r="24">
      <c r="A24" s="94" t="inlineStr">
        <is>
          <t>T-20</t>
        </is>
      </c>
      <c r="B24" s="95" t="inlineStr">
        <is>
          <t>A/B тесты чекаута</t>
        </is>
      </c>
      <c r="C24" s="95" t="inlineStr">
        <is>
          <t>Морозов И.</t>
        </is>
      </c>
      <c r="D24" s="94" t="inlineStr">
        <is>
          <t>Medium</t>
        </is>
      </c>
      <c r="E24" s="96" t="n">
        <v>5</v>
      </c>
      <c r="F24" s="94" t="inlineStr">
        <is>
          <t>To Do</t>
        </is>
      </c>
      <c r="G24" s="23">
        <f>IF(F24="Готово",0,IF(E24="","",E24))</f>
        <v/>
      </c>
      <c r="H24" s="70">
        <f>IFERROR(INDEX(Капасити!$C$5:$C$147,MATCH($C24,Капасити!$B$5:$B$147,0)),"")</f>
        <v/>
      </c>
      <c r="I24" s="97" t="n"/>
      <c r="J24" s="72">
        <f>IF(AND(I24&lt;&gt;"",E24&lt;&gt;""),I24/E24,"")</f>
        <v/>
      </c>
      <c r="K24" s="50" t="inlineStr">
        <is>
          <t>Нет</t>
        </is>
      </c>
      <c r="L24" s="33" t="n"/>
      <c r="M24" s="98" t="n">
        <v>5</v>
      </c>
      <c r="N24" s="109" t="inlineStr">
        <is>
          <t>Нет</t>
        </is>
      </c>
      <c r="O24" s="129" t="n"/>
      <c r="P24" s="129" t="n"/>
      <c r="Q24" s="129" t="n"/>
      <c r="R24" s="90">
        <f>IF(AND(Q24&lt;&gt;"",P24&lt;&gt;""),Q24-P24,"")</f>
        <v/>
      </c>
      <c r="S24" s="90">
        <f>IF(AND(Q24&lt;&gt;"",O24&lt;&gt;""),Q24-O24,"")</f>
        <v/>
      </c>
      <c r="T24" s="90">
        <f>IF(AND(F24="В работе",P24&lt;&gt;""),Параметры!$B$10-P24,"")</f>
        <v/>
      </c>
      <c r="U24" s="201" t="inlineStr">
        <is>
          <t>Задача</t>
        </is>
      </c>
    </row>
    <row r="25">
      <c r="A25" s="5" t="n"/>
      <c r="B25" s="13" t="n"/>
      <c r="C25" s="13" t="n"/>
      <c r="D25" s="5" t="n"/>
      <c r="E25" s="24" t="n"/>
      <c r="F25" s="5" t="n"/>
      <c r="G25" s="23">
        <f>IF(F25="Готово",0,IF(E25="","",E25))</f>
        <v/>
      </c>
      <c r="H25" s="70">
        <f>IFERROR(INDEX(Капасити!$C$5:$C$147,MATCH($C25,Капасити!$B$5:$B$147,0)),"")</f>
        <v/>
      </c>
      <c r="I25" s="71" t="n"/>
      <c r="J25" s="72">
        <f>IF(AND(I25&lt;&gt;"",E25&lt;&gt;""),I25/E25,"")</f>
        <v/>
      </c>
      <c r="K25" s="50" t="inlineStr">
        <is>
          <t>Нет</t>
        </is>
      </c>
      <c r="L25" s="33" t="n"/>
      <c r="M25" s="101" t="n"/>
      <c r="N25" s="109" t="n"/>
      <c r="O25" s="129" t="n"/>
      <c r="P25" s="129" t="n"/>
      <c r="Q25" s="129" t="n"/>
      <c r="R25" s="90">
        <f>IF(AND(Q25&lt;&gt;"",P25&lt;&gt;""),Q25-P25,"")</f>
        <v/>
      </c>
      <c r="S25" s="90">
        <f>IF(AND(Q25&lt;&gt;"",O25&lt;&gt;""),Q25-O25,"")</f>
        <v/>
      </c>
      <c r="T25" s="90">
        <f>IF(AND(F25="В работе",P25&lt;&gt;""),Параметры!$B$10-P25,"")</f>
        <v/>
      </c>
      <c r="U25" s="211" t="n"/>
    </row>
    <row r="26">
      <c r="A26" s="5" t="n"/>
      <c r="B26" s="13" t="n"/>
      <c r="C26" s="13" t="n"/>
      <c r="D26" s="5" t="n"/>
      <c r="E26" s="24" t="n"/>
      <c r="F26" s="5" t="n"/>
      <c r="G26" s="23">
        <f>IF(F26="Готово",0,IF(E26="","",E26))</f>
        <v/>
      </c>
      <c r="H26" s="70">
        <f>IFERROR(INDEX(Капасити!$C$5:$C$147,MATCH($C26,Капасити!$B$5:$B$147,0)),"")</f>
        <v/>
      </c>
      <c r="I26" s="71" t="n"/>
      <c r="J26" s="72">
        <f>IF(AND(I26&lt;&gt;"",E26&lt;&gt;""),I26/E26,"")</f>
        <v/>
      </c>
      <c r="K26" s="50" t="inlineStr">
        <is>
          <t>Нет</t>
        </is>
      </c>
      <c r="L26" s="33" t="n"/>
      <c r="M26" s="101" t="n"/>
      <c r="N26" s="109" t="n"/>
      <c r="O26" s="129" t="n"/>
      <c r="P26" s="129" t="n"/>
      <c r="Q26" s="129" t="n"/>
      <c r="R26" s="90">
        <f>IF(AND(Q26&lt;&gt;"",P26&lt;&gt;""),Q26-P26,"")</f>
        <v/>
      </c>
      <c r="S26" s="90">
        <f>IF(AND(Q26&lt;&gt;"",O26&lt;&gt;""),Q26-O26,"")</f>
        <v/>
      </c>
      <c r="T26" s="90">
        <f>IF(AND(F26="В работе",P26&lt;&gt;""),Параметры!$B$10-P26,"")</f>
        <v/>
      </c>
      <c r="U26" s="211" t="n"/>
    </row>
    <row r="27">
      <c r="A27" s="5" t="n"/>
      <c r="B27" s="13" t="n"/>
      <c r="C27" s="13" t="n"/>
      <c r="D27" s="5" t="n"/>
      <c r="E27" s="24" t="n"/>
      <c r="F27" s="5" t="n"/>
      <c r="G27" s="23">
        <f>IF(F27="Готово",0,IF(E27="","",E27))</f>
        <v/>
      </c>
      <c r="H27" s="70">
        <f>IFERROR(INDEX(Капасити!$C$5:$C$147,MATCH($C27,Капасити!$B$5:$B$147,0)),"")</f>
        <v/>
      </c>
      <c r="I27" s="71" t="n"/>
      <c r="J27" s="72">
        <f>IF(AND(I27&lt;&gt;"",E27&lt;&gt;""),I27/E27,"")</f>
        <v/>
      </c>
      <c r="K27" s="50" t="inlineStr">
        <is>
          <t>Нет</t>
        </is>
      </c>
      <c r="L27" s="33" t="n"/>
      <c r="M27" s="101" t="n"/>
      <c r="N27" s="109" t="n"/>
      <c r="O27" s="129" t="n"/>
      <c r="P27" s="129" t="n"/>
      <c r="Q27" s="129" t="n"/>
      <c r="R27" s="90">
        <f>IF(AND(Q27&lt;&gt;"",P27&lt;&gt;""),Q27-P27,"")</f>
        <v/>
      </c>
      <c r="S27" s="90">
        <f>IF(AND(Q27&lt;&gt;"",O27&lt;&gt;""),Q27-O27,"")</f>
        <v/>
      </c>
      <c r="T27" s="90">
        <f>IF(AND(F27="В работе",P27&lt;&gt;""),Параметры!$B$10-P27,"")</f>
        <v/>
      </c>
      <c r="U27" s="211" t="n"/>
    </row>
    <row r="28">
      <c r="A28" s="5" t="n"/>
      <c r="B28" s="13" t="n"/>
      <c r="C28" s="13" t="n"/>
      <c r="D28" s="5" t="n"/>
      <c r="E28" s="24" t="n"/>
      <c r="F28" s="5" t="n"/>
      <c r="G28" s="23">
        <f>IF(F28="Готово",0,IF(E28="","",E28))</f>
        <v/>
      </c>
      <c r="H28" s="70">
        <f>IFERROR(INDEX(Капасити!$C$5:$C$147,MATCH($C28,Капасити!$B$5:$B$147,0)),"")</f>
        <v/>
      </c>
      <c r="I28" s="71" t="n"/>
      <c r="J28" s="72">
        <f>IF(AND(I28&lt;&gt;"",E28&lt;&gt;""),I28/E28,"")</f>
        <v/>
      </c>
      <c r="K28" s="50" t="inlineStr">
        <is>
          <t>Нет</t>
        </is>
      </c>
      <c r="L28" s="33" t="n"/>
      <c r="M28" s="101" t="n"/>
      <c r="N28" s="109" t="n"/>
      <c r="O28" s="129" t="n"/>
      <c r="P28" s="129" t="n"/>
      <c r="Q28" s="129" t="n"/>
      <c r="R28" s="90">
        <f>IF(AND(Q28&lt;&gt;"",P28&lt;&gt;""),Q28-P28,"")</f>
        <v/>
      </c>
      <c r="S28" s="90">
        <f>IF(AND(Q28&lt;&gt;"",O28&lt;&gt;""),Q28-O28,"")</f>
        <v/>
      </c>
      <c r="T28" s="90">
        <f>IF(AND(F28="В работе",P28&lt;&gt;""),Параметры!$B$10-P28,"")</f>
        <v/>
      </c>
      <c r="U28" s="211" t="n"/>
    </row>
    <row r="29">
      <c r="A29" s="5" t="n"/>
      <c r="B29" s="13" t="n"/>
      <c r="C29" s="13" t="n"/>
      <c r="D29" s="5" t="n"/>
      <c r="E29" s="24" t="n"/>
      <c r="F29" s="5" t="n"/>
      <c r="G29" s="23">
        <f>IF(F29="Готово",0,IF(E29="","",E29))</f>
        <v/>
      </c>
      <c r="H29" s="70">
        <f>IFERROR(INDEX(Капасити!$C$5:$C$147,MATCH($C29,Капасити!$B$5:$B$147,0)),"")</f>
        <v/>
      </c>
      <c r="I29" s="71" t="n"/>
      <c r="J29" s="72">
        <f>IF(AND(I29&lt;&gt;"",E29&lt;&gt;""),I29/E29,"")</f>
        <v/>
      </c>
      <c r="K29" s="50" t="inlineStr">
        <is>
          <t>Нет</t>
        </is>
      </c>
      <c r="L29" s="33" t="n"/>
      <c r="M29" s="101" t="n"/>
      <c r="N29" s="109" t="n"/>
      <c r="O29" s="129" t="n"/>
      <c r="P29" s="129" t="n"/>
      <c r="Q29" s="129" t="n"/>
      <c r="R29" s="90">
        <f>IF(AND(Q29&lt;&gt;"",P29&lt;&gt;""),Q29-P29,"")</f>
        <v/>
      </c>
      <c r="S29" s="90">
        <f>IF(AND(Q29&lt;&gt;"",O29&lt;&gt;""),Q29-O29,"")</f>
        <v/>
      </c>
      <c r="T29" s="90">
        <f>IF(AND(F29="В работе",P29&lt;&gt;""),Параметры!$B$10-P29,"")</f>
        <v/>
      </c>
      <c r="U29" s="211" t="n"/>
    </row>
    <row r="30">
      <c r="A30" s="5" t="n"/>
      <c r="B30" s="13" t="n"/>
      <c r="C30" s="13" t="n"/>
      <c r="D30" s="5" t="n"/>
      <c r="E30" s="24" t="n"/>
      <c r="F30" s="5" t="n"/>
      <c r="G30" s="23">
        <f>IF(F30="Готово",0,IF(E30="","",E30))</f>
        <v/>
      </c>
      <c r="H30" s="70">
        <f>IFERROR(INDEX(Капасити!$C$5:$C$147,MATCH($C30,Капасити!$B$5:$B$147,0)),"")</f>
        <v/>
      </c>
      <c r="I30" s="71" t="n"/>
      <c r="J30" s="72">
        <f>IF(AND(I30&lt;&gt;"",E30&lt;&gt;""),I30/E30,"")</f>
        <v/>
      </c>
      <c r="K30" s="50" t="inlineStr">
        <is>
          <t>Нет</t>
        </is>
      </c>
      <c r="L30" s="33" t="n"/>
      <c r="M30" s="101" t="n"/>
      <c r="N30" s="109" t="n"/>
      <c r="O30" s="129" t="n"/>
      <c r="P30" s="129" t="n"/>
      <c r="Q30" s="129" t="n"/>
      <c r="R30" s="90">
        <f>IF(AND(Q30&lt;&gt;"",P30&lt;&gt;""),Q30-P30,"")</f>
        <v/>
      </c>
      <c r="S30" s="90">
        <f>IF(AND(Q30&lt;&gt;"",O30&lt;&gt;""),Q30-O30,"")</f>
        <v/>
      </c>
      <c r="T30" s="90">
        <f>IF(AND(F30="В работе",P30&lt;&gt;""),Параметры!$B$10-P30,"")</f>
        <v/>
      </c>
      <c r="U30" s="211" t="n"/>
    </row>
    <row r="31">
      <c r="A31" s="5" t="n"/>
      <c r="B31" s="13" t="n"/>
      <c r="C31" s="13" t="n"/>
      <c r="D31" s="5" t="n"/>
      <c r="E31" s="24" t="n"/>
      <c r="F31" s="5" t="n"/>
      <c r="G31" s="23">
        <f>IF(F31="Готово",0,IF(E31="","",E31))</f>
        <v/>
      </c>
      <c r="H31" s="70">
        <f>IFERROR(INDEX(Капасити!$C$5:$C$147,MATCH($C31,Капасити!$B$5:$B$147,0)),"")</f>
        <v/>
      </c>
      <c r="I31" s="71" t="n"/>
      <c r="J31" s="72">
        <f>IF(AND(I31&lt;&gt;"",E31&lt;&gt;""),I31/E31,"")</f>
        <v/>
      </c>
      <c r="K31" s="50" t="inlineStr">
        <is>
          <t>Нет</t>
        </is>
      </c>
      <c r="L31" s="33" t="n"/>
      <c r="M31" s="101" t="n"/>
      <c r="N31" s="109" t="n"/>
      <c r="O31" s="129" t="n"/>
      <c r="P31" s="129" t="n"/>
      <c r="Q31" s="129" t="n"/>
      <c r="R31" s="90">
        <f>IF(AND(Q31&lt;&gt;"",P31&lt;&gt;""),Q31-P31,"")</f>
        <v/>
      </c>
      <c r="S31" s="90">
        <f>IF(AND(Q31&lt;&gt;"",O31&lt;&gt;""),Q31-O31,"")</f>
        <v/>
      </c>
      <c r="T31" s="90">
        <f>IF(AND(F31="В работе",P31&lt;&gt;""),Параметры!$B$10-P31,"")</f>
        <v/>
      </c>
      <c r="U31" s="211" t="n"/>
    </row>
    <row r="32">
      <c r="A32" s="5" t="n"/>
      <c r="B32" s="13" t="n"/>
      <c r="C32" s="13" t="n"/>
      <c r="D32" s="5" t="n"/>
      <c r="E32" s="24" t="n"/>
      <c r="F32" s="5" t="n"/>
      <c r="G32" s="23">
        <f>IF(F32="Готово",0,IF(E32="","",E32))</f>
        <v/>
      </c>
      <c r="H32" s="70">
        <f>IFERROR(INDEX(Капасити!$C$5:$C$147,MATCH($C32,Капасити!$B$5:$B$147,0)),"")</f>
        <v/>
      </c>
      <c r="I32" s="71" t="n"/>
      <c r="J32" s="72">
        <f>IF(AND(I32&lt;&gt;"",E32&lt;&gt;""),I32/E32,"")</f>
        <v/>
      </c>
      <c r="K32" s="50" t="inlineStr">
        <is>
          <t>Нет</t>
        </is>
      </c>
      <c r="L32" s="33" t="n"/>
      <c r="M32" s="101" t="n"/>
      <c r="N32" s="109" t="n"/>
      <c r="O32" s="129" t="n"/>
      <c r="P32" s="129" t="n"/>
      <c r="Q32" s="129" t="n"/>
      <c r="R32" s="90">
        <f>IF(AND(Q32&lt;&gt;"",P32&lt;&gt;""),Q32-P32,"")</f>
        <v/>
      </c>
      <c r="S32" s="90">
        <f>IF(AND(Q32&lt;&gt;"",O32&lt;&gt;""),Q32-O32,"")</f>
        <v/>
      </c>
      <c r="T32" s="90">
        <f>IF(AND(F32="В работе",P32&lt;&gt;""),Параметры!$B$10-P32,"")</f>
        <v/>
      </c>
      <c r="U32" s="211" t="n"/>
    </row>
    <row r="33">
      <c r="A33" s="5" t="n"/>
      <c r="B33" s="13" t="n"/>
      <c r="C33" s="13" t="n"/>
      <c r="D33" s="5" t="n"/>
      <c r="E33" s="24" t="n"/>
      <c r="F33" s="5" t="n"/>
      <c r="G33" s="23">
        <f>IF(F33="Готово",0,IF(E33="","",E33))</f>
        <v/>
      </c>
      <c r="H33" s="70">
        <f>IFERROR(INDEX(Капасити!$C$5:$C$147,MATCH($C33,Капасити!$B$5:$B$147,0)),"")</f>
        <v/>
      </c>
      <c r="I33" s="71" t="n"/>
      <c r="J33" s="72">
        <f>IF(AND(I33&lt;&gt;"",E33&lt;&gt;""),I33/E33,"")</f>
        <v/>
      </c>
      <c r="K33" s="50" t="inlineStr">
        <is>
          <t>Нет</t>
        </is>
      </c>
      <c r="L33" s="33" t="n"/>
      <c r="M33" s="101" t="n"/>
      <c r="N33" s="109" t="n"/>
      <c r="O33" s="129" t="n"/>
      <c r="P33" s="129" t="n"/>
      <c r="Q33" s="129" t="n"/>
      <c r="R33" s="90">
        <f>IF(AND(Q33&lt;&gt;"",P33&lt;&gt;""),Q33-P33,"")</f>
        <v/>
      </c>
      <c r="S33" s="90">
        <f>IF(AND(Q33&lt;&gt;"",O33&lt;&gt;""),Q33-O33,"")</f>
        <v/>
      </c>
      <c r="T33" s="90">
        <f>IF(AND(F33="В работе",P33&lt;&gt;""),Параметры!$B$10-P33,"")</f>
        <v/>
      </c>
      <c r="U33" s="211" t="n"/>
    </row>
    <row r="34">
      <c r="A34" s="5" t="n"/>
      <c r="B34" s="13" t="n"/>
      <c r="C34" s="13" t="n"/>
      <c r="D34" s="5" t="n"/>
      <c r="E34" s="24" t="n"/>
      <c r="F34" s="5" t="n"/>
      <c r="G34" s="23">
        <f>IF(F34="Готово",0,IF(E34="","",E34))</f>
        <v/>
      </c>
      <c r="H34" s="70">
        <f>IFERROR(INDEX(Капасити!$C$5:$C$147,MATCH($C34,Капасити!$B$5:$B$147,0)),"")</f>
        <v/>
      </c>
      <c r="I34" s="71" t="n"/>
      <c r="J34" s="72">
        <f>IF(AND(I34&lt;&gt;"",E34&lt;&gt;""),I34/E34,"")</f>
        <v/>
      </c>
      <c r="K34" s="50" t="inlineStr">
        <is>
          <t>Нет</t>
        </is>
      </c>
      <c r="L34" s="33" t="n"/>
      <c r="M34" s="101" t="n"/>
      <c r="N34" s="109" t="n"/>
      <c r="O34" s="129" t="n"/>
      <c r="P34" s="129" t="n"/>
      <c r="Q34" s="129" t="n"/>
      <c r="R34" s="90">
        <f>IF(AND(Q34&lt;&gt;"",P34&lt;&gt;""),Q34-P34,"")</f>
        <v/>
      </c>
      <c r="S34" s="90">
        <f>IF(AND(Q34&lt;&gt;"",O34&lt;&gt;""),Q34-O34,"")</f>
        <v/>
      </c>
      <c r="T34" s="90">
        <f>IF(AND(F34="В работе",P34&lt;&gt;""),Параметры!$B$10-P34,"")</f>
        <v/>
      </c>
      <c r="U34" s="211" t="n"/>
    </row>
    <row r="35">
      <c r="A35" s="5" t="n"/>
      <c r="B35" s="13" t="n"/>
      <c r="C35" s="13" t="n"/>
      <c r="D35" s="5" t="n"/>
      <c r="E35" s="24" t="n"/>
      <c r="F35" s="5" t="n"/>
      <c r="G35" s="23">
        <f>IF(F35="Готово",0,IF(E35="","",E35))</f>
        <v/>
      </c>
      <c r="H35" s="70">
        <f>IFERROR(INDEX(Капасити!$C$5:$C$147,MATCH($C35,Капасити!$B$5:$B$147,0)),"")</f>
        <v/>
      </c>
      <c r="I35" s="71" t="n"/>
      <c r="J35" s="72">
        <f>IF(AND(I35&lt;&gt;"",E35&lt;&gt;""),I35/E35,"")</f>
        <v/>
      </c>
      <c r="K35" s="50" t="inlineStr">
        <is>
          <t>Нет</t>
        </is>
      </c>
      <c r="L35" s="33" t="n"/>
      <c r="M35" s="101" t="n"/>
      <c r="N35" s="109" t="n"/>
      <c r="O35" s="129" t="n"/>
      <c r="P35" s="129" t="n"/>
      <c r="Q35" s="129" t="n"/>
      <c r="R35" s="90">
        <f>IF(AND(Q35&lt;&gt;"",P35&lt;&gt;""),Q35-P35,"")</f>
        <v/>
      </c>
      <c r="S35" s="90">
        <f>IF(AND(Q35&lt;&gt;"",O35&lt;&gt;""),Q35-O35,"")</f>
        <v/>
      </c>
      <c r="T35" s="90">
        <f>IF(AND(F35="В работе",P35&lt;&gt;""),Параметры!$B$10-P35,"")</f>
        <v/>
      </c>
      <c r="U35" s="211" t="n"/>
    </row>
    <row r="36">
      <c r="A36" s="5" t="n"/>
      <c r="B36" s="13" t="n"/>
      <c r="C36" s="13" t="n"/>
      <c r="D36" s="5" t="n"/>
      <c r="E36" s="24" t="n"/>
      <c r="F36" s="5" t="n"/>
      <c r="G36" s="23">
        <f>IF(F36="Готово",0,IF(E36="","",E36))</f>
        <v/>
      </c>
      <c r="H36" s="70">
        <f>IFERROR(INDEX(Капасити!$C$5:$C$147,MATCH($C36,Капасити!$B$5:$B$147,0)),"")</f>
        <v/>
      </c>
      <c r="I36" s="71" t="n"/>
      <c r="J36" s="72">
        <f>IF(AND(I36&lt;&gt;"",E36&lt;&gt;""),I36/E36,"")</f>
        <v/>
      </c>
      <c r="K36" s="50" t="inlineStr">
        <is>
          <t>Нет</t>
        </is>
      </c>
      <c r="L36" s="33" t="n"/>
      <c r="M36" s="101" t="n"/>
      <c r="N36" s="109" t="n"/>
      <c r="O36" s="129" t="n"/>
      <c r="P36" s="129" t="n"/>
      <c r="Q36" s="129" t="n"/>
      <c r="R36" s="90">
        <f>IF(AND(Q36&lt;&gt;"",P36&lt;&gt;""),Q36-P36,"")</f>
        <v/>
      </c>
      <c r="S36" s="90">
        <f>IF(AND(Q36&lt;&gt;"",O36&lt;&gt;""),Q36-O36,"")</f>
        <v/>
      </c>
      <c r="T36" s="90">
        <f>IF(AND(F36="В работе",P36&lt;&gt;""),Параметры!$B$10-P36,"")</f>
        <v/>
      </c>
      <c r="U36" s="211" t="n"/>
    </row>
    <row r="37">
      <c r="A37" s="5" t="n"/>
      <c r="B37" s="13" t="n"/>
      <c r="C37" s="13" t="n"/>
      <c r="D37" s="5" t="n"/>
      <c r="E37" s="24" t="n"/>
      <c r="F37" s="5" t="n"/>
      <c r="G37" s="23">
        <f>IF(F37="Готово",0,IF(E37="","",E37))</f>
        <v/>
      </c>
      <c r="H37" s="70">
        <f>IFERROR(INDEX(Капасити!$C$5:$C$147,MATCH($C37,Капасити!$B$5:$B$147,0)),"")</f>
        <v/>
      </c>
      <c r="I37" s="71" t="n"/>
      <c r="J37" s="72">
        <f>IF(AND(I37&lt;&gt;"",E37&lt;&gt;""),I37/E37,"")</f>
        <v/>
      </c>
      <c r="K37" s="50" t="inlineStr">
        <is>
          <t>Нет</t>
        </is>
      </c>
      <c r="L37" s="33" t="n"/>
      <c r="M37" s="101" t="n"/>
      <c r="N37" s="109" t="n"/>
      <c r="O37" s="129" t="n"/>
      <c r="P37" s="129" t="n"/>
      <c r="Q37" s="129" t="n"/>
      <c r="R37" s="90">
        <f>IF(AND(Q37&lt;&gt;"",P37&lt;&gt;""),Q37-P37,"")</f>
        <v/>
      </c>
      <c r="S37" s="90">
        <f>IF(AND(Q37&lt;&gt;"",O37&lt;&gt;""),Q37-O37,"")</f>
        <v/>
      </c>
      <c r="T37" s="90">
        <f>IF(AND(F37="В работе",P37&lt;&gt;""),Параметры!$B$10-P37,"")</f>
        <v/>
      </c>
      <c r="U37" s="211" t="n"/>
    </row>
    <row r="38">
      <c r="A38" s="5" t="n"/>
      <c r="B38" s="13" t="n"/>
      <c r="C38" s="13" t="n"/>
      <c r="D38" s="5" t="n"/>
      <c r="E38" s="24" t="n"/>
      <c r="F38" s="5" t="n"/>
      <c r="G38" s="23">
        <f>IF(F38="Готово",0,IF(E38="","",E38))</f>
        <v/>
      </c>
      <c r="H38" s="70">
        <f>IFERROR(INDEX(Капасити!$C$5:$C$147,MATCH($C38,Капасити!$B$5:$B$147,0)),"")</f>
        <v/>
      </c>
      <c r="I38" s="71" t="n"/>
      <c r="J38" s="72">
        <f>IF(AND(I38&lt;&gt;"",E38&lt;&gt;""),I38/E38,"")</f>
        <v/>
      </c>
      <c r="K38" s="50" t="inlineStr">
        <is>
          <t>Нет</t>
        </is>
      </c>
      <c r="L38" s="33" t="n"/>
      <c r="M38" s="101" t="n"/>
      <c r="N38" s="109" t="n"/>
      <c r="O38" s="129" t="n"/>
      <c r="P38" s="129" t="n"/>
      <c r="Q38" s="129" t="n"/>
      <c r="R38" s="90">
        <f>IF(AND(Q38&lt;&gt;"",P38&lt;&gt;""),Q38-P38,"")</f>
        <v/>
      </c>
      <c r="S38" s="90">
        <f>IF(AND(Q38&lt;&gt;"",O38&lt;&gt;""),Q38-O38,"")</f>
        <v/>
      </c>
      <c r="T38" s="90">
        <f>IF(AND(F38="В работе",P38&lt;&gt;""),Параметры!$B$10-P38,"")</f>
        <v/>
      </c>
      <c r="U38" s="211" t="n"/>
    </row>
    <row r="39">
      <c r="A39" s="5" t="n"/>
      <c r="B39" s="13" t="n"/>
      <c r="C39" s="13" t="n"/>
      <c r="D39" s="5" t="n"/>
      <c r="E39" s="24" t="n"/>
      <c r="F39" s="5" t="n"/>
      <c r="G39" s="23">
        <f>IF(F39="Готово",0,IF(E39="","",E39))</f>
        <v/>
      </c>
      <c r="H39" s="70">
        <f>IFERROR(INDEX(Капасити!$C$5:$C$147,MATCH($C39,Капасити!$B$5:$B$147,0)),"")</f>
        <v/>
      </c>
      <c r="I39" s="71" t="n"/>
      <c r="J39" s="72">
        <f>IF(AND(I39&lt;&gt;"",E39&lt;&gt;""),I39/E39,"")</f>
        <v/>
      </c>
      <c r="K39" s="50" t="inlineStr">
        <is>
          <t>Нет</t>
        </is>
      </c>
      <c r="L39" s="33" t="n"/>
      <c r="M39" s="101" t="n"/>
      <c r="N39" s="109" t="n"/>
      <c r="O39" s="129" t="n"/>
      <c r="P39" s="129" t="n"/>
      <c r="Q39" s="129" t="n"/>
      <c r="R39" s="90">
        <f>IF(AND(Q39&lt;&gt;"",P39&lt;&gt;""),Q39-P39,"")</f>
        <v/>
      </c>
      <c r="S39" s="90">
        <f>IF(AND(Q39&lt;&gt;"",O39&lt;&gt;""),Q39-O39,"")</f>
        <v/>
      </c>
      <c r="T39" s="90">
        <f>IF(AND(F39="В работе",P39&lt;&gt;""),Параметры!$B$10-P39,"")</f>
        <v/>
      </c>
      <c r="U39" s="211" t="n"/>
    </row>
    <row r="40">
      <c r="A40" s="5" t="n"/>
      <c r="B40" s="13" t="n"/>
      <c r="C40" s="13" t="n"/>
      <c r="D40" s="5" t="n"/>
      <c r="E40" s="24" t="n"/>
      <c r="F40" s="5" t="n"/>
      <c r="G40" s="23">
        <f>IF(F40="Готово",0,IF(E40="","",E40))</f>
        <v/>
      </c>
      <c r="H40" s="70">
        <f>IFERROR(INDEX(Капасити!$C$5:$C$147,MATCH($C40,Капасити!$B$5:$B$147,0)),"")</f>
        <v/>
      </c>
      <c r="I40" s="71" t="n"/>
      <c r="J40" s="72">
        <f>IF(AND(I40&lt;&gt;"",E40&lt;&gt;""),I40/E40,"")</f>
        <v/>
      </c>
      <c r="K40" s="50" t="inlineStr">
        <is>
          <t>Нет</t>
        </is>
      </c>
      <c r="L40" s="33" t="n"/>
      <c r="M40" s="101" t="n"/>
      <c r="N40" s="109" t="n"/>
      <c r="O40" s="129" t="n"/>
      <c r="P40" s="129" t="n"/>
      <c r="Q40" s="129" t="n"/>
      <c r="R40" s="90">
        <f>IF(AND(Q40&lt;&gt;"",P40&lt;&gt;""),Q40-P40,"")</f>
        <v/>
      </c>
      <c r="S40" s="90">
        <f>IF(AND(Q40&lt;&gt;"",O40&lt;&gt;""),Q40-O40,"")</f>
        <v/>
      </c>
      <c r="T40" s="90">
        <f>IF(AND(F40="В работе",P40&lt;&gt;""),Параметры!$B$10-P40,"")</f>
        <v/>
      </c>
      <c r="U40" s="211" t="n"/>
    </row>
    <row r="41">
      <c r="A41" s="5" t="n"/>
      <c r="B41" s="13" t="n"/>
      <c r="C41" s="13" t="n"/>
      <c r="D41" s="5" t="n"/>
      <c r="E41" s="24" t="n"/>
      <c r="F41" s="5" t="n"/>
      <c r="G41" s="23">
        <f>IF(F41="Готово",0,IF(E41="","",E41))</f>
        <v/>
      </c>
      <c r="H41" s="70">
        <f>IFERROR(INDEX(Капасити!$C$5:$C$147,MATCH($C41,Капасити!$B$5:$B$147,0)),"")</f>
        <v/>
      </c>
      <c r="I41" s="71" t="n"/>
      <c r="J41" s="72">
        <f>IF(AND(I41&lt;&gt;"",E41&lt;&gt;""),I41/E41,"")</f>
        <v/>
      </c>
      <c r="K41" s="50" t="inlineStr">
        <is>
          <t>Нет</t>
        </is>
      </c>
      <c r="L41" s="33" t="n"/>
      <c r="M41" s="101" t="n"/>
      <c r="N41" s="109" t="n"/>
      <c r="O41" s="129" t="n"/>
      <c r="P41" s="129" t="n"/>
      <c r="Q41" s="129" t="n"/>
      <c r="R41" s="90">
        <f>IF(AND(Q41&lt;&gt;"",P41&lt;&gt;""),Q41-P41,"")</f>
        <v/>
      </c>
      <c r="S41" s="90">
        <f>IF(AND(Q41&lt;&gt;"",O41&lt;&gt;""),Q41-O41,"")</f>
        <v/>
      </c>
      <c r="T41" s="90">
        <f>IF(AND(F41="В работе",P41&lt;&gt;""),Параметры!$B$10-P41,"")</f>
        <v/>
      </c>
      <c r="U41" s="211" t="n"/>
    </row>
    <row r="42">
      <c r="A42" s="5" t="n"/>
      <c r="B42" s="13" t="n"/>
      <c r="C42" s="13" t="n"/>
      <c r="D42" s="5" t="n"/>
      <c r="E42" s="24" t="n"/>
      <c r="F42" s="5" t="n"/>
      <c r="G42" s="23">
        <f>IF(F42="Готово",0,IF(E42="","",E42))</f>
        <v/>
      </c>
      <c r="H42" s="70">
        <f>IFERROR(INDEX(Капасити!$C$5:$C$147,MATCH($C42,Капасити!$B$5:$B$147,0)),"")</f>
        <v/>
      </c>
      <c r="I42" s="71" t="n"/>
      <c r="J42" s="72">
        <f>IF(AND(I42&lt;&gt;"",E42&lt;&gt;""),I42/E42,"")</f>
        <v/>
      </c>
      <c r="K42" s="50" t="inlineStr">
        <is>
          <t>Нет</t>
        </is>
      </c>
      <c r="L42" s="33" t="n"/>
      <c r="M42" s="101" t="n"/>
      <c r="N42" s="109" t="n"/>
      <c r="O42" s="129" t="n"/>
      <c r="P42" s="129" t="n"/>
      <c r="Q42" s="129" t="n"/>
      <c r="R42" s="90">
        <f>IF(AND(Q42&lt;&gt;"",P42&lt;&gt;""),Q42-P42,"")</f>
        <v/>
      </c>
      <c r="S42" s="90">
        <f>IF(AND(Q42&lt;&gt;"",O42&lt;&gt;""),Q42-O42,"")</f>
        <v/>
      </c>
      <c r="T42" s="90">
        <f>IF(AND(F42="В работе",P42&lt;&gt;""),Параметры!$B$10-P42,"")</f>
        <v/>
      </c>
      <c r="U42" s="211" t="n"/>
    </row>
    <row r="43">
      <c r="A43" s="5" t="n"/>
      <c r="B43" s="13" t="n"/>
      <c r="C43" s="13" t="n"/>
      <c r="D43" s="5" t="n"/>
      <c r="E43" s="24" t="n"/>
      <c r="F43" s="5" t="n"/>
      <c r="G43" s="23">
        <f>IF(F43="Готово",0,IF(E43="","",E43))</f>
        <v/>
      </c>
      <c r="H43" s="70">
        <f>IFERROR(INDEX(Капасити!$C$5:$C$147,MATCH($C43,Капасити!$B$5:$B$147,0)),"")</f>
        <v/>
      </c>
      <c r="I43" s="71" t="n"/>
      <c r="J43" s="72">
        <f>IF(AND(I43&lt;&gt;"",E43&lt;&gt;""),I43/E43,"")</f>
        <v/>
      </c>
      <c r="K43" s="50" t="inlineStr">
        <is>
          <t>Нет</t>
        </is>
      </c>
      <c r="L43" s="33" t="n"/>
      <c r="M43" s="101" t="n"/>
      <c r="N43" s="109" t="n"/>
      <c r="O43" s="129" t="n"/>
      <c r="P43" s="129" t="n"/>
      <c r="Q43" s="129" t="n"/>
      <c r="R43" s="90">
        <f>IF(AND(Q43&lt;&gt;"",P43&lt;&gt;""),Q43-P43,"")</f>
        <v/>
      </c>
      <c r="S43" s="90">
        <f>IF(AND(Q43&lt;&gt;"",O43&lt;&gt;""),Q43-O43,"")</f>
        <v/>
      </c>
      <c r="T43" s="90">
        <f>IF(AND(F43="В работе",P43&lt;&gt;""),Параметры!$B$10-P43,"")</f>
        <v/>
      </c>
      <c r="U43" s="211" t="n"/>
    </row>
    <row r="44">
      <c r="A44" s="5" t="n"/>
      <c r="B44" s="13" t="n"/>
      <c r="C44" s="13" t="n"/>
      <c r="D44" s="5" t="n"/>
      <c r="E44" s="24" t="n"/>
      <c r="F44" s="5" t="n"/>
      <c r="G44" s="23">
        <f>IF(F44="Готово",0,IF(E44="","",E44))</f>
        <v/>
      </c>
      <c r="H44" s="70">
        <f>IFERROR(INDEX(Капасити!$C$5:$C$147,MATCH($C44,Капасити!$B$5:$B$147,0)),"")</f>
        <v/>
      </c>
      <c r="I44" s="71" t="n"/>
      <c r="J44" s="72">
        <f>IF(AND(I44&lt;&gt;"",E44&lt;&gt;""),I44/E44,"")</f>
        <v/>
      </c>
      <c r="K44" s="50" t="inlineStr">
        <is>
          <t>Нет</t>
        </is>
      </c>
      <c r="L44" s="33" t="n"/>
      <c r="M44" s="101" t="n"/>
      <c r="N44" s="109" t="n"/>
      <c r="O44" s="129" t="n"/>
      <c r="P44" s="129" t="n"/>
      <c r="Q44" s="129" t="n"/>
      <c r="R44" s="90">
        <f>IF(AND(Q44&lt;&gt;"",P44&lt;&gt;""),Q44-P44,"")</f>
        <v/>
      </c>
      <c r="S44" s="90">
        <f>IF(AND(Q44&lt;&gt;"",O44&lt;&gt;""),Q44-O44,"")</f>
        <v/>
      </c>
      <c r="T44" s="90">
        <f>IF(AND(F44="В работе",P44&lt;&gt;""),Параметры!$B$10-P44,"")</f>
        <v/>
      </c>
      <c r="U44" s="211" t="n"/>
    </row>
    <row r="45">
      <c r="A45" s="11" t="n"/>
      <c r="B45" s="11" t="n"/>
      <c r="C45" s="12" t="inlineStr">
        <is>
          <t>ИТОГО трудоёмкость:</t>
        </is>
      </c>
      <c r="D45" s="11" t="n"/>
      <c r="E45" s="21">
        <f>SUM(E5:E44)</f>
        <v/>
      </c>
      <c r="F45" s="11" t="n"/>
      <c r="G45" s="21">
        <f>SUM(G5:G44)</f>
        <v/>
      </c>
    </row>
    <row r="47">
      <c r="B47" s="32" t="inlineStr">
        <is>
          <t>Коэфф. точности оценок (Факт/Оценка):</t>
        </is>
      </c>
      <c r="E47" s="73">
        <f>IFERROR(SUM(I5:I44)/SUMPRODUCT((I5:I44&lt;&gt;"")*E5:E44),"")</f>
        <v/>
      </c>
    </row>
    <row r="48">
      <c r="B48" s="38" t="inlineStr">
        <is>
          <t>&gt;1 — систематически недооцениваем; множитель для будущих оценок.</t>
        </is>
      </c>
    </row>
    <row r="49">
      <c r="B49" s="88" t="inlineStr">
        <is>
          <t>Средний Cycle time (дн):</t>
        </is>
      </c>
      <c r="E49" s="130">
        <f>IFERROR(AVERAGEIF(R5:R44,"&gt;=0"),0)</f>
        <v/>
      </c>
    </row>
    <row r="50">
      <c r="B50" s="88" t="inlineStr">
        <is>
          <t>Средний Lead time (дн):</t>
        </is>
      </c>
      <c r="E50" s="130">
        <f>IFERROR(AVERAGEIF(S5:S44,"&gt;=0"),0)</f>
        <v/>
      </c>
    </row>
    <row r="100">
      <c r="D100">
        <f>E45</f>
        <v/>
      </c>
    </row>
  </sheetData>
  <dataValidations count="5">
    <dataValidation sqref="D5:D44" showDropDown="0" showInputMessage="0" showErrorMessage="0" allowBlank="1" errorTitle="Приоритет" error="Выберите: High, Medium или Low" promptTitle="Приоритет" prompt="Выберите приоритет из списка" type="list">
      <formula1>"High,Medium,Low"</formula1>
    </dataValidation>
    <dataValidation sqref="F5:F44" showDropDown="0" showInputMessage="0" showErrorMessage="0" allowBlank="1" errorTitle="Статус" error="Выберите: To Do, В работе или Готово" promptTitle="Статус" prompt="Выберите статус из списка" type="list">
      <formula1>"To Do,В работе,Готово"</formula1>
    </dataValidation>
    <dataValidation sqref="K5:K44 N5:N44" showDropDown="0" showInputMessage="0" showErrorMessage="0" allowBlank="1" type="list">
      <formula1>"Нет,Да"</formula1>
    </dataValidation>
    <dataValidation sqref="M5 M6 M7 M8 M9 M10 M11 M12 M13 M14 M15 M16 M17 M18 M19 M20 M21 M22 M23 M24 M25 M26 M27 M28 M29 M30 M31 M32 M33 M34 M35 M36 M37 M38 M39 M40 M41 M42 M43 M44" showDropDown="0" showInputMessage="0" showErrorMessage="0" allowBlank="1" type="list">
      <formula1>"1,2,3,4,5,6,7,8,9,10,11"</formula1>
    </dataValidation>
    <dataValidation sqref="U5 U6 U7 U8 U9 U10 U11 U12 U13 U14 U15 U16 U17 U18 U19 U20 U21 U22 U23 U24 U25 U26 U27 U28 U29 U30 U31 U32 U33 U34 U35 U36 U37 U38 U39 U40 U41 U42 U43 U44" showDropDown="0" showInputMessage="0" showErrorMessage="0" allowBlank="1" type="list">
      <formula1>"История,Задача,Тех.долг"</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32"/>
  <sheetViews>
    <sheetView showGridLines="0" workbookViewId="0">
      <pane ySplit="6" topLeftCell="A10" activePane="bottomLeft" state="frozen"/>
      <selection pane="bottomLeft" activeCell="R18" sqref="R18"/>
    </sheetView>
  </sheetViews>
  <sheetFormatPr baseColWidth="8" defaultRowHeight="14.4"/>
  <cols>
    <col width="19.33203125" customWidth="1" min="1" max="1"/>
    <col width="10" customWidth="1" min="2" max="2"/>
    <col width="20" customWidth="1" min="3" max="3"/>
    <col width="18" customWidth="1" min="4" max="4"/>
  </cols>
  <sheetData>
    <row r="1" ht="17.4" customHeight="1">
      <c r="A1" s="1" t="inlineStr">
        <is>
          <t>Диаграмма сгорания (burndown) по задачам</t>
        </is>
      </c>
    </row>
    <row r="2">
      <c r="A2" s="2" t="inlineStr">
        <is>
          <t>Идеальная линия — равномерное сгорание. Фактический остаток обновляется каждый день (жёлтый столбец).</t>
        </is>
      </c>
    </row>
    <row r="3">
      <c r="A3" s="14" t="inlineStr">
        <is>
          <t>Всего работы тек. спринта (дн):</t>
        </is>
      </c>
      <c r="B3" s="25">
        <f>SUMIF(Бэклог!$M$5:$M$44,Параметры!$B$13,Бэклог!$E$5:$E$44)</f>
        <v/>
      </c>
    </row>
    <row r="4">
      <c r="A4" s="14" t="inlineStr">
        <is>
          <t>Рабочих дней:</t>
        </is>
      </c>
      <c r="B4" s="15">
        <f>SUMIF('Дорожная карта'!$A$6:$A$16,Параметры!$B$13,'Дорожная карта'!$E$6:$E$16)</f>
        <v/>
      </c>
    </row>
    <row r="6" ht="27.6" customHeight="1">
      <c r="A6" s="3" t="inlineStr">
        <is>
          <t>День</t>
        </is>
      </c>
      <c r="B6" s="3" t="inlineStr">
        <is>
          <t>Дата</t>
        </is>
      </c>
      <c r="C6" s="3" t="inlineStr">
        <is>
          <t>Идеальный остаток (дн)</t>
        </is>
      </c>
      <c r="D6" s="3" t="inlineStr">
        <is>
          <t>Факт. остаток (дн)</t>
        </is>
      </c>
    </row>
    <row r="7">
      <c r="A7" s="9" t="n">
        <v>0</v>
      </c>
      <c r="B7" s="22">
        <f>WORKDAY(Параметры!$B$6,A7)</f>
        <v/>
      </c>
      <c r="C7" s="23">
        <f>$B$3*($B$4-A7)/$B$4</f>
        <v/>
      </c>
      <c r="D7" s="24">
        <f>$B$3</f>
        <v/>
      </c>
    </row>
    <row r="8">
      <c r="A8" s="9" t="n">
        <v>1</v>
      </c>
      <c r="B8" s="22">
        <f>WORKDAY(Параметры!$B$6,A8)</f>
        <v/>
      </c>
      <c r="C8" s="23">
        <f>$B$3*($B$4-A8)/$B$4</f>
        <v/>
      </c>
      <c r="D8" s="24">
        <f>ROUND($B$3*0.98,1)</f>
        <v/>
      </c>
    </row>
    <row r="9">
      <c r="A9" s="9" t="n">
        <v>2</v>
      </c>
      <c r="B9" s="22">
        <f>WORKDAY(Параметры!$B$6,A9)</f>
        <v/>
      </c>
      <c r="C9" s="23">
        <f>$B$3*($B$4-A9)/$B$4</f>
        <v/>
      </c>
      <c r="D9" s="24">
        <f>ROUND($B$3*0.9,1)</f>
        <v/>
      </c>
    </row>
    <row r="10">
      <c r="A10" s="9" t="n">
        <v>3</v>
      </c>
      <c r="B10" s="22">
        <f>WORKDAY(Параметры!$B$6,A10)</f>
        <v/>
      </c>
      <c r="C10" s="23">
        <f>$B$3*($B$4-A10)/$B$4</f>
        <v/>
      </c>
      <c r="D10" s="24">
        <f>ROUND($B$3*0.86,1)</f>
        <v/>
      </c>
    </row>
    <row r="11">
      <c r="A11" s="9" t="n">
        <v>4</v>
      </c>
      <c r="B11" s="22">
        <f>WORKDAY(Параметры!$B$6,A11)</f>
        <v/>
      </c>
      <c r="C11" s="23">
        <f>$B$3*($B$4-A11)/$B$4</f>
        <v/>
      </c>
      <c r="D11" s="24">
        <f>ROUND($B$3*0.72,1)</f>
        <v/>
      </c>
    </row>
    <row r="12">
      <c r="A12" s="9" t="n">
        <v>5</v>
      </c>
      <c r="B12" s="22">
        <f>WORKDAY(Параметры!$B$6,A12)</f>
        <v/>
      </c>
      <c r="C12" s="23">
        <f>$B$3*($B$4-A12)/$B$4</f>
        <v/>
      </c>
      <c r="D12" s="24">
        <f>ROUND($B$3*0.6,1)</f>
        <v/>
      </c>
    </row>
    <row r="13">
      <c r="A13" s="9" t="n">
        <v>6</v>
      </c>
      <c r="B13" s="22">
        <f>WORKDAY(Параметры!$B$6,A13)</f>
        <v/>
      </c>
      <c r="C13" s="23">
        <f>$B$3*($B$4-A13)/$B$4</f>
        <v/>
      </c>
      <c r="D13" s="24">
        <f>ROUND($B$3*0.55,1)</f>
        <v/>
      </c>
    </row>
    <row r="14">
      <c r="A14" s="9" t="n">
        <v>7</v>
      </c>
      <c r="B14" s="22">
        <f>WORKDAY(Параметры!$B$6,A14)</f>
        <v/>
      </c>
      <c r="C14" s="23">
        <f>$B$3*($B$4-A14)/$B$4</f>
        <v/>
      </c>
      <c r="D14" s="24">
        <f>ROUND($B$3*0.4,1)</f>
        <v/>
      </c>
    </row>
    <row r="15">
      <c r="A15" s="9" t="n">
        <v>8</v>
      </c>
      <c r="B15" s="22">
        <f>WORKDAY(Параметры!$B$6,A15)</f>
        <v/>
      </c>
      <c r="C15" s="23">
        <f>$B$3*($B$4-A15)/$B$4</f>
        <v/>
      </c>
      <c r="D15" s="24">
        <f>ROUND($B$3*0.28,1)</f>
        <v/>
      </c>
    </row>
    <row r="16">
      <c r="A16" s="9" t="n">
        <v>9</v>
      </c>
      <c r="B16" s="22">
        <f>WORKDAY(Параметры!$B$6,A16)</f>
        <v/>
      </c>
      <c r="C16" s="23">
        <f>$B$3*($B$4-A16)/$B$4</f>
        <v/>
      </c>
      <c r="D16" s="24">
        <f>ROUND($B$3*0.12,1)</f>
        <v/>
      </c>
    </row>
    <row r="17">
      <c r="A17" s="9" t="n">
        <v>10</v>
      </c>
      <c r="B17" s="22">
        <f>WORKDAY(Параметры!$B$6,A17)</f>
        <v/>
      </c>
      <c r="C17" s="23">
        <f>$B$3*($B$4-A17)/$B$4</f>
        <v/>
      </c>
      <c r="D17" s="24">
        <f>ROUND($B$3*0,1)</f>
        <v/>
      </c>
    </row>
    <row r="19">
      <c r="A19" s="14" t="inlineStr">
        <is>
          <t>Как читать:</t>
        </is>
      </c>
    </row>
    <row r="20" ht="15.6" customHeight="1">
      <c r="A20" s="91" t="inlineStr">
        <is>
          <t>Burn-up: объём vs накопленно сделано</t>
        </is>
      </c>
    </row>
    <row r="21" ht="41.4" customHeight="1">
      <c r="A21" s="92" t="inlineStr">
        <is>
          <t>Спринт</t>
        </is>
      </c>
      <c r="B21" s="92" t="inlineStr">
        <is>
          <t>Накопл.
сделано (дн)</t>
        </is>
      </c>
      <c r="C21" s="92" t="inlineStr">
        <is>
          <t>Общий
объём (дн)</t>
        </is>
      </c>
    </row>
    <row r="22">
      <c r="A22" s="110" t="n">
        <v>1</v>
      </c>
      <c r="B22" s="102">
        <f>SUMIFS('Дорожная карта'!$I$6:$I$16,'Дорожная карта'!$A$6:$A$16,"&lt;="&amp;A22)</f>
        <v/>
      </c>
      <c r="C22" s="102">
        <f>SUM(Бэклог!$E$5:$E$44)</f>
        <v/>
      </c>
    </row>
    <row r="23">
      <c r="A23" s="110" t="n">
        <v>2</v>
      </c>
      <c r="B23" s="102">
        <f>SUMIFS('Дорожная карта'!$I$6:$I$16,'Дорожная карта'!$A$6:$A$16,"&lt;="&amp;A23)</f>
        <v/>
      </c>
      <c r="C23" s="102">
        <f>SUM(Бэклог!$E$5:$E$44)</f>
        <v/>
      </c>
    </row>
    <row r="24">
      <c r="A24" s="110" t="n">
        <v>3</v>
      </c>
      <c r="B24" s="102">
        <f>SUMIFS('Дорожная карта'!$I$6:$I$16,'Дорожная карта'!$A$6:$A$16,"&lt;="&amp;A24)</f>
        <v/>
      </c>
      <c r="C24" s="102">
        <f>SUM(Бэклог!$E$5:$E$44)</f>
        <v/>
      </c>
    </row>
    <row r="25">
      <c r="A25" s="110" t="n">
        <v>4</v>
      </c>
      <c r="B25" s="102">
        <f>SUMIFS('Дорожная карта'!$I$6:$I$16,'Дорожная карта'!$A$6:$A$16,"&lt;="&amp;A25)</f>
        <v/>
      </c>
      <c r="C25" s="102">
        <f>SUM(Бэклог!$E$5:$E$44)</f>
        <v/>
      </c>
    </row>
    <row r="26">
      <c r="A26" s="110" t="n">
        <v>5</v>
      </c>
      <c r="B26" s="102">
        <f>SUMIFS('Дорожная карта'!$I$6:$I$16,'Дорожная карта'!$A$6:$A$16,"&lt;="&amp;A26)</f>
        <v/>
      </c>
      <c r="C26" s="102">
        <f>SUM(Бэклог!$E$5:$E$44)</f>
        <v/>
      </c>
    </row>
    <row r="27">
      <c r="A27" s="110" t="n">
        <v>6</v>
      </c>
      <c r="B27" s="102">
        <f>SUMIFS('Дорожная карта'!$I$6:$I$16,'Дорожная карта'!$A$6:$A$16,"&lt;="&amp;A27)</f>
        <v/>
      </c>
      <c r="C27" s="102">
        <f>SUM(Бэклог!$E$5:$E$44)</f>
        <v/>
      </c>
    </row>
    <row r="28">
      <c r="A28" s="110" t="n">
        <v>7</v>
      </c>
      <c r="B28" s="102">
        <f>SUMIFS('Дорожная карта'!$I$6:$I$16,'Дорожная карта'!$A$6:$A$16,"&lt;="&amp;A28)</f>
        <v/>
      </c>
      <c r="C28" s="102">
        <f>SUM(Бэклог!$E$5:$E$44)</f>
        <v/>
      </c>
    </row>
    <row r="29">
      <c r="A29" s="110" t="n">
        <v>8</v>
      </c>
      <c r="B29" s="102">
        <f>SUMIFS('Дорожная карта'!$I$6:$I$16,'Дорожная карта'!$A$6:$A$16,"&lt;="&amp;A29)</f>
        <v/>
      </c>
      <c r="C29" s="102">
        <f>SUM(Бэклог!$E$5:$E$44)</f>
        <v/>
      </c>
    </row>
    <row r="30">
      <c r="A30" s="110" t="n">
        <v>9</v>
      </c>
      <c r="B30" s="102">
        <f>SUMIFS('Дорожная карта'!$I$6:$I$16,'Дорожная карта'!$A$6:$A$16,"&lt;="&amp;A30)</f>
        <v/>
      </c>
      <c r="C30" s="102">
        <f>SUM(Бэклог!$E$5:$E$44)</f>
        <v/>
      </c>
    </row>
    <row r="31">
      <c r="A31" s="110" t="n">
        <v>10</v>
      </c>
      <c r="B31" s="102">
        <f>SUMIFS('Дорожная карта'!$I$6:$I$16,'Дорожная карта'!$A$6:$A$16,"&lt;="&amp;A31)</f>
        <v/>
      </c>
      <c r="C31" s="102">
        <f>SUM(Бэклог!$E$5:$E$44)</f>
        <v/>
      </c>
    </row>
    <row r="32">
      <c r="A32" s="110" t="n">
        <v>11</v>
      </c>
      <c r="B32" s="102">
        <f>SUMIFS('Дорожная карта'!$I$6:$I$16,'Дорожная карта'!$A$6:$A$16,"&lt;="&amp;A32)</f>
        <v/>
      </c>
      <c r="C32" s="102">
        <f>SUM(Бэклог!$E$5:$E$44)</f>
        <v/>
      </c>
    </row>
  </sheetData>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activeCell="A1" sqref="A1"/>
    </sheetView>
  </sheetViews>
  <sheetFormatPr baseColWidth="8" defaultRowHeight="14.4"/>
  <cols>
    <col width="12" customWidth="1" min="1" max="1"/>
    <col width="10" customWidth="1" min="2" max="3"/>
    <col width="12" customWidth="1" min="4" max="5"/>
    <col width="13" customWidth="1" min="6" max="6"/>
    <col width="9" customWidth="1" min="7" max="7"/>
    <col width="11" customWidth="1" min="8" max="8"/>
    <col width="10" customWidth="1" min="9" max="9"/>
  </cols>
  <sheetData>
    <row r="1" ht="17.4" customHeight="1">
      <c r="A1" s="37" t="inlineStr">
        <is>
          <t>Качество / дефекты по спринтам</t>
        </is>
      </c>
    </row>
    <row r="2">
      <c r="A2" s="38" t="inlineStr">
        <is>
          <t>Найдено/закрыто/время — автоматически из листа «Баги». Открытых — накопительно.</t>
        </is>
      </c>
    </row>
    <row r="4" ht="41.4" customHeight="1">
      <c r="A4" s="39" t="inlineStr">
        <is>
          <t>Спринт</t>
        </is>
      </c>
      <c r="B4" s="39" t="inlineStr">
        <is>
          <t>Найдено</t>
        </is>
      </c>
      <c r="C4" s="39" t="inlineStr">
        <is>
          <t>Закрыто</t>
        </is>
      </c>
      <c r="D4" s="39" t="inlineStr">
        <is>
          <t>Открытых
(накопит.)</t>
        </is>
      </c>
      <c r="E4" s="39" t="inlineStr">
        <is>
          <t>Время на
баги (дн)</t>
        </is>
      </c>
      <c r="F4" s="39" t="inlineStr">
        <is>
          <t>Доля времени
на баги</t>
        </is>
      </c>
      <c r="G4" s="92" t="inlineStr">
        <is>
          <t>Взвеш.
баги</t>
        </is>
      </c>
      <c r="H4" s="92" t="inlineStr">
        <is>
          <t>Плотность
(баг/дн)</t>
        </is>
      </c>
      <c r="I4" s="92" t="inlineStr">
        <is>
          <t>Reopened</t>
        </is>
      </c>
    </row>
    <row r="5">
      <c r="A5" s="63" t="inlineStr">
        <is>
          <t>Спринт 1</t>
        </is>
      </c>
      <c r="B5" s="64">
        <f>COUNTIF(Баги!$D$5:$D$64,1)</f>
        <v/>
      </c>
      <c r="C5" s="64">
        <f>COUNTIFS(Баги!$D$5:$D$64,1,Баги!$F$5:$F$64,"Закрыт")</f>
        <v/>
      </c>
      <c r="D5" s="64">
        <f>IF(B5="","",B5-C5)</f>
        <v/>
      </c>
      <c r="E5" s="35">
        <f>SUMIF(Баги!$D$5:$D$64,1,Баги!$G$5:$G$64)</f>
        <v/>
      </c>
      <c r="F5" s="36">
        <f>IF(E5="","",IFERROR(E5/'Дорожная карта'!F6,0))</f>
        <v/>
      </c>
      <c r="G5" s="90">
        <f>COUNTIFS(Баги!$D$5:$D$64,1,Баги!$E$5:$E$64,"Critical")*5+COUNTIFS(Баги!$D$5:$D$64,1,Баги!$E$5:$E$64,"Major")*3+COUNTIFS(Баги!$D$5:$D$64,1,Баги!$E$5:$E$64,"Minor")*1</f>
        <v/>
      </c>
      <c r="H5" s="111">
        <f>IFERROR(B5/'Дорожная карта'!I6,"")</f>
        <v/>
      </c>
      <c r="I5" s="90">
        <f>COUNTIFS(Баги!$D$5:$D$64,1,Баги!$H$5:$H$64,"Да")</f>
        <v/>
      </c>
    </row>
    <row r="6">
      <c r="A6" s="63" t="inlineStr">
        <is>
          <t>Спринт 2</t>
        </is>
      </c>
      <c r="B6" s="64">
        <f>COUNTIF(Баги!$D$5:$D$64,2)</f>
        <v/>
      </c>
      <c r="C6" s="64">
        <f>COUNTIFS(Баги!$D$5:$D$64,2,Баги!$F$5:$F$64,"Закрыт")</f>
        <v/>
      </c>
      <c r="D6" s="64">
        <f>IF(B6="",D5,MAX(0,N(D5)+B6-C6))</f>
        <v/>
      </c>
      <c r="E6" s="35">
        <f>SUMIF(Баги!$D$5:$D$64,2,Баги!$G$5:$G$64)</f>
        <v/>
      </c>
      <c r="F6" s="36">
        <f>IF(E6="","",IFERROR(E6/'Дорожная карта'!F7,0))</f>
        <v/>
      </c>
      <c r="G6" s="90">
        <f>COUNTIFS(Баги!$D$5:$D$64,2,Баги!$E$5:$E$64,"Critical")*5+COUNTIFS(Баги!$D$5:$D$64,2,Баги!$E$5:$E$64,"Major")*3+COUNTIFS(Баги!$D$5:$D$64,2,Баги!$E$5:$E$64,"Minor")*1</f>
        <v/>
      </c>
      <c r="H6" s="111">
        <f>IFERROR(B6/'Дорожная карта'!I7,"")</f>
        <v/>
      </c>
      <c r="I6" s="90">
        <f>COUNTIFS(Баги!$D$5:$D$64,2,Баги!$H$5:$H$64,"Да")</f>
        <v/>
      </c>
    </row>
    <row r="7">
      <c r="A7" s="63" t="inlineStr">
        <is>
          <t>Спринт 3</t>
        </is>
      </c>
      <c r="B7" s="64">
        <f>COUNTIF(Баги!$D$5:$D$64,3)</f>
        <v/>
      </c>
      <c r="C7" s="64">
        <f>COUNTIFS(Баги!$D$5:$D$64,3,Баги!$F$5:$F$64,"Закрыт")</f>
        <v/>
      </c>
      <c r="D7" s="64">
        <f>IF(B7="",D6,MAX(0,N(D6)+B7-C7))</f>
        <v/>
      </c>
      <c r="E7" s="35">
        <f>SUMIF(Баги!$D$5:$D$64,3,Баги!$G$5:$G$64)</f>
        <v/>
      </c>
      <c r="F7" s="36">
        <f>IF(E7="","",IFERROR(E7/'Дорожная карта'!F8,0))</f>
        <v/>
      </c>
      <c r="G7" s="90">
        <f>COUNTIFS(Баги!$D$5:$D$64,3,Баги!$E$5:$E$64,"Critical")*5+COUNTIFS(Баги!$D$5:$D$64,3,Баги!$E$5:$E$64,"Major")*3+COUNTIFS(Баги!$D$5:$D$64,3,Баги!$E$5:$E$64,"Minor")*1</f>
        <v/>
      </c>
      <c r="H7" s="111">
        <f>IFERROR(B7/'Дорожная карта'!I8,"")</f>
        <v/>
      </c>
      <c r="I7" s="90">
        <f>COUNTIFS(Баги!$D$5:$D$64,3,Баги!$H$5:$H$64,"Да")</f>
        <v/>
      </c>
    </row>
    <row r="8">
      <c r="A8" s="63" t="inlineStr">
        <is>
          <t>Спринт 4</t>
        </is>
      </c>
      <c r="B8" s="64">
        <f>COUNTIF(Баги!$D$5:$D$64,4)</f>
        <v/>
      </c>
      <c r="C8" s="64">
        <f>COUNTIFS(Баги!$D$5:$D$64,4,Баги!$F$5:$F$64,"Закрыт")</f>
        <v/>
      </c>
      <c r="D8" s="64">
        <f>IF(B8="",D7,MAX(0,N(D7)+B8-C8))</f>
        <v/>
      </c>
      <c r="E8" s="35">
        <f>SUMIF(Баги!$D$5:$D$64,4,Баги!$G$5:$G$64)</f>
        <v/>
      </c>
      <c r="F8" s="36">
        <f>IF(E8="","",IFERROR(E8/'Дорожная карта'!F9,0))</f>
        <v/>
      </c>
      <c r="G8" s="90">
        <f>COUNTIFS(Баги!$D$5:$D$64,4,Баги!$E$5:$E$64,"Critical")*5+COUNTIFS(Баги!$D$5:$D$64,4,Баги!$E$5:$E$64,"Major")*3+COUNTIFS(Баги!$D$5:$D$64,4,Баги!$E$5:$E$64,"Minor")*1</f>
        <v/>
      </c>
      <c r="H8" s="111">
        <f>IFERROR(B8/'Дорожная карта'!I9,"")</f>
        <v/>
      </c>
      <c r="I8" s="90">
        <f>COUNTIFS(Баги!$D$5:$D$64,4,Баги!$H$5:$H$64,"Да")</f>
        <v/>
      </c>
    </row>
    <row r="9">
      <c r="A9" s="63" t="inlineStr">
        <is>
          <t>Спринт 5</t>
        </is>
      </c>
      <c r="B9" s="64">
        <f>COUNTIF(Баги!$D$5:$D$64,5)</f>
        <v/>
      </c>
      <c r="C9" s="64">
        <f>COUNTIFS(Баги!$D$5:$D$64,5,Баги!$F$5:$F$64,"Закрыт")</f>
        <v/>
      </c>
      <c r="D9" s="64">
        <f>IF(B9="",D8,MAX(0,N(D8)+B9-C9))</f>
        <v/>
      </c>
      <c r="E9" s="35">
        <f>SUMIF(Баги!$D$5:$D$64,5,Баги!$G$5:$G$64)</f>
        <v/>
      </c>
      <c r="F9" s="36">
        <f>IF(E9="","",IFERROR(E9/'Дорожная карта'!F10,0))</f>
        <v/>
      </c>
      <c r="G9" s="90">
        <f>COUNTIFS(Баги!$D$5:$D$64,5,Баги!$E$5:$E$64,"Critical")*5+COUNTIFS(Баги!$D$5:$D$64,5,Баги!$E$5:$E$64,"Major")*3+COUNTIFS(Баги!$D$5:$D$64,5,Баги!$E$5:$E$64,"Minor")*1</f>
        <v/>
      </c>
      <c r="H9" s="111">
        <f>IFERROR(B9/'Дорожная карта'!I10,"")</f>
        <v/>
      </c>
      <c r="I9" s="90">
        <f>COUNTIFS(Баги!$D$5:$D$64,5,Баги!$H$5:$H$64,"Да")</f>
        <v/>
      </c>
    </row>
    <row r="10">
      <c r="A10" s="63" t="inlineStr">
        <is>
          <t>Спринт 6</t>
        </is>
      </c>
      <c r="B10" s="64">
        <f>COUNTIF(Баги!$D$5:$D$64,6)</f>
        <v/>
      </c>
      <c r="C10" s="64">
        <f>COUNTIFS(Баги!$D$5:$D$64,6,Баги!$F$5:$F$64,"Закрыт")</f>
        <v/>
      </c>
      <c r="D10" s="64">
        <f>IF(B10="",D9,MAX(0,N(D9)+B10-C10))</f>
        <v/>
      </c>
      <c r="E10" s="35">
        <f>SUMIF(Баги!$D$5:$D$64,6,Баги!$G$5:$G$64)</f>
        <v/>
      </c>
      <c r="F10" s="36">
        <f>IF(E10="","",IFERROR(E10/'Дорожная карта'!F11,0))</f>
        <v/>
      </c>
      <c r="G10" s="90">
        <f>COUNTIFS(Баги!$D$5:$D$64,6,Баги!$E$5:$E$64,"Critical")*5+COUNTIFS(Баги!$D$5:$D$64,6,Баги!$E$5:$E$64,"Major")*3+COUNTIFS(Баги!$D$5:$D$64,6,Баги!$E$5:$E$64,"Minor")*1</f>
        <v/>
      </c>
      <c r="H10" s="111">
        <f>IFERROR(B10/'Дорожная карта'!I11,"")</f>
        <v/>
      </c>
      <c r="I10" s="90">
        <f>COUNTIFS(Баги!$D$5:$D$64,6,Баги!$H$5:$H$64,"Да")</f>
        <v/>
      </c>
    </row>
    <row r="11">
      <c r="A11" s="63" t="inlineStr">
        <is>
          <t>Спринт 7</t>
        </is>
      </c>
      <c r="B11" s="64">
        <f>COUNTIF(Баги!$D$5:$D$64,7)</f>
        <v/>
      </c>
      <c r="C11" s="64">
        <f>COUNTIFS(Баги!$D$5:$D$64,7,Баги!$F$5:$F$64,"Закрыт")</f>
        <v/>
      </c>
      <c r="D11" s="64">
        <f>IF(B11="",D10,MAX(0,N(D10)+B11-C11))</f>
        <v/>
      </c>
      <c r="E11" s="35">
        <f>SUMIF(Баги!$D$5:$D$64,7,Баги!$G$5:$G$64)</f>
        <v/>
      </c>
      <c r="F11" s="36">
        <f>IF(E11="","",IFERROR(E11/'Дорожная карта'!F12,0))</f>
        <v/>
      </c>
      <c r="G11" s="90">
        <f>COUNTIFS(Баги!$D$5:$D$64,7,Баги!$E$5:$E$64,"Critical")*5+COUNTIFS(Баги!$D$5:$D$64,7,Баги!$E$5:$E$64,"Major")*3+COUNTIFS(Баги!$D$5:$D$64,7,Баги!$E$5:$E$64,"Minor")*1</f>
        <v/>
      </c>
      <c r="H11" s="111">
        <f>IFERROR(B11/'Дорожная карта'!I12,"")</f>
        <v/>
      </c>
      <c r="I11" s="90">
        <f>COUNTIFS(Баги!$D$5:$D$64,7,Баги!$H$5:$H$64,"Да")</f>
        <v/>
      </c>
    </row>
    <row r="12">
      <c r="A12" s="63" t="inlineStr">
        <is>
          <t>Спринт 8</t>
        </is>
      </c>
      <c r="B12" s="64">
        <f>COUNTIF(Баги!$D$5:$D$64,8)</f>
        <v/>
      </c>
      <c r="C12" s="64">
        <f>COUNTIFS(Баги!$D$5:$D$64,8,Баги!$F$5:$F$64,"Закрыт")</f>
        <v/>
      </c>
      <c r="D12" s="64">
        <f>IF(B12="",D11,MAX(0,N(D11)+B12-C12))</f>
        <v/>
      </c>
      <c r="E12" s="35">
        <f>SUMIF(Баги!$D$5:$D$64,8,Баги!$G$5:$G$64)</f>
        <v/>
      </c>
      <c r="F12" s="36">
        <f>IF(E12="","",IFERROR(E12/'Дорожная карта'!F13,0))</f>
        <v/>
      </c>
      <c r="G12" s="90">
        <f>COUNTIFS(Баги!$D$5:$D$64,8,Баги!$E$5:$E$64,"Critical")*5+COUNTIFS(Баги!$D$5:$D$64,8,Баги!$E$5:$E$64,"Major")*3+COUNTIFS(Баги!$D$5:$D$64,8,Баги!$E$5:$E$64,"Minor")*1</f>
        <v/>
      </c>
      <c r="H12" s="111">
        <f>IFERROR(B12/'Дорожная карта'!I13,"")</f>
        <v/>
      </c>
      <c r="I12" s="90">
        <f>COUNTIFS(Баги!$D$5:$D$64,8,Баги!$H$5:$H$64,"Да")</f>
        <v/>
      </c>
    </row>
    <row r="13">
      <c r="A13" s="63" t="inlineStr">
        <is>
          <t>Спринт 9</t>
        </is>
      </c>
      <c r="B13" s="64">
        <f>COUNTIF(Баги!$D$5:$D$64,9)</f>
        <v/>
      </c>
      <c r="C13" s="64">
        <f>COUNTIFS(Баги!$D$5:$D$64,9,Баги!$F$5:$F$64,"Закрыт")</f>
        <v/>
      </c>
      <c r="D13" s="64">
        <f>IF(B13="",D12,MAX(0,N(D12)+B13-C13))</f>
        <v/>
      </c>
      <c r="E13" s="35">
        <f>SUMIF(Баги!$D$5:$D$64,9,Баги!$G$5:$G$64)</f>
        <v/>
      </c>
      <c r="F13" s="36">
        <f>IF(E13="","",IFERROR(E13/'Дорожная карта'!F14,0))</f>
        <v/>
      </c>
      <c r="G13" s="90">
        <f>COUNTIFS(Баги!$D$5:$D$64,9,Баги!$E$5:$E$64,"Critical")*5+COUNTIFS(Баги!$D$5:$D$64,9,Баги!$E$5:$E$64,"Major")*3+COUNTIFS(Баги!$D$5:$D$64,9,Баги!$E$5:$E$64,"Minor")*1</f>
        <v/>
      </c>
      <c r="H13" s="111">
        <f>IFERROR(B13/'Дорожная карта'!I14,"")</f>
        <v/>
      </c>
      <c r="I13" s="90">
        <f>COUNTIFS(Баги!$D$5:$D$64,9,Баги!$H$5:$H$64,"Да")</f>
        <v/>
      </c>
    </row>
    <row r="14">
      <c r="A14" s="63" t="inlineStr">
        <is>
          <t>Спринт 10</t>
        </is>
      </c>
      <c r="B14" s="64">
        <f>COUNTIF(Баги!$D$5:$D$64,10)</f>
        <v/>
      </c>
      <c r="C14" s="64">
        <f>COUNTIFS(Баги!$D$5:$D$64,10,Баги!$F$5:$F$64,"Закрыт")</f>
        <v/>
      </c>
      <c r="D14" s="64">
        <f>IF(B14="",D13,MAX(0,N(D13)+B14-C14))</f>
        <v/>
      </c>
      <c r="E14" s="35">
        <f>SUMIF(Баги!$D$5:$D$64,10,Баги!$G$5:$G$64)</f>
        <v/>
      </c>
      <c r="F14" s="36">
        <f>IF(E14="","",IFERROR(E14/'Дорожная карта'!F15,0))</f>
        <v/>
      </c>
      <c r="G14" s="90">
        <f>COUNTIFS(Баги!$D$5:$D$64,10,Баги!$E$5:$E$64,"Critical")*5+COUNTIFS(Баги!$D$5:$D$64,10,Баги!$E$5:$E$64,"Major")*3+COUNTIFS(Баги!$D$5:$D$64,10,Баги!$E$5:$E$64,"Minor")*1</f>
        <v/>
      </c>
      <c r="H14" s="111">
        <f>IFERROR(B14/'Дорожная карта'!I15,"")</f>
        <v/>
      </c>
      <c r="I14" s="90">
        <f>COUNTIFS(Баги!$D$5:$D$64,10,Баги!$H$5:$H$64,"Да")</f>
        <v/>
      </c>
    </row>
    <row r="15">
      <c r="A15" s="63" t="inlineStr">
        <is>
          <t>Спринт 11</t>
        </is>
      </c>
      <c r="B15" s="64">
        <f>COUNTIF(Баги!$D$5:$D$64,11)</f>
        <v/>
      </c>
      <c r="C15" s="64">
        <f>COUNTIFS(Баги!$D$5:$D$64,11,Баги!$F$5:$F$64,"Закрыт")</f>
        <v/>
      </c>
      <c r="D15" s="64">
        <f>IF(B15="",D14,MAX(0,N(D14)+B15-C15))</f>
        <v/>
      </c>
      <c r="E15" s="35">
        <f>SUMIF(Баги!$D$5:$D$64,11,Баги!$G$5:$G$64)</f>
        <v/>
      </c>
      <c r="F15" s="36">
        <f>IF(E15="","",IFERROR(E15/'Дорожная карта'!F16,0))</f>
        <v/>
      </c>
      <c r="G15" s="90">
        <f>COUNTIFS(Баги!$D$5:$D$64,11,Баги!$E$5:$E$64,"Critical")*5+COUNTIFS(Баги!$D$5:$D$64,11,Баги!$E$5:$E$64,"Major")*3+COUNTIFS(Баги!$D$5:$D$64,11,Баги!$E$5:$E$64,"Minor")*1</f>
        <v/>
      </c>
      <c r="H15" s="111">
        <f>IFERROR(B15/'Дорожная карта'!I16,"")</f>
        <v/>
      </c>
      <c r="I15" s="90">
        <f>COUNTIFS(Баги!$D$5:$D$64,11,Баги!$H$5:$H$64,"Да")</f>
        <v/>
      </c>
    </row>
    <row r="16">
      <c r="A16" s="53" t="inlineStr">
        <is>
          <t>ИТОГО</t>
        </is>
      </c>
      <c r="B16" s="53">
        <f>SUM(B5:B15)</f>
        <v/>
      </c>
      <c r="C16" s="53">
        <f>SUM(C5:C15)</f>
        <v/>
      </c>
      <c r="D16" s="65" t="n"/>
      <c r="E16" s="54">
        <f>SUM(E5:E15)</f>
        <v/>
      </c>
      <c r="F16" s="65" t="n"/>
    </row>
  </sheetData>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P64"/>
  <sheetViews>
    <sheetView showGridLines="0" topLeftCell="F1" workbookViewId="0">
      <pane ySplit="4" topLeftCell="A36" activePane="bottomLeft" state="frozen"/>
      <selection pane="bottomLeft" activeCell="K2" sqref="K2"/>
    </sheetView>
  </sheetViews>
  <sheetFormatPr baseColWidth="8" defaultRowHeight="14.4"/>
  <cols>
    <col width="8" customWidth="1" min="1" max="1"/>
    <col width="32" customWidth="1" min="2" max="2"/>
    <col width="10" customWidth="1" min="3" max="3"/>
    <col width="9" customWidth="1" min="4" max="4"/>
    <col width="12" customWidth="1" min="5" max="5"/>
    <col width="11" customWidth="1" min="6" max="7"/>
    <col width="18.109375" customWidth="1" min="8" max="8"/>
    <col width="14" customWidth="1" min="9" max="9"/>
    <col width="8" customWidth="1" min="10" max="11"/>
    <col width="9" customWidth="1" min="12" max="13"/>
    <col width="11" customWidth="1" min="14" max="14"/>
    <col width="10" customWidth="1" min="15" max="15"/>
    <col hidden="1" width="13" customWidth="1" min="16" max="16"/>
  </cols>
  <sheetData>
    <row r="1" ht="15.6" customHeight="1">
      <c r="A1" s="58" t="inlineStr">
        <is>
          <t>Реестр багов (связь с задачами)</t>
        </is>
      </c>
    </row>
    <row r="2">
      <c r="A2" s="38" t="inlineStr">
        <is>
          <t>Каждый баг привязан к задаче из «Бэклога» и спринту. Лист «Качество» считает метрики автоматически из этого реестра.</t>
        </is>
      </c>
    </row>
    <row r="4" ht="27.6" customHeight="1">
      <c r="A4" s="39" t="inlineStr">
        <is>
          <t>ID</t>
        </is>
      </c>
      <c r="B4" s="39" t="inlineStr">
        <is>
          <t>Описание</t>
        </is>
      </c>
      <c r="C4" s="39" t="inlineStr">
        <is>
          <t>Задача</t>
        </is>
      </c>
      <c r="D4" s="39" t="inlineStr">
        <is>
          <t>Спринт</t>
        </is>
      </c>
      <c r="E4" s="39" t="inlineStr">
        <is>
          <t>Серьёзность</t>
        </is>
      </c>
      <c r="F4" s="39" t="inlineStr">
        <is>
          <t>Статус</t>
        </is>
      </c>
      <c r="G4" s="39" t="inlineStr">
        <is>
          <t>Время (дн)</t>
        </is>
      </c>
      <c r="H4" s="92" t="inlineStr">
        <is>
          <t>Переоткрывался</t>
        </is>
      </c>
      <c r="I4" s="161" t="inlineStr">
        <is>
          <t>Причина</t>
        </is>
      </c>
      <c r="J4" s="142" t="inlineStr">
        <is>
          <t>Сводка по багам (по спринтам)</t>
        </is>
      </c>
    </row>
    <row r="5" ht="27.6" customHeight="1">
      <c r="A5" s="50" t="inlineStr">
        <is>
          <t>B-01</t>
        </is>
      </c>
      <c r="B5" s="57" t="inlineStr">
        <is>
          <t>Ошибка валидации email</t>
        </is>
      </c>
      <c r="C5" s="50" t="inlineStr">
        <is>
          <t>T-01</t>
        </is>
      </c>
      <c r="D5" s="33" t="n">
        <v>1</v>
      </c>
      <c r="E5" s="50" t="inlineStr">
        <is>
          <t>Major</t>
        </is>
      </c>
      <c r="F5" s="50" t="inlineStr">
        <is>
          <t>Закрыт</t>
        </is>
      </c>
      <c r="G5" s="71" t="n">
        <v>0.5</v>
      </c>
      <c r="H5" s="109" t="inlineStr">
        <is>
          <t>Нет</t>
        </is>
      </c>
      <c r="I5" s="175" t="inlineStr">
        <is>
          <t>Интеграция</t>
        </is>
      </c>
      <c r="J5" s="143" t="inlineStr">
        <is>
          <t>Спринт</t>
        </is>
      </c>
      <c r="K5" s="143" t="inlineStr">
        <is>
          <t>Всего</t>
        </is>
      </c>
      <c r="L5" s="143" t="inlineStr">
        <is>
          <t>Закрыто</t>
        </is>
      </c>
      <c r="M5" s="143" t="inlineStr">
        <is>
          <t>Открыто</t>
        </is>
      </c>
      <c r="N5" s="143" t="inlineStr">
        <is>
          <t>% закрытых</t>
        </is>
      </c>
      <c r="O5" s="143" t="inlineStr">
        <is>
          <t>% от всех</t>
        </is>
      </c>
    </row>
    <row r="6">
      <c r="A6" s="50" t="inlineStr">
        <is>
          <t>B-02</t>
        </is>
      </c>
      <c r="B6" s="57" t="inlineStr">
        <is>
          <t>Падение при пустой корзине</t>
        </is>
      </c>
      <c r="C6" s="50" t="inlineStr">
        <is>
          <t>T-02</t>
        </is>
      </c>
      <c r="D6" s="33" t="n">
        <v>1</v>
      </c>
      <c r="E6" s="50" t="inlineStr">
        <is>
          <t>Critical</t>
        </is>
      </c>
      <c r="F6" s="50" t="inlineStr">
        <is>
          <t>Закрыт</t>
        </is>
      </c>
      <c r="G6" s="71" t="n">
        <v>0.5</v>
      </c>
      <c r="H6" s="109" t="inlineStr">
        <is>
          <t>Нет</t>
        </is>
      </c>
      <c r="I6" s="175" t="inlineStr">
        <is>
          <t>Код</t>
        </is>
      </c>
      <c r="J6" s="144" t="n">
        <v>1</v>
      </c>
      <c r="K6" s="144">
        <f>COUNTIF($D$5:$D$64,J6)</f>
        <v/>
      </c>
      <c r="L6" s="144">
        <f>COUNTIFS($D$5:$D$64,J6,$F$5:$F$64,"Закрыт")</f>
        <v/>
      </c>
      <c r="M6" s="144">
        <f>K6-L6</f>
        <v/>
      </c>
      <c r="N6" s="145">
        <f>IFERROR(L6/K6,"")</f>
        <v/>
      </c>
      <c r="O6" s="145">
        <f>IFERROR(K6/$K$17,0)</f>
        <v/>
      </c>
      <c r="P6">
        <f>IF(K6=0,NA(),K6)</f>
        <v/>
      </c>
    </row>
    <row r="7">
      <c r="A7" s="50" t="inlineStr">
        <is>
          <t>B-03</t>
        </is>
      </c>
      <c r="B7" s="57" t="inlineStr">
        <is>
          <t>Неверный расчёт скидки</t>
        </is>
      </c>
      <c r="C7" s="50" t="inlineStr">
        <is>
          <t>T-01</t>
        </is>
      </c>
      <c r="D7" s="33" t="n">
        <v>1</v>
      </c>
      <c r="E7" s="50" t="inlineStr">
        <is>
          <t>Major</t>
        </is>
      </c>
      <c r="F7" s="50" t="inlineStr">
        <is>
          <t>Закрыт</t>
        </is>
      </c>
      <c r="G7" s="71" t="n">
        <v>0.5</v>
      </c>
      <c r="H7" s="109" t="inlineStr">
        <is>
          <t>Нет</t>
        </is>
      </c>
      <c r="I7" s="175" t="inlineStr">
        <is>
          <t>Требования</t>
        </is>
      </c>
      <c r="J7" s="144" t="n">
        <v>2</v>
      </c>
      <c r="K7" s="144">
        <f>COUNTIF($D$5:$D$64,J7)</f>
        <v/>
      </c>
      <c r="L7" s="144">
        <f>COUNTIFS($D$5:$D$64,J7,$F$5:$F$64,"Закрыт")</f>
        <v/>
      </c>
      <c r="M7" s="144">
        <f>K7-L7</f>
        <v/>
      </c>
      <c r="N7" s="145">
        <f>IFERROR(L7/K7,"")</f>
        <v/>
      </c>
      <c r="O7" s="145">
        <f>IFERROR(K7/$K$17,0)</f>
        <v/>
      </c>
      <c r="P7">
        <f>IF(K7=0,NA(),K7)</f>
        <v/>
      </c>
    </row>
    <row r="8" ht="27.6" customHeight="1">
      <c r="A8" s="50" t="inlineStr">
        <is>
          <t>B-04</t>
        </is>
      </c>
      <c r="B8" s="57" t="inlineStr">
        <is>
          <t>Съезжает вёрстка на мобильном</t>
        </is>
      </c>
      <c r="C8" s="50" t="inlineStr">
        <is>
          <t>T-02</t>
        </is>
      </c>
      <c r="D8" s="33" t="n">
        <v>1</v>
      </c>
      <c r="E8" s="50" t="inlineStr">
        <is>
          <t>Minor</t>
        </is>
      </c>
      <c r="F8" s="50" t="inlineStr">
        <is>
          <t>Закрыт</t>
        </is>
      </c>
      <c r="G8" s="71" t="n">
        <v>0.3</v>
      </c>
      <c r="H8" s="109" t="inlineStr">
        <is>
          <t>Нет</t>
        </is>
      </c>
      <c r="I8" s="175" t="inlineStr">
        <is>
          <t>Тестирование</t>
        </is>
      </c>
      <c r="J8" s="144" t="n">
        <v>3</v>
      </c>
      <c r="K8" s="144">
        <f>COUNTIF($D$5:$D$64,J8)</f>
        <v/>
      </c>
      <c r="L8" s="144">
        <f>COUNTIFS($D$5:$D$64,J8,$F$5:$F$64,"Закрыт")</f>
        <v/>
      </c>
      <c r="M8" s="144">
        <f>K8-L8</f>
        <v/>
      </c>
      <c r="N8" s="145">
        <f>IFERROR(L8/K8,"")</f>
        <v/>
      </c>
      <c r="O8" s="145">
        <f>IFERROR(K8/$K$17,0)</f>
        <v/>
      </c>
      <c r="P8">
        <f>IF(K8=0,NA(),K8)</f>
        <v/>
      </c>
    </row>
    <row r="9">
      <c r="A9" s="50" t="inlineStr">
        <is>
          <t>B-05</t>
        </is>
      </c>
      <c r="B9" s="57" t="inlineStr">
        <is>
          <t>Таймаут платежа</t>
        </is>
      </c>
      <c r="C9" s="50" t="inlineStr">
        <is>
          <t>T-03</t>
        </is>
      </c>
      <c r="D9" s="33" t="n">
        <v>1</v>
      </c>
      <c r="E9" s="50" t="inlineStr">
        <is>
          <t>Major</t>
        </is>
      </c>
      <c r="F9" s="50" t="inlineStr">
        <is>
          <t>Открыт</t>
        </is>
      </c>
      <c r="G9" s="71" t="n">
        <v>0.2</v>
      </c>
      <c r="H9" s="109" t="inlineStr">
        <is>
          <t>Нет</t>
        </is>
      </c>
      <c r="I9" s="175" t="inlineStr">
        <is>
          <t>Интеграция</t>
        </is>
      </c>
      <c r="J9" s="144" t="n">
        <v>4</v>
      </c>
      <c r="K9" s="144">
        <f>COUNTIF($D$5:$D$64,J9)</f>
        <v/>
      </c>
      <c r="L9" s="144">
        <f>COUNTIFS($D$5:$D$64,J9,$F$5:$F$64,"Закрыт")</f>
        <v/>
      </c>
      <c r="M9" s="144">
        <f>K9-L9</f>
        <v/>
      </c>
      <c r="N9" s="145">
        <f>IFERROR(L9/K9,"")</f>
        <v/>
      </c>
      <c r="O9" s="145">
        <f>IFERROR(K9/$K$17,0)</f>
        <v/>
      </c>
      <c r="P9">
        <f>IF(K9=0,NA(),K9)</f>
        <v/>
      </c>
    </row>
    <row r="10">
      <c r="A10" s="50" t="inlineStr">
        <is>
          <t>B-06</t>
        </is>
      </c>
      <c r="B10" s="57" t="inlineStr">
        <is>
          <t>Дубли заказов</t>
        </is>
      </c>
      <c r="C10" s="50" t="inlineStr">
        <is>
          <t>T-03</t>
        </is>
      </c>
      <c r="D10" s="33" t="n">
        <v>2</v>
      </c>
      <c r="E10" s="50" t="inlineStr">
        <is>
          <t>Critical</t>
        </is>
      </c>
      <c r="F10" s="50" t="inlineStr">
        <is>
          <t>Закрыт</t>
        </is>
      </c>
      <c r="G10" s="71" t="n">
        <v>0.4</v>
      </c>
      <c r="H10" s="109" t="inlineStr">
        <is>
          <t>Да</t>
        </is>
      </c>
      <c r="I10" s="175" t="inlineStr">
        <is>
          <t>Код</t>
        </is>
      </c>
      <c r="J10" s="144" t="n">
        <v>5</v>
      </c>
      <c r="K10" s="144">
        <f>COUNTIF($D$5:$D$64,J10)</f>
        <v/>
      </c>
      <c r="L10" s="144">
        <f>COUNTIFS($D$5:$D$64,J10,$F$5:$F$64,"Закрыт")</f>
        <v/>
      </c>
      <c r="M10" s="144">
        <f>K10-L10</f>
        <v/>
      </c>
      <c r="N10" s="145">
        <f>IFERROR(L10/K10,"")</f>
        <v/>
      </c>
      <c r="O10" s="145">
        <f>IFERROR(K10/$K$17,0)</f>
        <v/>
      </c>
      <c r="P10">
        <f>IF(K10=0,NA(),K10)</f>
        <v/>
      </c>
    </row>
    <row r="11" ht="27.6" customHeight="1">
      <c r="A11" s="50" t="inlineStr">
        <is>
          <t>B-07</t>
        </is>
      </c>
      <c r="B11" s="57" t="inlineStr">
        <is>
          <t>Не приходит письмо-подтверждение</t>
        </is>
      </c>
      <c r="C11" s="50" t="inlineStr">
        <is>
          <t>T-08</t>
        </is>
      </c>
      <c r="D11" s="33" t="n">
        <v>2</v>
      </c>
      <c r="E11" s="50" t="inlineStr">
        <is>
          <t>Major</t>
        </is>
      </c>
      <c r="F11" s="50" t="inlineStr">
        <is>
          <t>Закрыт</t>
        </is>
      </c>
      <c r="G11" s="71" t="n">
        <v>0.3</v>
      </c>
      <c r="H11" s="109" t="inlineStr">
        <is>
          <t>Нет</t>
        </is>
      </c>
      <c r="I11" s="175" t="inlineStr">
        <is>
          <t>Требования</t>
        </is>
      </c>
      <c r="J11" s="144" t="n">
        <v>6</v>
      </c>
      <c r="K11" s="144">
        <f>COUNTIF($D$5:$D$64,J11)</f>
        <v/>
      </c>
      <c r="L11" s="144">
        <f>COUNTIFS($D$5:$D$64,J11,$F$5:$F$64,"Закрыт")</f>
        <v/>
      </c>
      <c r="M11" s="144">
        <f>K11-L11</f>
        <v/>
      </c>
      <c r="N11" s="145">
        <f>IFERROR(L11/K11,"")</f>
        <v/>
      </c>
      <c r="O11" s="145">
        <f>IFERROR(K11/$K$17,0)</f>
        <v/>
      </c>
      <c r="P11">
        <f>IF(K11=0,NA(),K11)</f>
        <v/>
      </c>
    </row>
    <row r="12">
      <c r="A12" s="50" t="inlineStr">
        <is>
          <t>B-08</t>
        </is>
      </c>
      <c r="B12" s="57" t="inlineStr">
        <is>
          <t>Ошибка 500 при оплате</t>
        </is>
      </c>
      <c r="C12" s="50" t="inlineStr">
        <is>
          <t>T-03</t>
        </is>
      </c>
      <c r="D12" s="33" t="n">
        <v>2</v>
      </c>
      <c r="E12" s="50" t="inlineStr">
        <is>
          <t>Critical</t>
        </is>
      </c>
      <c r="F12" s="50" t="inlineStr">
        <is>
          <t>Закрыт</t>
        </is>
      </c>
      <c r="G12" s="71" t="n">
        <v>0.3</v>
      </c>
      <c r="H12" s="109" t="inlineStr">
        <is>
          <t>Нет</t>
        </is>
      </c>
      <c r="I12" s="175" t="inlineStr">
        <is>
          <t>Интеграция</t>
        </is>
      </c>
      <c r="J12" s="144" t="n">
        <v>7</v>
      </c>
      <c r="K12" s="144">
        <f>COUNTIF($D$5:$D$64,J12)</f>
        <v/>
      </c>
      <c r="L12" s="144">
        <f>COUNTIFS($D$5:$D$64,J12,$F$5:$F$64,"Закрыт")</f>
        <v/>
      </c>
      <c r="M12" s="144">
        <f>K12-L12</f>
        <v/>
      </c>
      <c r="N12" s="145">
        <f>IFERROR(L12/K12,"")</f>
        <v/>
      </c>
      <c r="O12" s="145">
        <f>IFERROR(K12/$K$17,0)</f>
        <v/>
      </c>
      <c r="P12">
        <f>IF(K12=0,NA(),K12)</f>
        <v/>
      </c>
    </row>
    <row r="13">
      <c r="A13" s="50" t="inlineStr">
        <is>
          <t>B-09</t>
        </is>
      </c>
      <c r="B13" s="57" t="inlineStr">
        <is>
          <t>Неверный НДС в чеке</t>
        </is>
      </c>
      <c r="C13" s="50" t="inlineStr">
        <is>
          <t>T-06</t>
        </is>
      </c>
      <c r="D13" s="33" t="n">
        <v>2</v>
      </c>
      <c r="E13" s="50" t="inlineStr">
        <is>
          <t>Major</t>
        </is>
      </c>
      <c r="F13" s="50" t="inlineStr">
        <is>
          <t>Закрыт</t>
        </is>
      </c>
      <c r="G13" s="71" t="n">
        <v>0.2</v>
      </c>
      <c r="H13" s="109" t="inlineStr">
        <is>
          <t>Нет</t>
        </is>
      </c>
      <c r="I13" s="175" t="inlineStr">
        <is>
          <t>Данные</t>
        </is>
      </c>
      <c r="J13" s="144" t="n">
        <v>8</v>
      </c>
      <c r="K13" s="144">
        <f>COUNTIF($D$5:$D$64,J13)</f>
        <v/>
      </c>
      <c r="L13" s="144">
        <f>COUNTIFS($D$5:$D$64,J13,$F$5:$F$64,"Закрыт")</f>
        <v/>
      </c>
      <c r="M13" s="144">
        <f>K13-L13</f>
        <v/>
      </c>
      <c r="N13" s="145">
        <f>IFERROR(L13/K13,"")</f>
        <v/>
      </c>
      <c r="O13" s="145">
        <f>IFERROR(K13/$K$17,0)</f>
        <v/>
      </c>
      <c r="P13">
        <f>IF(K13=0,NA(),K13)</f>
        <v/>
      </c>
    </row>
    <row r="14">
      <c r="A14" s="50" t="inlineStr">
        <is>
          <t>B-10</t>
        </is>
      </c>
      <c r="B14" s="57" t="inlineStr">
        <is>
          <t>Кнопка оформления неактивна</t>
        </is>
      </c>
      <c r="C14" s="50" t="inlineStr">
        <is>
          <t>T-02</t>
        </is>
      </c>
      <c r="D14" s="33" t="n">
        <v>2</v>
      </c>
      <c r="E14" s="50" t="inlineStr">
        <is>
          <t>Minor</t>
        </is>
      </c>
      <c r="F14" s="50" t="inlineStr">
        <is>
          <t>Закрыт</t>
        </is>
      </c>
      <c r="G14" s="71" t="n">
        <v>0.1</v>
      </c>
      <c r="H14" s="109" t="inlineStr">
        <is>
          <t>Нет</t>
        </is>
      </c>
      <c r="I14" s="175" t="inlineStr">
        <is>
          <t>Код</t>
        </is>
      </c>
      <c r="J14" s="144" t="n">
        <v>9</v>
      </c>
      <c r="K14" s="144">
        <f>COUNTIF($D$5:$D$64,J14)</f>
        <v/>
      </c>
      <c r="L14" s="144">
        <f>COUNTIFS($D$5:$D$64,J14,$F$5:$F$64,"Закрыт")</f>
        <v/>
      </c>
      <c r="M14" s="144">
        <f>K14-L14</f>
        <v/>
      </c>
      <c r="N14" s="145">
        <f>IFERROR(L14/K14,"")</f>
        <v/>
      </c>
      <c r="O14" s="145">
        <f>IFERROR(K14/$K$17,0)</f>
        <v/>
      </c>
      <c r="P14">
        <f>IF(K14=0,NA(),K14)</f>
        <v/>
      </c>
    </row>
    <row r="15">
      <c r="A15" s="50" t="inlineStr">
        <is>
          <t>B-11</t>
        </is>
      </c>
      <c r="B15" s="57" t="inlineStr">
        <is>
          <t>Переполнение логов</t>
        </is>
      </c>
      <c r="C15" s="50" t="inlineStr">
        <is>
          <t>T-05</t>
        </is>
      </c>
      <c r="D15" s="33" t="n">
        <v>2</v>
      </c>
      <c r="E15" s="50" t="inlineStr">
        <is>
          <t>Minor</t>
        </is>
      </c>
      <c r="F15" s="50" t="inlineStr">
        <is>
          <t>Закрыт</t>
        </is>
      </c>
      <c r="G15" s="71" t="n">
        <v>0.2</v>
      </c>
      <c r="H15" s="109" t="inlineStr">
        <is>
          <t>Нет</t>
        </is>
      </c>
      <c r="I15" s="175" t="inlineStr">
        <is>
          <t>Требования</t>
        </is>
      </c>
      <c r="J15" s="144" t="n">
        <v>10</v>
      </c>
      <c r="K15" s="144">
        <f>COUNTIF($D$5:$D$64,J15)</f>
        <v/>
      </c>
      <c r="L15" s="144">
        <f>COUNTIFS($D$5:$D$64,J15,$F$5:$F$64,"Закрыт")</f>
        <v/>
      </c>
      <c r="M15" s="144">
        <f>K15-L15</f>
        <v/>
      </c>
      <c r="N15" s="145">
        <f>IFERROR(L15/K15,"")</f>
        <v/>
      </c>
      <c r="O15" s="145">
        <f>IFERROR(K15/$K$17,0)</f>
        <v/>
      </c>
      <c r="P15">
        <f>IF(K15=0,NA(),K15)</f>
        <v/>
      </c>
    </row>
    <row r="16" ht="27.6" customHeight="1">
      <c r="A16" s="50" t="inlineStr">
        <is>
          <t>B-12</t>
        </is>
      </c>
      <c r="B16" s="57" t="inlineStr">
        <is>
          <t>Медленный поиск заказов</t>
        </is>
      </c>
      <c r="C16" s="50" t="inlineStr">
        <is>
          <t>T-04</t>
        </is>
      </c>
      <c r="D16" s="33" t="n">
        <v>3</v>
      </c>
      <c r="E16" s="50" t="inlineStr">
        <is>
          <t>Major</t>
        </is>
      </c>
      <c r="F16" s="50" t="inlineStr">
        <is>
          <t>Открыт</t>
        </is>
      </c>
      <c r="G16" s="71" t="n">
        <v>0</v>
      </c>
      <c r="H16" s="109" t="inlineStr">
        <is>
          <t>Нет</t>
        </is>
      </c>
      <c r="I16" s="175" t="inlineStr">
        <is>
          <t>Тестирование</t>
        </is>
      </c>
      <c r="J16" s="144" t="n">
        <v>11</v>
      </c>
      <c r="K16" s="144">
        <f>COUNTIF($D$5:$D$64,J16)</f>
        <v/>
      </c>
      <c r="L16" s="144">
        <f>COUNTIFS($D$5:$D$64,J16,$F$5:$F$64,"Закрыт")</f>
        <v/>
      </c>
      <c r="M16" s="144">
        <f>K16-L16</f>
        <v/>
      </c>
      <c r="N16" s="145">
        <f>IFERROR(L16/K16,"")</f>
        <v/>
      </c>
      <c r="O16" s="145">
        <f>IFERROR(K16/$K$17,0)</f>
        <v/>
      </c>
      <c r="P16">
        <f>IF(K16=0,NA(),K16)</f>
        <v/>
      </c>
    </row>
    <row r="17">
      <c r="A17" s="50" t="inlineStr">
        <is>
          <t>B-13</t>
        </is>
      </c>
      <c r="B17" s="57" t="inlineStr">
        <is>
          <t>Падает экспорт отчёта</t>
        </is>
      </c>
      <c r="C17" s="50" t="inlineStr">
        <is>
          <t>T-07</t>
        </is>
      </c>
      <c r="D17" s="33" t="n">
        <v>3</v>
      </c>
      <c r="E17" s="50" t="inlineStr">
        <is>
          <t>Minor</t>
        </is>
      </c>
      <c r="F17" s="50" t="inlineStr">
        <is>
          <t>Открыт</t>
        </is>
      </c>
      <c r="G17" s="71" t="n">
        <v>0</v>
      </c>
      <c r="H17" s="109" t="inlineStr">
        <is>
          <t>Нет</t>
        </is>
      </c>
      <c r="I17" s="175" t="inlineStr">
        <is>
          <t>Интеграция</t>
        </is>
      </c>
      <c r="J17" s="146" t="inlineStr">
        <is>
          <t>ИТОГО</t>
        </is>
      </c>
      <c r="K17" s="146">
        <f>SUM(K6:K16)</f>
        <v/>
      </c>
      <c r="L17" s="146">
        <f>SUM(L6:L16)</f>
        <v/>
      </c>
      <c r="M17" s="146">
        <f>SUM(M6:M16)</f>
        <v/>
      </c>
      <c r="N17" s="147">
        <f>IFERROR(L17/K17,0)</f>
        <v/>
      </c>
      <c r="O17" s="147">
        <f>IFERROR(K17/K17,0)</f>
        <v/>
      </c>
    </row>
    <row r="18">
      <c r="A18" s="50" t="n"/>
      <c r="B18" s="57" t="n"/>
      <c r="C18" s="50" t="n"/>
      <c r="D18" s="33" t="n"/>
      <c r="E18" s="50" t="n"/>
      <c r="F18" s="50" t="n"/>
      <c r="G18" s="71" t="n"/>
      <c r="H18" s="109" t="n"/>
      <c r="I18" s="185" t="n"/>
    </row>
    <row r="19">
      <c r="A19" s="50" t="n"/>
      <c r="B19" s="57" t="n"/>
      <c r="C19" s="50" t="n"/>
      <c r="D19" s="33" t="n"/>
      <c r="E19" s="50" t="n"/>
      <c r="F19" s="50" t="n"/>
      <c r="G19" s="71" t="n"/>
      <c r="H19" s="109" t="n"/>
      <c r="I19" s="185" t="n"/>
      <c r="J19" s="14" t="inlineStr">
        <is>
          <t>Всего багов:</t>
        </is>
      </c>
      <c r="L19" s="148">
        <f>K17</f>
        <v/>
      </c>
    </row>
    <row r="20">
      <c r="A20" s="50" t="n"/>
      <c r="B20" s="57" t="n"/>
      <c r="C20" s="50" t="n"/>
      <c r="D20" s="33" t="n"/>
      <c r="E20" s="50" t="n"/>
      <c r="F20" s="50" t="n"/>
      <c r="G20" s="71" t="n"/>
      <c r="H20" s="109" t="n"/>
      <c r="I20" s="185" t="n"/>
      <c r="J20" s="14" t="inlineStr">
        <is>
          <t>% закрытых (всего):</t>
        </is>
      </c>
      <c r="L20" s="149">
        <f>IFERROR(L17/K17,0)</f>
        <v/>
      </c>
    </row>
    <row r="21">
      <c r="A21" s="50" t="n"/>
      <c r="B21" s="57" t="n"/>
      <c r="C21" s="50" t="n"/>
      <c r="D21" s="33" t="n"/>
      <c r="E21" s="50" t="n"/>
      <c r="F21" s="50" t="n"/>
      <c r="G21" s="71" t="n"/>
      <c r="H21" s="109" t="n"/>
      <c r="I21" s="185" t="n"/>
    </row>
    <row r="22">
      <c r="A22" s="50" t="n"/>
      <c r="B22" s="57" t="n"/>
      <c r="C22" s="50" t="n"/>
      <c r="D22" s="33" t="n"/>
      <c r="E22" s="50" t="n"/>
      <c r="F22" s="50" t="n"/>
      <c r="G22" s="71" t="n"/>
      <c r="H22" s="109" t="n"/>
      <c r="I22" s="185" t="n"/>
    </row>
    <row r="23">
      <c r="A23" s="50" t="n"/>
      <c r="B23" s="57" t="n"/>
      <c r="C23" s="50" t="n"/>
      <c r="D23" s="33" t="n"/>
      <c r="E23" s="50" t="n"/>
      <c r="F23" s="50" t="n"/>
      <c r="G23" s="71" t="n"/>
      <c r="H23" s="109" t="n"/>
      <c r="I23" s="185" t="n"/>
    </row>
    <row r="24">
      <c r="A24" s="50" t="n"/>
      <c r="B24" s="57" t="n"/>
      <c r="C24" s="50" t="n"/>
      <c r="D24" s="33" t="n"/>
      <c r="E24" s="50" t="n"/>
      <c r="F24" s="50" t="n"/>
      <c r="G24" s="71" t="n"/>
      <c r="H24" s="109" t="n"/>
      <c r="I24" s="185" t="n"/>
    </row>
    <row r="25">
      <c r="A25" s="50" t="n"/>
      <c r="B25" s="57" t="n"/>
      <c r="C25" s="50" t="n"/>
      <c r="D25" s="33" t="n"/>
      <c r="E25" s="50" t="n"/>
      <c r="F25" s="50" t="n"/>
      <c r="G25" s="71" t="n"/>
      <c r="H25" s="109" t="n"/>
      <c r="I25" s="185" t="n"/>
    </row>
    <row r="26">
      <c r="A26" s="50" t="n"/>
      <c r="B26" s="57" t="n"/>
      <c r="C26" s="50" t="n"/>
      <c r="D26" s="33" t="n"/>
      <c r="E26" s="50" t="n"/>
      <c r="F26" s="50" t="n"/>
      <c r="G26" s="71" t="n"/>
      <c r="H26" s="109" t="n"/>
      <c r="I26" s="185" t="n"/>
    </row>
    <row r="27">
      <c r="A27" s="50" t="n"/>
      <c r="B27" s="57" t="n"/>
      <c r="C27" s="50" t="n"/>
      <c r="D27" s="33" t="n"/>
      <c r="E27" s="50" t="n"/>
      <c r="F27" s="50" t="n"/>
      <c r="G27" s="71" t="n"/>
      <c r="H27" s="109" t="n"/>
      <c r="I27" s="185" t="n"/>
    </row>
    <row r="28">
      <c r="A28" s="50" t="n"/>
      <c r="B28" s="57" t="n"/>
      <c r="C28" s="50" t="n"/>
      <c r="D28" s="33" t="n"/>
      <c r="E28" s="50" t="n"/>
      <c r="F28" s="50" t="n"/>
      <c r="G28" s="71" t="n"/>
      <c r="H28" s="109" t="n"/>
      <c r="I28" s="185" t="n"/>
    </row>
    <row r="29">
      <c r="A29" s="50" t="n"/>
      <c r="B29" s="57" t="n"/>
      <c r="C29" s="50" t="n"/>
      <c r="D29" s="33" t="n"/>
      <c r="E29" s="50" t="n"/>
      <c r="F29" s="50" t="n"/>
      <c r="G29" s="71" t="n"/>
      <c r="H29" s="109" t="n"/>
      <c r="I29" s="185" t="n"/>
    </row>
    <row r="30">
      <c r="A30" s="50" t="n"/>
      <c r="B30" s="57" t="n"/>
      <c r="C30" s="50" t="n"/>
      <c r="D30" s="33" t="n"/>
      <c r="E30" s="50" t="n"/>
      <c r="F30" s="50" t="n"/>
      <c r="G30" s="71" t="n"/>
      <c r="H30" s="109" t="n"/>
      <c r="I30" s="185" t="n"/>
    </row>
    <row r="31">
      <c r="A31" s="50" t="n"/>
      <c r="B31" s="57" t="n"/>
      <c r="C31" s="50" t="n"/>
      <c r="D31" s="33" t="n"/>
      <c r="E31" s="50" t="n"/>
      <c r="F31" s="50" t="n"/>
      <c r="G31" s="71" t="n"/>
      <c r="H31" s="109" t="n"/>
      <c r="I31" s="185" t="n"/>
    </row>
    <row r="32">
      <c r="A32" s="50" t="n"/>
      <c r="B32" s="57" t="n"/>
      <c r="C32" s="50" t="n"/>
      <c r="D32" s="33" t="n"/>
      <c r="E32" s="50" t="n"/>
      <c r="F32" s="50" t="n"/>
      <c r="G32" s="71" t="n"/>
      <c r="H32" s="109" t="n"/>
      <c r="I32" s="185" t="n"/>
    </row>
    <row r="33">
      <c r="A33" s="50" t="n"/>
      <c r="B33" s="57" t="n"/>
      <c r="C33" s="50" t="n"/>
      <c r="D33" s="33" t="n"/>
      <c r="E33" s="50" t="n"/>
      <c r="F33" s="50" t="n"/>
      <c r="G33" s="71" t="n"/>
      <c r="H33" s="109" t="n"/>
      <c r="I33" s="185" t="n"/>
    </row>
    <row r="34">
      <c r="A34" s="50" t="n"/>
      <c r="B34" s="57" t="n"/>
      <c r="C34" s="50" t="n"/>
      <c r="D34" s="33" t="n"/>
      <c r="E34" s="50" t="n"/>
      <c r="F34" s="50" t="n"/>
      <c r="G34" s="71" t="n"/>
      <c r="H34" s="109" t="n"/>
      <c r="I34" s="185" t="n"/>
    </row>
    <row r="35">
      <c r="A35" s="50" t="n"/>
      <c r="B35" s="57" t="n"/>
      <c r="C35" s="50" t="n"/>
      <c r="D35" s="33" t="n"/>
      <c r="E35" s="50" t="n"/>
      <c r="F35" s="50" t="n"/>
      <c r="G35" s="71" t="n"/>
      <c r="H35" s="109" t="n"/>
      <c r="I35" s="185" t="n"/>
    </row>
    <row r="36">
      <c r="A36" s="50" t="n"/>
      <c r="B36" s="57" t="n"/>
      <c r="C36" s="50" t="n"/>
      <c r="D36" s="33" t="n"/>
      <c r="E36" s="50" t="n"/>
      <c r="F36" s="50" t="n"/>
      <c r="G36" s="71" t="n"/>
      <c r="H36" s="109" t="n"/>
      <c r="I36" s="185" t="n"/>
    </row>
    <row r="37">
      <c r="A37" s="50" t="n"/>
      <c r="B37" s="57" t="n"/>
      <c r="C37" s="50" t="n"/>
      <c r="D37" s="33" t="n"/>
      <c r="E37" s="50" t="n"/>
      <c r="F37" s="50" t="n"/>
      <c r="G37" s="71" t="n"/>
      <c r="H37" s="109" t="n"/>
      <c r="I37" s="185" t="n"/>
    </row>
    <row r="38">
      <c r="A38" s="50" t="n"/>
      <c r="B38" s="57" t="n"/>
      <c r="C38" s="50" t="n"/>
      <c r="D38" s="33" t="n"/>
      <c r="E38" s="50" t="n"/>
      <c r="F38" s="50" t="n"/>
      <c r="G38" s="71" t="n"/>
      <c r="H38" s="109" t="n"/>
      <c r="I38" s="185" t="n"/>
    </row>
    <row r="39">
      <c r="A39" s="50" t="n"/>
      <c r="B39" s="57" t="n"/>
      <c r="C39" s="50" t="n"/>
      <c r="D39" s="33" t="n"/>
      <c r="E39" s="50" t="n"/>
      <c r="F39" s="50" t="n"/>
      <c r="G39" s="71" t="n"/>
      <c r="H39" s="109" t="n"/>
      <c r="I39" s="185" t="n"/>
    </row>
    <row r="40">
      <c r="A40" s="50" t="n"/>
      <c r="B40" s="57" t="n"/>
      <c r="C40" s="50" t="n"/>
      <c r="D40" s="33" t="n"/>
      <c r="E40" s="50" t="n"/>
      <c r="F40" s="50" t="n"/>
      <c r="G40" s="71" t="n"/>
      <c r="H40" s="109" t="n"/>
      <c r="I40" s="185" t="n"/>
    </row>
    <row r="41">
      <c r="A41" s="50" t="n"/>
      <c r="B41" s="57" t="n"/>
      <c r="C41" s="50" t="n"/>
      <c r="D41" s="33" t="n"/>
      <c r="E41" s="50" t="n"/>
      <c r="F41" s="50" t="n"/>
      <c r="G41" s="71" t="n"/>
      <c r="H41" s="109" t="n"/>
      <c r="I41" s="185" t="n"/>
    </row>
    <row r="42">
      <c r="A42" s="50" t="n"/>
      <c r="B42" s="57" t="n"/>
      <c r="C42" s="50" t="n"/>
      <c r="D42" s="33" t="n"/>
      <c r="E42" s="50" t="n"/>
      <c r="F42" s="50" t="n"/>
      <c r="G42" s="71" t="n"/>
      <c r="H42" s="109" t="n"/>
      <c r="I42" s="185" t="n"/>
    </row>
    <row r="43">
      <c r="A43" s="50" t="n"/>
      <c r="B43" s="57" t="n"/>
      <c r="C43" s="50" t="n"/>
      <c r="D43" s="33" t="n"/>
      <c r="E43" s="50" t="n"/>
      <c r="F43" s="50" t="n"/>
      <c r="G43" s="71" t="n"/>
      <c r="H43" s="109" t="n"/>
      <c r="I43" s="185" t="n"/>
    </row>
    <row r="44">
      <c r="A44" s="50" t="n"/>
      <c r="B44" s="57" t="n"/>
      <c r="C44" s="50" t="n"/>
      <c r="D44" s="33" t="n"/>
      <c r="E44" s="50" t="n"/>
      <c r="F44" s="50" t="n"/>
      <c r="G44" s="71" t="n"/>
      <c r="H44" s="109" t="n"/>
      <c r="I44" s="185" t="n"/>
    </row>
    <row r="45">
      <c r="A45" s="50" t="n"/>
      <c r="B45" s="57" t="n"/>
      <c r="C45" s="50" t="n"/>
      <c r="D45" s="33" t="n"/>
      <c r="E45" s="50" t="n"/>
      <c r="F45" s="50" t="n"/>
      <c r="G45" s="71" t="n"/>
      <c r="H45" s="109" t="n"/>
      <c r="I45" s="185" t="n"/>
    </row>
    <row r="46">
      <c r="A46" s="50" t="n"/>
      <c r="B46" s="57" t="n"/>
      <c r="C46" s="50" t="n"/>
      <c r="D46" s="33" t="n"/>
      <c r="E46" s="50" t="n"/>
      <c r="F46" s="50" t="n"/>
      <c r="G46" s="71" t="n"/>
      <c r="H46" s="109" t="n"/>
      <c r="I46" s="185" t="n"/>
    </row>
    <row r="47">
      <c r="A47" s="50" t="n"/>
      <c r="B47" s="57" t="n"/>
      <c r="C47" s="50" t="n"/>
      <c r="D47" s="33" t="n"/>
      <c r="E47" s="50" t="n"/>
      <c r="F47" s="50" t="n"/>
      <c r="G47" s="71" t="n"/>
      <c r="H47" s="109" t="n"/>
      <c r="I47" s="185" t="n"/>
    </row>
    <row r="48">
      <c r="A48" s="50" t="n"/>
      <c r="B48" s="57" t="n"/>
      <c r="C48" s="50" t="n"/>
      <c r="D48" s="33" t="n"/>
      <c r="E48" s="50" t="n"/>
      <c r="F48" s="50" t="n"/>
      <c r="G48" s="71" t="n"/>
      <c r="H48" s="109" t="n"/>
      <c r="I48" s="185" t="n"/>
    </row>
    <row r="49">
      <c r="A49" s="50" t="n"/>
      <c r="B49" s="57" t="n"/>
      <c r="C49" s="50" t="n"/>
      <c r="D49" s="33" t="n"/>
      <c r="E49" s="50" t="n"/>
      <c r="F49" s="50" t="n"/>
      <c r="G49" s="71" t="n"/>
      <c r="H49" s="109" t="n"/>
      <c r="I49" s="185" t="n"/>
    </row>
    <row r="50">
      <c r="A50" s="50" t="n"/>
      <c r="B50" s="57" t="n"/>
      <c r="C50" s="50" t="n"/>
      <c r="D50" s="33" t="n"/>
      <c r="E50" s="50" t="n"/>
      <c r="F50" s="50" t="n"/>
      <c r="G50" s="71" t="n"/>
      <c r="H50" s="109" t="n"/>
      <c r="I50" s="185" t="n"/>
    </row>
    <row r="51">
      <c r="A51" s="50" t="n"/>
      <c r="B51" s="57" t="n"/>
      <c r="C51" s="50" t="n"/>
      <c r="D51" s="33" t="n"/>
      <c r="E51" s="50" t="n"/>
      <c r="F51" s="50" t="n"/>
      <c r="G51" s="71" t="n"/>
      <c r="H51" s="109" t="n"/>
      <c r="I51" s="185" t="n"/>
    </row>
    <row r="52">
      <c r="A52" s="50" t="n"/>
      <c r="B52" s="57" t="n"/>
      <c r="C52" s="50" t="n"/>
      <c r="D52" s="33" t="n"/>
      <c r="E52" s="50" t="n"/>
      <c r="F52" s="50" t="n"/>
      <c r="G52" s="71" t="n"/>
      <c r="H52" s="109" t="n"/>
      <c r="I52" s="185" t="n"/>
    </row>
    <row r="53">
      <c r="A53" s="50" t="n"/>
      <c r="B53" s="57" t="n"/>
      <c r="C53" s="50" t="n"/>
      <c r="D53" s="33" t="n"/>
      <c r="E53" s="50" t="n"/>
      <c r="F53" s="50" t="n"/>
      <c r="G53" s="71" t="n"/>
      <c r="H53" s="109" t="n"/>
      <c r="I53" s="185" t="n"/>
    </row>
    <row r="54">
      <c r="A54" s="50" t="n"/>
      <c r="B54" s="57" t="n"/>
      <c r="C54" s="50" t="n"/>
      <c r="D54" s="33" t="n"/>
      <c r="E54" s="50" t="n"/>
      <c r="F54" s="50" t="n"/>
      <c r="G54" s="71" t="n"/>
      <c r="H54" s="109" t="n"/>
      <c r="I54" s="185" t="n"/>
    </row>
    <row r="55">
      <c r="A55" s="50" t="n"/>
      <c r="B55" s="57" t="n"/>
      <c r="C55" s="50" t="n"/>
      <c r="D55" s="33" t="n"/>
      <c r="E55" s="50" t="n"/>
      <c r="F55" s="50" t="n"/>
      <c r="G55" s="71" t="n"/>
      <c r="H55" s="109" t="n"/>
      <c r="I55" s="185" t="n"/>
    </row>
    <row r="56">
      <c r="A56" s="50" t="n"/>
      <c r="B56" s="57" t="n"/>
      <c r="C56" s="50" t="n"/>
      <c r="D56" s="33" t="n"/>
      <c r="E56" s="50" t="n"/>
      <c r="F56" s="50" t="n"/>
      <c r="G56" s="71" t="n"/>
      <c r="H56" s="109" t="n"/>
      <c r="I56" s="185" t="n"/>
    </row>
    <row r="57">
      <c r="A57" s="50" t="n"/>
      <c r="B57" s="57" t="n"/>
      <c r="C57" s="50" t="n"/>
      <c r="D57" s="33" t="n"/>
      <c r="E57" s="50" t="n"/>
      <c r="F57" s="50" t="n"/>
      <c r="G57" s="71" t="n"/>
      <c r="H57" s="109" t="n"/>
      <c r="I57" s="185" t="n"/>
    </row>
    <row r="58">
      <c r="A58" s="50" t="n"/>
      <c r="B58" s="57" t="n"/>
      <c r="C58" s="50" t="n"/>
      <c r="D58" s="33" t="n"/>
      <c r="E58" s="50" t="n"/>
      <c r="F58" s="50" t="n"/>
      <c r="G58" s="71" t="n"/>
      <c r="H58" s="109" t="n"/>
      <c r="I58" s="185" t="n"/>
    </row>
    <row r="59">
      <c r="A59" s="50" t="n"/>
      <c r="B59" s="57" t="n"/>
      <c r="C59" s="50" t="n"/>
      <c r="D59" s="33" t="n"/>
      <c r="E59" s="50" t="n"/>
      <c r="F59" s="50" t="n"/>
      <c r="G59" s="71" t="n"/>
      <c r="H59" s="109" t="n"/>
      <c r="I59" s="185" t="n"/>
    </row>
    <row r="60">
      <c r="A60" s="50" t="n"/>
      <c r="B60" s="57" t="n"/>
      <c r="C60" s="50" t="n"/>
      <c r="D60" s="33" t="n"/>
      <c r="E60" s="50" t="n"/>
      <c r="F60" s="50" t="n"/>
      <c r="G60" s="71" t="n"/>
      <c r="H60" s="109" t="n"/>
      <c r="I60" s="185" t="n"/>
    </row>
    <row r="61">
      <c r="A61" s="50" t="n"/>
      <c r="B61" s="57" t="n"/>
      <c r="C61" s="50" t="n"/>
      <c r="D61" s="33" t="n"/>
      <c r="E61" s="50" t="n"/>
      <c r="F61" s="50" t="n"/>
      <c r="G61" s="71" t="n"/>
      <c r="H61" s="109" t="n"/>
      <c r="I61" s="185" t="n"/>
    </row>
    <row r="62">
      <c r="A62" s="50" t="n"/>
      <c r="B62" s="57" t="n"/>
      <c r="C62" s="50" t="n"/>
      <c r="D62" s="33" t="n"/>
      <c r="E62" s="50" t="n"/>
      <c r="F62" s="50" t="n"/>
      <c r="G62" s="71" t="n"/>
      <c r="H62" s="109" t="n"/>
      <c r="I62" s="185" t="n"/>
    </row>
    <row r="63">
      <c r="A63" s="50" t="n"/>
      <c r="B63" s="57" t="n"/>
      <c r="C63" s="50" t="n"/>
      <c r="D63" s="33" t="n"/>
      <c r="E63" s="50" t="n"/>
      <c r="F63" s="50" t="n"/>
      <c r="G63" s="71" t="n"/>
      <c r="H63" s="109" t="n"/>
      <c r="I63" s="185" t="n"/>
    </row>
    <row r="64">
      <c r="A64" s="50" t="n"/>
      <c r="B64" s="57" t="n"/>
      <c r="C64" s="50" t="n"/>
      <c r="D64" s="33" t="n"/>
      <c r="E64" s="50" t="n"/>
      <c r="F64" s="50" t="n"/>
      <c r="G64" s="71" t="n"/>
      <c r="H64" s="109" t="n"/>
      <c r="I64" s="185" t="n"/>
    </row>
  </sheetData>
  <dataValidations count="4">
    <dataValidation sqref="E5 E6 E7 E8 E9 E10 E11 E12 E13 E14 E15 E16 E17 E18 E19 E20 E21 E22 E23 E24 E25 E26 E27 E28 E29 E30 E31 E32 E33 E34 E35 E36 E37 E38 E39 E40 E41 E42 E43 E44 E45 E46 E47 E48 E49 E50 E51 E52 E53 E54 E55 E56 E57 E58 E59 E60 E61 E62 E63 E64" showDropDown="0" showInputMessage="0" showErrorMessage="0" allowBlank="1" type="list">
      <formula1>"Critical,Major,Minor"</formula1>
    </dataValidation>
    <dataValidation sqref="F5 F6 F7 F8 F9 F10 F11 F12 F13 F14 F15 F16 F17 F18 F19 F20 F21 F22 F23 F24 F25 F26 F27 F28 F29 F30 F31 F32 F33 F34 F35 F36 F37 F38 F39 F40 F41 F42 F43 F44 F45 F46 F47 F48 F49 F50 F51 F52 F53 F54 F55 F56 F57 F58 F59 F60 F61 F62 F63 F64" showDropDown="0" showInputMessage="0" showErrorMessage="0" allowBlank="1" type="list">
      <formula1>"Открыт,Закрыт"</formula1>
    </dataValidation>
    <dataValidation sqref="H5 H6 H7 H8 H9 H10 H11 H12 H13 H14 H15 H16 H17 H18 H19 H20 H21 H22 H23 H24 H25 H26 H27 H28 H29 H30 H31 H32 H33 H34 H35 H36 H37 H38 H39 H40 H41 H42 H43 H44 H45 H46 H47 H48 H49 H50 H51 H52 H53 H54 H55 H56 H57 H58 H59 H60 H61 H62 H63 H64" showDropDown="0" showInputMessage="0" showErrorMessage="0" allowBlank="1" type="list">
      <formula1>"Нет,Да"</formula1>
    </dataValidation>
    <dataValidation sqref="I5 I6 I7 I8 I9 I10 I11 I12 I13 I14 I15 I16 I17 I18 I19 I20 I21 I22 I23 I24 I25 I26 I27 I28 I29 I30 I31 I32 I33 I34 I35 I36 I37 I38 I39 I40 I41 I42 I43 I44 I45 I46 I47 I48 I49 I50 I51 I52 I53 I54 I55 I56 I57 I58 I59 I60 I61 I62 I63 I64" showDropDown="0" showInputMessage="0" showErrorMessage="0" allowBlank="1" type="list">
      <formula1>"Интеграция,Код,Требования,Тестирование,Данные,Инфраструктура"</formula1>
    </dataValidation>
  </dataValidation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E21"/>
  <sheetViews>
    <sheetView showGridLines="0" workbookViewId="0">
      <pane ySplit="4" topLeftCell="A5" activePane="bottomLeft" state="frozen"/>
      <selection pane="bottomLeft" activeCell="U11" sqref="U11"/>
    </sheetView>
  </sheetViews>
  <sheetFormatPr baseColWidth="8" defaultRowHeight="14.4"/>
  <cols>
    <col width="8" customWidth="1" min="1" max="1"/>
    <col width="10" customWidth="1" min="2" max="5"/>
  </cols>
  <sheetData>
    <row r="1" ht="17.4" customHeight="1">
      <c r="A1" s="37" t="inlineStr">
        <is>
          <t>Cumulative Flow — задачи по статусам (текущий спринт)</t>
        </is>
      </c>
    </row>
    <row r="2">
      <c r="A2" s="38" t="inlineStr">
        <is>
          <t>Кол-во задач в каждом статусе по дням спринта. Обновляется ежедневно (жёлтые ячейки).</t>
        </is>
      </c>
    </row>
    <row r="4">
      <c r="A4" s="39" t="inlineStr">
        <is>
          <t>День</t>
        </is>
      </c>
      <c r="B4" s="39" t="inlineStr">
        <is>
          <t>To Do</t>
        </is>
      </c>
      <c r="C4" s="39" t="inlineStr">
        <is>
          <t>В работе</t>
        </is>
      </c>
      <c r="D4" s="39" t="inlineStr">
        <is>
          <t>Готово</t>
        </is>
      </c>
      <c r="E4" s="39" t="inlineStr">
        <is>
          <t>Всего</t>
        </is>
      </c>
    </row>
    <row r="5">
      <c r="A5" s="47" t="n">
        <v>0</v>
      </c>
      <c r="B5" s="50" t="n">
        <v>8</v>
      </c>
      <c r="C5" s="50" t="n">
        <v>0</v>
      </c>
      <c r="D5" s="50" t="n">
        <v>0</v>
      </c>
      <c r="E5" s="74">
        <f>SUM(B5:D5)</f>
        <v/>
      </c>
    </row>
    <row r="6">
      <c r="A6" s="47" t="n">
        <v>1</v>
      </c>
      <c r="B6" s="50" t="n">
        <v>7</v>
      </c>
      <c r="C6" s="50" t="n">
        <v>1</v>
      </c>
      <c r="D6" s="50" t="n">
        <v>0</v>
      </c>
      <c r="E6" s="74">
        <f>SUM(B6:D6)</f>
        <v/>
      </c>
    </row>
    <row r="7">
      <c r="A7" s="47" t="n">
        <v>2</v>
      </c>
      <c r="B7" s="50" t="n">
        <v>6</v>
      </c>
      <c r="C7" s="50" t="n">
        <v>2</v>
      </c>
      <c r="D7" s="50" t="n">
        <v>0</v>
      </c>
      <c r="E7" s="74">
        <f>SUM(B7:D7)</f>
        <v/>
      </c>
    </row>
    <row r="8">
      <c r="A8" s="47" t="n">
        <v>3</v>
      </c>
      <c r="B8" s="50" t="n">
        <v>5</v>
      </c>
      <c r="C8" s="50" t="n">
        <v>2</v>
      </c>
      <c r="D8" s="50" t="n">
        <v>1</v>
      </c>
      <c r="E8" s="74">
        <f>SUM(B8:D8)</f>
        <v/>
      </c>
    </row>
    <row r="9">
      <c r="A9" s="47" t="n">
        <v>4</v>
      </c>
      <c r="B9" s="50" t="n">
        <v>4</v>
      </c>
      <c r="C9" s="50" t="n">
        <v>3</v>
      </c>
      <c r="D9" s="50" t="n">
        <v>1</v>
      </c>
      <c r="E9" s="74">
        <f>SUM(B9:D9)</f>
        <v/>
      </c>
    </row>
    <row r="10">
      <c r="A10" s="47" t="n">
        <v>5</v>
      </c>
      <c r="B10" s="50" t="n">
        <v>3</v>
      </c>
      <c r="C10" s="50" t="n">
        <v>3</v>
      </c>
      <c r="D10" s="50" t="n">
        <v>2</v>
      </c>
      <c r="E10" s="74">
        <f>SUM(B10:D10)</f>
        <v/>
      </c>
    </row>
    <row r="11">
      <c r="A11" s="47" t="n">
        <v>6</v>
      </c>
      <c r="B11" s="50" t="n">
        <v>3</v>
      </c>
      <c r="C11" s="50" t="n">
        <v>2</v>
      </c>
      <c r="D11" s="50" t="n">
        <v>3</v>
      </c>
      <c r="E11" s="74">
        <f>SUM(B11:D11)</f>
        <v/>
      </c>
    </row>
    <row r="12">
      <c r="A12" s="47" t="n">
        <v>7</v>
      </c>
      <c r="B12" s="50" t="n">
        <v>2</v>
      </c>
      <c r="C12" s="50" t="n">
        <v>2</v>
      </c>
      <c r="D12" s="50" t="n">
        <v>4</v>
      </c>
      <c r="E12" s="74">
        <f>SUM(B12:D12)</f>
        <v/>
      </c>
    </row>
    <row r="13">
      <c r="A13" s="47" t="n">
        <v>8</v>
      </c>
      <c r="B13" s="50" t="n">
        <v>1</v>
      </c>
      <c r="C13" s="50" t="n">
        <v>2</v>
      </c>
      <c r="D13" s="50" t="n">
        <v>5</v>
      </c>
      <c r="E13" s="74">
        <f>SUM(B13:D13)</f>
        <v/>
      </c>
    </row>
    <row r="14">
      <c r="A14" s="47" t="n">
        <v>9</v>
      </c>
      <c r="B14" s="50" t="n">
        <v>1</v>
      </c>
      <c r="C14" s="50" t="n">
        <v>1</v>
      </c>
      <c r="D14" s="50" t="n">
        <v>6</v>
      </c>
      <c r="E14" s="74">
        <f>SUM(B14:D14)</f>
        <v/>
      </c>
    </row>
    <row r="15">
      <c r="A15" s="47" t="n">
        <v>10</v>
      </c>
      <c r="B15" s="50" t="n">
        <v>0</v>
      </c>
      <c r="C15" s="50" t="n">
        <v>0</v>
      </c>
      <c r="D15" s="50" t="n">
        <v>8</v>
      </c>
      <c r="E15" s="74">
        <f>SUM(B15:D15)</f>
        <v/>
      </c>
    </row>
    <row r="18">
      <c r="A18" s="14" t="inlineStr">
        <is>
          <t>WIP-лимит (В работе):</t>
        </is>
      </c>
      <c r="C18" s="109" t="n">
        <v>4</v>
      </c>
    </row>
    <row r="19">
      <c r="A19" s="14" t="inlineStr">
        <is>
          <t>Макс. «В работе» (факт):</t>
        </is>
      </c>
      <c r="C19" s="112">
        <f>MAX(C5:C15)</f>
        <v/>
      </c>
    </row>
    <row r="20">
      <c r="A20" s="14" t="inlineStr">
        <is>
          <t>Статус WIP:</t>
        </is>
      </c>
      <c r="C20" s="112">
        <f>IF(C19&gt;C18,"Превышен","OK")</f>
        <v/>
      </c>
    </row>
    <row r="21">
      <c r="A21" s="82" t="inlineStr">
        <is>
          <t>Aging WIP по задачам — столбец «Возраст WIP» в «Бэклоге».</t>
        </is>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G53"/>
  <sheetViews>
    <sheetView showGridLines="0" workbookViewId="0">
      <selection activeCell="A1" sqref="A1"/>
    </sheetView>
  </sheetViews>
  <sheetFormatPr baseColWidth="8" defaultRowHeight="14.4"/>
  <cols>
    <col width="30" customWidth="1" min="1" max="1"/>
    <col width="12" customWidth="1" min="2" max="2"/>
    <col width="14" customWidth="1" min="3" max="3"/>
    <col width="9" customWidth="1" min="5" max="5"/>
    <col width="15" customWidth="1" min="6" max="6"/>
    <col width="14" customWidth="1" min="7" max="7"/>
  </cols>
  <sheetData>
    <row r="1" ht="17.4" customHeight="1">
      <c r="A1" s="163" t="inlineStr">
        <is>
          <t>Метрики и прогноз</t>
        </is>
      </c>
    </row>
    <row r="2">
      <c r="E2" s="164" t="inlineStr">
        <is>
          <t>Velocity по спринтам (для графика)</t>
        </is>
      </c>
    </row>
    <row r="3" ht="15.6" customHeight="1">
      <c r="A3" s="176" t="inlineStr">
        <is>
          <t>Предсказуемость (velocity)</t>
        </is>
      </c>
      <c r="E3" s="186" t="n">
        <v>1</v>
      </c>
      <c r="F3" s="186">
        <f>'Дорожная карта'!I6</f>
        <v/>
      </c>
    </row>
    <row r="4">
      <c r="A4" s="187" t="inlineStr">
        <is>
          <t>Средняя velocity (дн)</t>
        </is>
      </c>
      <c r="C4" s="183">
        <f>IFERROR(AVERAGE('Дорожная карта'!$I$6:$I$16),0)</f>
        <v/>
      </c>
      <c r="E4" s="186" t="n">
        <v>2</v>
      </c>
      <c r="F4" s="186">
        <f>'Дорожная карта'!I7</f>
        <v/>
      </c>
    </row>
    <row r="5">
      <c r="A5" s="187" t="inlineStr">
        <is>
          <t>Мин / Макс (дн)</t>
        </is>
      </c>
      <c r="C5" s="178">
        <f>IFERROR(MIN('Дорожная карта'!$I$6:$I$16),0)&amp;" / "&amp;IFERROR(MAX('Дорожная карта'!$I$6:$I$16),0)</f>
        <v/>
      </c>
      <c r="E5" s="186" t="n">
        <v>3</v>
      </c>
      <c r="F5" s="186">
        <f>'Дорожная карта'!I8</f>
        <v/>
      </c>
    </row>
    <row r="6">
      <c r="A6" s="187" t="inlineStr">
        <is>
          <t>Разброс (СТАНДОТКЛОН)</t>
        </is>
      </c>
      <c r="C6" s="183">
        <f>IFERROR(STDEV('Дорожная карта'!$I$6:$I$16),0)</f>
        <v/>
      </c>
      <c r="E6" s="186" t="n">
        <v>4</v>
      </c>
      <c r="F6" s="186">
        <f>'Дорожная карта'!I9</f>
        <v/>
      </c>
    </row>
    <row r="7">
      <c r="A7" s="187" t="inlineStr">
        <is>
          <t>Коэф. вариации (CV)</t>
        </is>
      </c>
      <c r="C7" s="168">
        <f>IFERROR(STDEV('Дорожная карта'!$I$6:$I$16)/AVERAGE('Дорожная карта'!$I$6:$I$16),0)</f>
        <v/>
      </c>
      <c r="E7" s="186" t="n">
        <v>5</v>
      </c>
      <c r="F7" s="186">
        <f>'Дорожная карта'!I10</f>
        <v/>
      </c>
    </row>
    <row r="8">
      <c r="A8" s="187" t="inlineStr">
        <is>
          <t>Средний % выполнения</t>
        </is>
      </c>
      <c r="C8" s="168">
        <f>'Дорожная карта'!C22</f>
        <v/>
      </c>
      <c r="E8" s="186" t="n">
        <v>6</v>
      </c>
      <c r="F8" s="186">
        <f>'Дорожная карта'!I11</f>
        <v/>
      </c>
    </row>
    <row r="9">
      <c r="E9" s="186" t="n">
        <v>7</v>
      </c>
      <c r="F9" s="186">
        <f>'Дорожная карта'!I12</f>
        <v/>
      </c>
    </row>
    <row r="10" ht="15.6" customHeight="1">
      <c r="A10" s="176" t="inlineStr">
        <is>
          <t>Throughput (задач «Готово» за спринт)</t>
        </is>
      </c>
      <c r="E10" s="186" t="n">
        <v>8</v>
      </c>
      <c r="F10" s="186">
        <f>'Дорожная карта'!I13</f>
        <v/>
      </c>
    </row>
    <row r="11" ht="27.6" customHeight="1">
      <c r="A11" s="161" t="inlineStr">
        <is>
          <t>Спринт</t>
        </is>
      </c>
      <c r="B11" s="161" t="inlineStr">
        <is>
          <t>Задач сделано</t>
        </is>
      </c>
      <c r="E11" s="186" t="n">
        <v>9</v>
      </c>
      <c r="F11" s="186">
        <f>'Дорожная карта'!I14</f>
        <v/>
      </c>
    </row>
    <row r="12">
      <c r="A12" s="177" t="n">
        <v>1</v>
      </c>
      <c r="B12" s="162">
        <f>COUNTIFS(Бэклог!$M$5:$M$44,1,Бэклог!$F$5:$F$44,"Готово")</f>
        <v/>
      </c>
      <c r="E12" s="186" t="n">
        <v>10</v>
      </c>
      <c r="F12" s="186">
        <f>'Дорожная карта'!I15</f>
        <v/>
      </c>
    </row>
    <row r="13">
      <c r="A13" s="177" t="n">
        <v>2</v>
      </c>
      <c r="B13" s="162">
        <f>COUNTIFS(Бэклог!$M$5:$M$44,2,Бэклог!$F$5:$F$44,"Готово")</f>
        <v/>
      </c>
      <c r="E13" s="186" t="n">
        <v>11</v>
      </c>
      <c r="F13" s="186">
        <f>'Дорожная карта'!I16</f>
        <v/>
      </c>
    </row>
    <row r="14">
      <c r="A14" s="177" t="n">
        <v>3</v>
      </c>
      <c r="B14" s="162">
        <f>COUNTIFS(Бэклог!$M$5:$M$44,3,Бэклог!$F$5:$F$44,"Готово")</f>
        <v/>
      </c>
    </row>
    <row r="15">
      <c r="A15" s="177" t="n">
        <v>4</v>
      </c>
      <c r="B15" s="162">
        <f>COUNTIFS(Бэклог!$M$5:$M$44,4,Бэклог!$F$5:$F$44,"Готово")</f>
        <v/>
      </c>
    </row>
    <row r="16">
      <c r="A16" s="177" t="n">
        <v>5</v>
      </c>
      <c r="B16" s="162">
        <f>COUNTIFS(Бэклог!$M$5:$M$44,5,Бэклог!$F$5:$F$44,"Готово")</f>
        <v/>
      </c>
    </row>
    <row r="17">
      <c r="A17" s="177" t="n">
        <v>6</v>
      </c>
      <c r="B17" s="162">
        <f>COUNTIFS(Бэклог!$M$5:$M$44,6,Бэклог!$F$5:$F$44,"Готово")</f>
        <v/>
      </c>
      <c r="E17" s="164" t="inlineStr">
        <is>
          <t>Burn-up (для графика)</t>
        </is>
      </c>
    </row>
    <row r="18" ht="27.6" customHeight="1">
      <c r="A18" s="177" t="n">
        <v>7</v>
      </c>
      <c r="B18" s="162">
        <f>COUNTIFS(Бэклог!$M$5:$M$44,7,Бэклог!$F$5:$F$44,"Готово")</f>
        <v/>
      </c>
      <c r="E18" s="161" t="inlineStr">
        <is>
          <t>Спринт</t>
        </is>
      </c>
      <c r="F18" s="161" t="inlineStr">
        <is>
          <t>Сделано (накопл.)</t>
        </is>
      </c>
      <c r="G18" s="161" t="inlineStr">
        <is>
          <t>Объём (scope)</t>
        </is>
      </c>
    </row>
    <row r="19">
      <c r="A19" s="177" t="n">
        <v>8</v>
      </c>
      <c r="B19" s="162">
        <f>COUNTIFS(Бэклог!$M$5:$M$44,8,Бэклог!$F$5:$F$44,"Готово")</f>
        <v/>
      </c>
      <c r="E19" s="188" t="n">
        <v>1</v>
      </c>
      <c r="F19" s="188">
        <f>SUMIFS('Дорожная карта'!$I$6:$I$16,'Дорожная карта'!$A$6:$A$16,"&lt;="&amp;E19)</f>
        <v/>
      </c>
      <c r="G19" s="188">
        <f>SUM(Бэклог!$E$5:$E$44)</f>
        <v/>
      </c>
    </row>
    <row r="20">
      <c r="A20" s="177" t="n">
        <v>9</v>
      </c>
      <c r="B20" s="162">
        <f>COUNTIFS(Бэклог!$M$5:$M$44,9,Бэклог!$F$5:$F$44,"Готово")</f>
        <v/>
      </c>
      <c r="E20" s="188" t="n">
        <v>2</v>
      </c>
      <c r="F20" s="188">
        <f>SUMIFS('Дорожная карта'!$I$6:$I$16,'Дорожная карта'!$A$6:$A$16,"&lt;="&amp;E20)</f>
        <v/>
      </c>
      <c r="G20" s="188">
        <f>SUM(Бэклог!$E$5:$E$44)</f>
        <v/>
      </c>
    </row>
    <row r="21">
      <c r="A21" s="177" t="n">
        <v>10</v>
      </c>
      <c r="B21" s="162">
        <f>COUNTIFS(Бэклог!$M$5:$M$44,10,Бэклог!$F$5:$F$44,"Готово")</f>
        <v/>
      </c>
      <c r="E21" s="188" t="n">
        <v>3</v>
      </c>
      <c r="F21" s="188">
        <f>SUMIFS('Дорожная карта'!$I$6:$I$16,'Дорожная карта'!$A$6:$A$16,"&lt;="&amp;E21)</f>
        <v/>
      </c>
      <c r="G21" s="188">
        <f>SUM(Бэклог!$E$5:$E$44)</f>
        <v/>
      </c>
    </row>
    <row r="22">
      <c r="A22" s="177" t="n">
        <v>11</v>
      </c>
      <c r="B22" s="162">
        <f>COUNTIFS(Бэклог!$M$5:$M$44,11,Бэклог!$F$5:$F$44,"Готово")</f>
        <v/>
      </c>
      <c r="E22" s="188" t="n">
        <v>4</v>
      </c>
      <c r="F22" s="188">
        <f>SUMIFS('Дорожная карта'!$I$6:$I$16,'Дорожная карта'!$A$6:$A$16,"&lt;="&amp;E22)</f>
        <v/>
      </c>
      <c r="G22" s="188">
        <f>SUM(Бэклог!$E$5:$E$44)</f>
        <v/>
      </c>
    </row>
    <row r="23">
      <c r="E23" s="188" t="n">
        <v>5</v>
      </c>
      <c r="F23" s="188">
        <f>SUMIFS('Дорожная карта'!$I$6:$I$16,'Дорожная карта'!$A$6:$A$16,"&lt;="&amp;E23)</f>
        <v/>
      </c>
      <c r="G23" s="188">
        <f>SUM(Бэклог!$E$5:$E$44)</f>
        <v/>
      </c>
    </row>
    <row r="24" ht="15.6" customHeight="1">
      <c r="A24" s="176" t="inlineStr">
        <is>
          <t>Качество дефектов</t>
        </is>
      </c>
      <c r="E24" s="188" t="n">
        <v>6</v>
      </c>
      <c r="F24" s="188">
        <f>SUMIFS('Дорожная карта'!$I$6:$I$16,'Дорожная карта'!$A$6:$A$16,"&lt;="&amp;E24)</f>
        <v/>
      </c>
      <c r="G24" s="188">
        <f>SUM(Бэклог!$E$5:$E$44)</f>
        <v/>
      </c>
    </row>
    <row r="25">
      <c r="A25" s="187" t="inlineStr">
        <is>
          <t>Найдено багов</t>
        </is>
      </c>
      <c r="C25" s="189">
        <f>COUNTA(Баги!$A$5:$A$64)</f>
        <v/>
      </c>
      <c r="E25" s="188" t="n">
        <v>7</v>
      </c>
      <c r="F25" s="188">
        <f>SUMIFS('Дорожная карта'!$I$6:$I$16,'Дорожная карта'!$A$6:$A$16,"&lt;="&amp;E25)</f>
        <v/>
      </c>
      <c r="G25" s="188">
        <f>SUM(Бэклог!$E$5:$E$44)</f>
        <v/>
      </c>
    </row>
    <row r="26">
      <c r="A26" s="187" t="inlineStr">
        <is>
          <t>Закрыто багов</t>
        </is>
      </c>
      <c r="C26" s="189">
        <f>COUNTIF(Баги!$F$5:$F$64,"Закрыт")</f>
        <v/>
      </c>
      <c r="E26" s="188" t="n">
        <v>8</v>
      </c>
      <c r="F26" s="188">
        <f>SUMIFS('Дорожная карта'!$I$6:$I$16,'Дорожная карта'!$A$6:$A$16,"&lt;="&amp;E26)</f>
        <v/>
      </c>
      <c r="G26" s="188">
        <f>SUM(Бэклог!$E$5:$E$44)</f>
        <v/>
      </c>
    </row>
    <row r="27">
      <c r="A27" s="187" t="inlineStr">
        <is>
          <t>DRE (эффективность устранения)</t>
        </is>
      </c>
      <c r="C27" s="168">
        <f>IFERROR(COUNTIF(Баги!$F$5:$F$64,"Закрыт")/COUNTA(Баги!$A$5:$A$64),0)</f>
        <v/>
      </c>
      <c r="E27" s="188" t="n">
        <v>9</v>
      </c>
      <c r="F27" s="188">
        <f>SUMIFS('Дорожная карта'!$I$6:$I$16,'Дорожная карта'!$A$6:$A$16,"&lt;="&amp;E27)</f>
        <v/>
      </c>
      <c r="G27" s="188">
        <f>SUM(Бэклог!$E$5:$E$44)</f>
        <v/>
      </c>
    </row>
    <row r="28">
      <c r="A28" s="187" t="inlineStr">
        <is>
          <t>Reopened (проникшие)</t>
        </is>
      </c>
      <c r="C28" s="189">
        <f>COUNTIF(Баги!$H$5:$H$64,"Да")</f>
        <v/>
      </c>
      <c r="E28" s="188" t="n">
        <v>10</v>
      </c>
      <c r="F28" s="188">
        <f>SUMIFS('Дорожная карта'!$I$6:$I$16,'Дорожная карта'!$A$6:$A$16,"&lt;="&amp;E28)</f>
        <v/>
      </c>
      <c r="G28" s="188">
        <f>SUM(Бэклог!$E$5:$E$44)</f>
        <v/>
      </c>
    </row>
    <row r="29">
      <c r="A29" s="187" t="inlineStr">
        <is>
          <t>Открыто багов</t>
        </is>
      </c>
      <c r="C29" s="189">
        <f>COUNTIF(Баги!$F$5:$F$64,"Открыт")</f>
        <v/>
      </c>
      <c r="E29" s="188" t="n">
        <v>11</v>
      </c>
      <c r="F29" s="188">
        <f>SUMIFS('Дорожная карта'!$I$6:$I$16,'Дорожная карта'!$A$6:$A$16,"&lt;="&amp;E29)</f>
        <v/>
      </c>
      <c r="G29" s="188">
        <f>SUM(Бэклог!$E$5:$E$44)</f>
        <v/>
      </c>
    </row>
    <row r="31" ht="15.6" customHeight="1">
      <c r="A31" s="176" t="inlineStr">
        <is>
          <t>Вероятностный прогноз завершения (по разбросу velocity)</t>
        </is>
      </c>
    </row>
    <row r="32">
      <c r="A32" s="187" t="inlineStr">
        <is>
          <t>Остаток бэклога (дн)</t>
        </is>
      </c>
      <c r="C32" s="183">
        <f>'Дорожная карта'!F20</f>
        <v/>
      </c>
    </row>
    <row r="33">
      <c r="A33" s="187" t="inlineStr">
        <is>
          <t>Спринтов — оптимист (по макс)</t>
        </is>
      </c>
      <c r="C33" s="189">
        <f>IFERROR(ROUNDUP('Дорожная карта'!F20/MAX('Дорожная карта'!$I$6:$I$16),0),0)</f>
        <v/>
      </c>
    </row>
    <row r="34">
      <c r="A34" s="187" t="inlineStr">
        <is>
          <t>Спринтов — реалист (по средней)</t>
        </is>
      </c>
      <c r="C34" s="189">
        <f>IFERROR(ROUNDUP('Дорожная карта'!F20/AVERAGE('Дорожная карта'!$I$6:$I$16),0),0)</f>
        <v/>
      </c>
    </row>
    <row r="35">
      <c r="A35" s="187" t="inlineStr">
        <is>
          <t>Спринтов — пессимист (по мин)</t>
        </is>
      </c>
      <c r="C35" s="189">
        <f>IFERROR(ROUNDUP('Дорожная карта'!F20/MIN('Дорожная карта'!$I$6:$I$16),0),0)</f>
        <v/>
      </c>
    </row>
    <row r="36">
      <c r="A36" s="164" t="inlineStr">
        <is>
          <t>Оценка «оптимист/реалист/пессимист» — грубая замена Монте-Карло по фактическому разбросу.</t>
        </is>
      </c>
    </row>
    <row r="38" ht="15.6" customHeight="1">
      <c r="A38" s="176" t="inlineStr">
        <is>
          <t>Health-index проекта</t>
        </is>
      </c>
    </row>
    <row r="39">
      <c r="A39" s="187" t="inlineStr">
        <is>
          <t xml:space="preserve">  % выполнения (норм.)</t>
        </is>
      </c>
      <c r="C39" s="168">
        <f>MIN(1,'Дорожная карта'!C22)</f>
        <v/>
      </c>
    </row>
    <row r="40">
      <c r="A40" s="187" t="inlineStr">
        <is>
          <t xml:space="preserve">  DoD готовность</t>
        </is>
      </c>
      <c r="C40" s="168">
        <f>Параметры!B29</f>
        <v/>
      </c>
    </row>
    <row r="41">
      <c r="A41" s="187" t="inlineStr">
        <is>
          <t xml:space="preserve">  Точность оценок (норм.)</t>
        </is>
      </c>
      <c r="C41" s="168">
        <f>1-MIN(1,ABS(Бэклог!E47-1))</f>
        <v/>
      </c>
    </row>
    <row r="42">
      <c r="A42" s="187" t="inlineStr">
        <is>
          <t xml:space="preserve">  Качество (норм.)</t>
        </is>
      </c>
      <c r="C42" s="168">
        <f>1-MIN(1,COUNTIF(Баги!$F$5:$F$64,"Открыт")/5)</f>
        <v/>
      </c>
    </row>
    <row r="43">
      <c r="A43" s="187" t="inlineStr">
        <is>
          <t>Итоговый Health-index</t>
        </is>
      </c>
      <c r="C43" s="168">
        <f>AVERAGE(C39:C42)</f>
        <v/>
      </c>
    </row>
    <row r="44">
      <c r="A44" s="187" t="inlineStr">
        <is>
          <t>Статус</t>
        </is>
      </c>
      <c r="C44" s="178">
        <f>IF(C43&gt;=0.8,"Здоров",IF(C43&gt;=0.6,"Внимание","Риск"))</f>
        <v/>
      </c>
    </row>
    <row r="46" ht="15.6" customHeight="1">
      <c r="A46" s="176" t="inlineStr">
        <is>
          <t>Парето по причинам багов</t>
        </is>
      </c>
    </row>
    <row r="47">
      <c r="A47" s="161" t="inlineStr">
        <is>
          <t>Причина</t>
        </is>
      </c>
      <c r="B47" s="161" t="inlineStr">
        <is>
          <t>Кол-во</t>
        </is>
      </c>
      <c r="C47" s="161" t="inlineStr">
        <is>
          <t>Накопл. %</t>
        </is>
      </c>
    </row>
    <row r="48">
      <c r="A48" s="190" t="inlineStr">
        <is>
          <t>Интеграция</t>
        </is>
      </c>
      <c r="B48" s="162">
        <f>COUNTIF(Баги!$I$5:$I$64,A48)</f>
        <v/>
      </c>
      <c r="C48" s="169">
        <f>IFERROR(SUM($B$48:B48)/SUM($B$48:$B$53),0)</f>
        <v/>
      </c>
    </row>
    <row r="49">
      <c r="A49" s="190" t="inlineStr">
        <is>
          <t>Код</t>
        </is>
      </c>
      <c r="B49" s="162">
        <f>COUNTIF(Баги!$I$5:$I$64,A49)</f>
        <v/>
      </c>
      <c r="C49" s="169">
        <f>IFERROR(SUM($B$48:B49)/SUM($B$48:$B$53),0)</f>
        <v/>
      </c>
    </row>
    <row r="50">
      <c r="A50" s="190" t="inlineStr">
        <is>
          <t>Требования</t>
        </is>
      </c>
      <c r="B50" s="162">
        <f>COUNTIF(Баги!$I$5:$I$64,A50)</f>
        <v/>
      </c>
      <c r="C50" s="169">
        <f>IFERROR(SUM($B$48:B50)/SUM($B$48:$B$53),0)</f>
        <v/>
      </c>
    </row>
    <row r="51">
      <c r="A51" s="190" t="inlineStr">
        <is>
          <t>Тестирование</t>
        </is>
      </c>
      <c r="B51" s="162">
        <f>COUNTIF(Баги!$I$5:$I$64,A51)</f>
        <v/>
      </c>
      <c r="C51" s="169">
        <f>IFERROR(SUM($B$48:B51)/SUM($B$48:$B$53),0)</f>
        <v/>
      </c>
    </row>
    <row r="52">
      <c r="A52" s="190" t="inlineStr">
        <is>
          <t>Данные</t>
        </is>
      </c>
      <c r="B52" s="162">
        <f>COUNTIF(Баги!$I$5:$I$64,A52)</f>
        <v/>
      </c>
      <c r="C52" s="169">
        <f>IFERROR(SUM($B$48:B52)/SUM($B$48:$B$53),0)</f>
        <v/>
      </c>
    </row>
    <row r="53">
      <c r="A53" s="190" t="inlineStr">
        <is>
          <t>Инфраструктура</t>
        </is>
      </c>
      <c r="B53" s="162">
        <f>COUNTIF(Баги!$I$5:$I$64,A53)</f>
        <v/>
      </c>
      <c r="C53" s="169">
        <f>IFERROR(SUM($B$48:B53)/SUM($B$48:$B$53),0)</f>
        <v/>
      </c>
    </row>
  </sheetData>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G29"/>
  <sheetViews>
    <sheetView showGridLines="0" workbookViewId="0">
      <pane ySplit="9" topLeftCell="A10" activePane="bottomLeft" state="frozen"/>
      <selection pane="bottomLeft" activeCell="A1" sqref="A1"/>
    </sheetView>
  </sheetViews>
  <sheetFormatPr baseColWidth="8" defaultRowHeight="14.4"/>
  <cols>
    <col width="10" customWidth="1" min="1" max="1"/>
    <col width="11" customWidth="1" min="2" max="2"/>
    <col width="8" customWidth="1" min="3" max="5"/>
    <col hidden="1" width="13" customWidth="1" min="7" max="7"/>
  </cols>
  <sheetData>
    <row r="1" ht="17.4" customHeight="1">
      <c r="A1" s="163" t="inlineStr">
        <is>
          <t>Контрольная карта Cycle time</t>
        </is>
      </c>
    </row>
    <row r="2">
      <c r="A2" s="164" t="inlineStr">
        <is>
          <t>Cycle time задач (из «Бэклога») с центральной линией и контрольными границами (±3σ).</t>
        </is>
      </c>
    </row>
    <row r="4">
      <c r="A4" s="14" t="inlineStr">
        <is>
          <t>Среднее (CL):</t>
        </is>
      </c>
      <c r="B4" s="197">
        <f>IFERROR(AVERAGE(Бэклог!$R$5:$R$44),0)</f>
        <v/>
      </c>
    </row>
    <row r="5">
      <c r="A5" s="14" t="inlineStr">
        <is>
          <t>σ:</t>
        </is>
      </c>
      <c r="B5" s="197">
        <f>IFERROR(STDEV(Бэклог!$R$5:$R$44),0)</f>
        <v/>
      </c>
    </row>
    <row r="6">
      <c r="A6" s="14" t="inlineStr">
        <is>
          <t>UCL (+3σ):</t>
        </is>
      </c>
      <c r="B6" s="197">
        <f>B4+3*B5</f>
        <v/>
      </c>
    </row>
    <row r="7">
      <c r="A7" s="14" t="inlineStr">
        <is>
          <t>LCL (−3σ):</t>
        </is>
      </c>
      <c r="B7" s="197">
        <f>MAX(0,B4-3*B5)</f>
        <v/>
      </c>
    </row>
    <row r="9">
      <c r="A9" s="161" t="inlineStr">
        <is>
          <t>Задача</t>
        </is>
      </c>
      <c r="B9" s="161" t="inlineStr">
        <is>
          <t>Cycle (дн)</t>
        </is>
      </c>
      <c r="C9" s="161" t="inlineStr">
        <is>
          <t>CL</t>
        </is>
      </c>
      <c r="D9" s="161" t="inlineStr">
        <is>
          <t>UCL</t>
        </is>
      </c>
      <c r="E9" s="161" t="inlineStr">
        <is>
          <t>LCL</t>
        </is>
      </c>
      <c r="G9" t="inlineStr">
        <is>
          <t>Cycle (дн)</t>
        </is>
      </c>
    </row>
    <row r="10">
      <c r="A10" s="177">
        <f>IF(Бэклог!A5="","",Бэклог!A5)</f>
        <v/>
      </c>
      <c r="B10" s="162">
        <f>IF(Бэклог!R5="","",Бэклог!R5)</f>
        <v/>
      </c>
      <c r="C10" s="177">
        <f>$B$4</f>
        <v/>
      </c>
      <c r="D10" s="177">
        <f>$B$6</f>
        <v/>
      </c>
      <c r="E10" s="177">
        <f>$B$7</f>
        <v/>
      </c>
      <c r="G10">
        <f>IF(Бэклог!R5="",NA(),Бэклог!R5)</f>
        <v/>
      </c>
    </row>
    <row r="11">
      <c r="A11" s="177">
        <f>IF(Бэклог!A6="","",Бэклог!A6)</f>
        <v/>
      </c>
      <c r="B11" s="162">
        <f>IF(Бэклог!R6="","",Бэклог!R6)</f>
        <v/>
      </c>
      <c r="C11" s="177">
        <f>$B$4</f>
        <v/>
      </c>
      <c r="D11" s="177">
        <f>$B$6</f>
        <v/>
      </c>
      <c r="E11" s="177">
        <f>$B$7</f>
        <v/>
      </c>
      <c r="G11">
        <f>IF(Бэклог!R6="",NA(),Бэклог!R6)</f>
        <v/>
      </c>
    </row>
    <row r="12">
      <c r="A12" s="177">
        <f>IF(Бэклог!A7="","",Бэклог!A7)</f>
        <v/>
      </c>
      <c r="B12" s="162">
        <f>IF(Бэклог!R7="","",Бэклог!R7)</f>
        <v/>
      </c>
      <c r="C12" s="177">
        <f>$B$4</f>
        <v/>
      </c>
      <c r="D12" s="177">
        <f>$B$6</f>
        <v/>
      </c>
      <c r="E12" s="177">
        <f>$B$7</f>
        <v/>
      </c>
      <c r="G12">
        <f>IF(Бэклог!R7="",NA(),Бэклог!R7)</f>
        <v/>
      </c>
    </row>
    <row r="13">
      <c r="A13" s="177">
        <f>IF(Бэклог!A8="","",Бэклог!A8)</f>
        <v/>
      </c>
      <c r="B13" s="162">
        <f>IF(Бэклог!R8="","",Бэклог!R8)</f>
        <v/>
      </c>
      <c r="C13" s="177">
        <f>$B$4</f>
        <v/>
      </c>
      <c r="D13" s="177">
        <f>$B$6</f>
        <v/>
      </c>
      <c r="E13" s="177">
        <f>$B$7</f>
        <v/>
      </c>
      <c r="G13">
        <f>IF(Бэклог!R8="",NA(),Бэклог!R8)</f>
        <v/>
      </c>
    </row>
    <row r="14">
      <c r="A14" s="177">
        <f>IF(Бэклог!A9="","",Бэклог!A9)</f>
        <v/>
      </c>
      <c r="B14" s="162">
        <f>IF(Бэклог!R9="","",Бэклог!R9)</f>
        <v/>
      </c>
      <c r="C14" s="177">
        <f>$B$4</f>
        <v/>
      </c>
      <c r="D14" s="177">
        <f>$B$6</f>
        <v/>
      </c>
      <c r="E14" s="177">
        <f>$B$7</f>
        <v/>
      </c>
      <c r="G14">
        <f>IF(Бэклог!R9="",NA(),Бэклог!R9)</f>
        <v/>
      </c>
    </row>
    <row r="15">
      <c r="A15" s="177">
        <f>IF(Бэклог!A10="","",Бэклог!A10)</f>
        <v/>
      </c>
      <c r="B15" s="162">
        <f>IF(Бэклог!R10="","",Бэклог!R10)</f>
        <v/>
      </c>
      <c r="C15" s="177">
        <f>$B$4</f>
        <v/>
      </c>
      <c r="D15" s="177">
        <f>$B$6</f>
        <v/>
      </c>
      <c r="E15" s="177">
        <f>$B$7</f>
        <v/>
      </c>
      <c r="G15">
        <f>IF(Бэклог!R10="",NA(),Бэклог!R10)</f>
        <v/>
      </c>
    </row>
    <row r="16">
      <c r="A16" s="177">
        <f>IF(Бэклог!A11="","",Бэклог!A11)</f>
        <v/>
      </c>
      <c r="B16" s="162">
        <f>IF(Бэклог!R11="","",Бэклог!R11)</f>
        <v/>
      </c>
      <c r="C16" s="177">
        <f>$B$4</f>
        <v/>
      </c>
      <c r="D16" s="177">
        <f>$B$6</f>
        <v/>
      </c>
      <c r="E16" s="177">
        <f>$B$7</f>
        <v/>
      </c>
      <c r="G16">
        <f>IF(Бэклог!R11="",NA(),Бэклог!R11)</f>
        <v/>
      </c>
    </row>
    <row r="17">
      <c r="A17" s="177">
        <f>IF(Бэклог!A12="","",Бэклог!A12)</f>
        <v/>
      </c>
      <c r="B17" s="162">
        <f>IF(Бэклог!R12="","",Бэклог!R12)</f>
        <v/>
      </c>
      <c r="C17" s="177">
        <f>$B$4</f>
        <v/>
      </c>
      <c r="D17" s="177">
        <f>$B$6</f>
        <v/>
      </c>
      <c r="E17" s="177">
        <f>$B$7</f>
        <v/>
      </c>
      <c r="G17">
        <f>IF(Бэклог!R12="",NA(),Бэклог!R12)</f>
        <v/>
      </c>
    </row>
    <row r="18">
      <c r="A18" s="177">
        <f>IF(Бэклог!A13="","",Бэклог!A13)</f>
        <v/>
      </c>
      <c r="B18" s="162">
        <f>IF(Бэклог!R13="","",Бэклог!R13)</f>
        <v/>
      </c>
      <c r="C18" s="177">
        <f>$B$4</f>
        <v/>
      </c>
      <c r="D18" s="177">
        <f>$B$6</f>
        <v/>
      </c>
      <c r="E18" s="177">
        <f>$B$7</f>
        <v/>
      </c>
      <c r="G18">
        <f>IF(Бэклог!R13="",NA(),Бэклог!R13)</f>
        <v/>
      </c>
    </row>
    <row r="19">
      <c r="A19" s="177">
        <f>IF(Бэклог!A14="","",Бэклог!A14)</f>
        <v/>
      </c>
      <c r="B19" s="162">
        <f>IF(Бэклог!R14="","",Бэклог!R14)</f>
        <v/>
      </c>
      <c r="C19" s="177">
        <f>$B$4</f>
        <v/>
      </c>
      <c r="D19" s="177">
        <f>$B$6</f>
        <v/>
      </c>
      <c r="E19" s="177">
        <f>$B$7</f>
        <v/>
      </c>
      <c r="G19">
        <f>IF(Бэклог!R14="",NA(),Бэклог!R14)</f>
        <v/>
      </c>
    </row>
    <row r="20">
      <c r="A20" s="177">
        <f>IF(Бэклог!A15="","",Бэклог!A15)</f>
        <v/>
      </c>
      <c r="B20" s="162">
        <f>IF(Бэклог!R15="","",Бэклог!R15)</f>
        <v/>
      </c>
      <c r="C20" s="177">
        <f>$B$4</f>
        <v/>
      </c>
      <c r="D20" s="177">
        <f>$B$6</f>
        <v/>
      </c>
      <c r="E20" s="177">
        <f>$B$7</f>
        <v/>
      </c>
      <c r="G20">
        <f>IF(Бэклог!R15="",NA(),Бэклог!R15)</f>
        <v/>
      </c>
    </row>
    <row r="21">
      <c r="A21" s="177">
        <f>IF(Бэклог!A16="","",Бэклог!A16)</f>
        <v/>
      </c>
      <c r="B21" s="162">
        <f>IF(Бэклог!R16="","",Бэклог!R16)</f>
        <v/>
      </c>
      <c r="C21" s="177">
        <f>$B$4</f>
        <v/>
      </c>
      <c r="D21" s="177">
        <f>$B$6</f>
        <v/>
      </c>
      <c r="E21" s="177">
        <f>$B$7</f>
        <v/>
      </c>
      <c r="G21">
        <f>IF(Бэклог!R16="",NA(),Бэклог!R16)</f>
        <v/>
      </c>
    </row>
    <row r="22">
      <c r="A22" s="177">
        <f>IF(Бэклог!A17="","",Бэклог!A17)</f>
        <v/>
      </c>
      <c r="B22" s="162">
        <f>IF(Бэклог!R17="","",Бэклог!R17)</f>
        <v/>
      </c>
      <c r="C22" s="177">
        <f>$B$4</f>
        <v/>
      </c>
      <c r="D22" s="177">
        <f>$B$6</f>
        <v/>
      </c>
      <c r="E22" s="177">
        <f>$B$7</f>
        <v/>
      </c>
      <c r="G22">
        <f>IF(Бэклог!R17="",NA(),Бэклог!R17)</f>
        <v/>
      </c>
    </row>
    <row r="23">
      <c r="A23" s="177">
        <f>IF(Бэклог!A18="","",Бэклог!A18)</f>
        <v/>
      </c>
      <c r="B23" s="162">
        <f>IF(Бэклог!R18="","",Бэклог!R18)</f>
        <v/>
      </c>
      <c r="C23" s="177">
        <f>$B$4</f>
        <v/>
      </c>
      <c r="D23" s="177">
        <f>$B$6</f>
        <v/>
      </c>
      <c r="E23" s="177">
        <f>$B$7</f>
        <v/>
      </c>
      <c r="G23">
        <f>IF(Бэклог!R18="",NA(),Бэклог!R18)</f>
        <v/>
      </c>
    </row>
    <row r="24">
      <c r="A24" s="177">
        <f>IF(Бэклог!A19="","",Бэклог!A19)</f>
        <v/>
      </c>
      <c r="B24" s="162">
        <f>IF(Бэклог!R19="","",Бэклог!R19)</f>
        <v/>
      </c>
      <c r="C24" s="177">
        <f>$B$4</f>
        <v/>
      </c>
      <c r="D24" s="177">
        <f>$B$6</f>
        <v/>
      </c>
      <c r="E24" s="177">
        <f>$B$7</f>
        <v/>
      </c>
      <c r="G24">
        <f>IF(Бэклог!R19="",NA(),Бэклог!R19)</f>
        <v/>
      </c>
    </row>
    <row r="25">
      <c r="A25" s="177">
        <f>IF(Бэклог!A20="","",Бэклог!A20)</f>
        <v/>
      </c>
      <c r="B25" s="162">
        <f>IF(Бэклог!R20="","",Бэклог!R20)</f>
        <v/>
      </c>
      <c r="C25" s="177">
        <f>$B$4</f>
        <v/>
      </c>
      <c r="D25" s="177">
        <f>$B$6</f>
        <v/>
      </c>
      <c r="E25" s="177">
        <f>$B$7</f>
        <v/>
      </c>
      <c r="G25">
        <f>IF(Бэклог!R20="",NA(),Бэклог!R20)</f>
        <v/>
      </c>
    </row>
    <row r="26">
      <c r="A26" s="177">
        <f>IF(Бэклог!A21="","",Бэклог!A21)</f>
        <v/>
      </c>
      <c r="B26" s="162">
        <f>IF(Бэклог!R21="","",Бэклог!R21)</f>
        <v/>
      </c>
      <c r="C26" s="177">
        <f>$B$4</f>
        <v/>
      </c>
      <c r="D26" s="177">
        <f>$B$6</f>
        <v/>
      </c>
      <c r="E26" s="177">
        <f>$B$7</f>
        <v/>
      </c>
      <c r="G26">
        <f>IF(Бэклог!R21="",NA(),Бэклог!R21)</f>
        <v/>
      </c>
    </row>
    <row r="27">
      <c r="A27" s="177">
        <f>IF(Бэклог!A22="","",Бэклог!A22)</f>
        <v/>
      </c>
      <c r="B27" s="162">
        <f>IF(Бэклог!R22="","",Бэклог!R22)</f>
        <v/>
      </c>
      <c r="C27" s="177">
        <f>$B$4</f>
        <v/>
      </c>
      <c r="D27" s="177">
        <f>$B$6</f>
        <v/>
      </c>
      <c r="E27" s="177">
        <f>$B$7</f>
        <v/>
      </c>
      <c r="G27">
        <f>IF(Бэклог!R22="",NA(),Бэклог!R22)</f>
        <v/>
      </c>
    </row>
    <row r="28">
      <c r="A28" s="177">
        <f>IF(Бэклог!A23="","",Бэклог!A23)</f>
        <v/>
      </c>
      <c r="B28" s="162">
        <f>IF(Бэклог!R23="","",Бэклог!R23)</f>
        <v/>
      </c>
      <c r="C28" s="177">
        <f>$B$4</f>
        <v/>
      </c>
      <c r="D28" s="177">
        <f>$B$6</f>
        <v/>
      </c>
      <c r="E28" s="177">
        <f>$B$7</f>
        <v/>
      </c>
      <c r="G28">
        <f>IF(Бэклог!R23="",NA(),Бэклог!R23)</f>
        <v/>
      </c>
    </row>
    <row r="29">
      <c r="A29" s="177">
        <f>IF(Бэклог!A24="","",Бэклог!A24)</f>
        <v/>
      </c>
      <c r="B29" s="162">
        <f>IF(Бэклог!R24="","",Бэклог!R24)</f>
        <v/>
      </c>
      <c r="C29" s="177">
        <f>$B$4</f>
        <v/>
      </c>
      <c r="D29" s="177">
        <f>$B$6</f>
        <v/>
      </c>
      <c r="E29" s="177">
        <f>$B$7</f>
        <v/>
      </c>
      <c r="G29">
        <f>IF(Бэклог!R24="",NA(),Бэклог!R24)</f>
        <v/>
      </c>
    </row>
  </sheetData>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I8"/>
  <sheetViews>
    <sheetView showGridLines="0" workbookViewId="0">
      <pane ySplit="4" topLeftCell="A5" activePane="bottomLeft" state="frozen"/>
      <selection pane="bottomLeft" activeCell="A1" sqref="A1"/>
    </sheetView>
  </sheetViews>
  <sheetFormatPr baseColWidth="8" defaultRowHeight="14.4"/>
  <cols>
    <col width="5" customWidth="1" min="1" max="1"/>
    <col width="30" customWidth="1" min="2" max="2"/>
    <col width="10" customWidth="1" min="3" max="4"/>
    <col width="8" customWidth="1" min="5" max="5"/>
    <col width="11" customWidth="1" min="6" max="6"/>
    <col width="26" customWidth="1" min="7" max="7"/>
    <col width="13" customWidth="1" min="8" max="8"/>
    <col width="12" customWidth="1" min="9" max="9"/>
  </cols>
  <sheetData>
    <row r="1" ht="17.4" customHeight="1">
      <c r="A1" s="37" t="inlineStr">
        <is>
          <t>Реестр рисков спринта</t>
        </is>
      </c>
    </row>
    <row r="2">
      <c r="A2" s="38" t="inlineStr">
        <is>
          <t>Балл = Вероятность × Влияние (1–5). ≥15 — высокий, 8–14 — средний, &lt;8 — низкий.</t>
        </is>
      </c>
    </row>
    <row r="4" ht="41.4" customHeight="1">
      <c r="A4" s="39" t="inlineStr">
        <is>
          <t>#</t>
        </is>
      </c>
      <c r="B4" s="39" t="inlineStr">
        <is>
          <t>Риск</t>
        </is>
      </c>
      <c r="C4" s="39" t="inlineStr">
        <is>
          <t>Вероятн.
(1-5)</t>
        </is>
      </c>
      <c r="D4" s="39" t="inlineStr">
        <is>
          <t>Влияние
(1-5)</t>
        </is>
      </c>
      <c r="E4" s="39" t="inlineStr">
        <is>
          <t>Балл</t>
        </is>
      </c>
      <c r="F4" s="39" t="inlineStr">
        <is>
          <t>Уровень</t>
        </is>
      </c>
      <c r="G4" s="39" t="inlineStr">
        <is>
          <t>Митигация</t>
        </is>
      </c>
      <c r="H4" s="39" t="inlineStr">
        <is>
          <t>Владелец</t>
        </is>
      </c>
      <c r="I4" s="39" t="inlineStr">
        <is>
          <t>Статус</t>
        </is>
      </c>
    </row>
    <row r="5" ht="27.6" customHeight="1">
      <c r="A5" s="47" t="n">
        <v>1</v>
      </c>
      <c r="B5" s="57" t="inlineStr">
        <is>
          <t>Зависимость от внешнего API оплаты</t>
        </is>
      </c>
      <c r="C5" s="50" t="n">
        <v>4</v>
      </c>
      <c r="D5" s="50" t="n">
        <v>5</v>
      </c>
      <c r="E5" s="74">
        <f>C5*D5</f>
        <v/>
      </c>
      <c r="F5" s="47">
        <f>IF(E5&gt;=15,"Высокий",IF(E5&gt;=8,"Средний","Низкий"))</f>
        <v/>
      </c>
      <c r="G5" s="57" t="inlineStr">
        <is>
          <t>Мок-сервис + ранняя интеграция</t>
        </is>
      </c>
      <c r="H5" s="50" t="inlineStr">
        <is>
          <t>Иванов А.</t>
        </is>
      </c>
      <c r="I5" s="50" t="inlineStr">
        <is>
          <t>Открыт</t>
        </is>
      </c>
    </row>
    <row r="6" ht="27.6" customHeight="1">
      <c r="A6" s="47" t="n">
        <v>2</v>
      </c>
      <c r="B6" s="57" t="inlineStr">
        <is>
          <t>Отпуска в декабре (Спринт 11)</t>
        </is>
      </c>
      <c r="C6" s="50" t="n">
        <v>5</v>
      </c>
      <c r="D6" s="50" t="n">
        <v>3</v>
      </c>
      <c r="E6" s="74">
        <f>C6*D6</f>
        <v/>
      </c>
      <c r="F6" s="47">
        <f>IF(E6&gt;=15,"Высокий",IF(E6&gt;=8,"Средний","Низкий"))</f>
        <v/>
      </c>
      <c r="G6" s="57" t="inlineStr">
        <is>
          <t>Сокращённый объём, буфер</t>
        </is>
      </c>
      <c r="H6" s="50" t="inlineStr">
        <is>
          <t>Орлова Е.</t>
        </is>
      </c>
      <c r="I6" s="50" t="inlineStr">
        <is>
          <t>Открыт</t>
        </is>
      </c>
    </row>
    <row r="7">
      <c r="A7" s="47" t="n">
        <v>3</v>
      </c>
      <c r="B7" s="57" t="inlineStr">
        <is>
          <t>Недооценка интеграции</t>
        </is>
      </c>
      <c r="C7" s="50" t="n">
        <v>3</v>
      </c>
      <c r="D7" s="50" t="n">
        <v>4</v>
      </c>
      <c r="E7" s="74">
        <f>C7*D7</f>
        <v/>
      </c>
      <c r="F7" s="47">
        <f>IF(E7&gt;=15,"Высокий",IF(E7&gt;=8,"Средний","Низкий"))</f>
        <v/>
      </c>
      <c r="G7" s="57" t="inlineStr">
        <is>
          <t>Спайк на оценку</t>
        </is>
      </c>
      <c r="H7" s="50" t="inlineStr">
        <is>
          <t>Кузнецов Д.</t>
        </is>
      </c>
      <c r="I7" s="50" t="inlineStr">
        <is>
          <t>Открыт</t>
        </is>
      </c>
    </row>
    <row r="8" ht="27.6" customHeight="1">
      <c r="A8" s="47" t="n">
        <v>4</v>
      </c>
      <c r="B8" s="57" t="inlineStr">
        <is>
          <t>Текучесть в QA</t>
        </is>
      </c>
      <c r="C8" s="50" t="n">
        <v>2</v>
      </c>
      <c r="D8" s="50" t="n">
        <v>4</v>
      </c>
      <c r="E8" s="74">
        <f>C8*D8</f>
        <v/>
      </c>
      <c r="F8" s="47">
        <f>IF(E8&gt;=15,"Высокий",IF(E8&gt;=8,"Средний","Низкий"))</f>
        <v/>
      </c>
      <c r="G8" s="57" t="inlineStr">
        <is>
          <t>Кросс-ревью, документация</t>
        </is>
      </c>
      <c r="H8" s="50" t="inlineStr">
        <is>
          <t>Сидоров К.</t>
        </is>
      </c>
      <c r="I8" s="50" t="inlineStr">
        <is>
          <t>Наблюдение</t>
        </is>
      </c>
    </row>
  </sheetData>
  <conditionalFormatting sqref="E5:E8">
    <cfRule type="cellIs" priority="1" operator="greaterThanOrEqual" dxfId="2">
      <formula>15</formula>
    </cfRule>
    <cfRule type="cellIs" priority="2" operator="between" dxfId="1">
      <formula>8</formula>
      <formula>14</formula>
    </cfRule>
    <cfRule type="cellIs" priority="3" operator="lessThan" dxfId="0">
      <formula>8</formula>
    </cfRule>
  </conditionalFormatting>
  <dataValidations count="1">
    <dataValidation sqref="I5 I6 I7 I8" showDropDown="0" showInputMessage="0" showErrorMessage="0" allowBlank="1" type="list">
      <formula1>"Открыт,Наблюдение,Закрыт"</formula1>
    </dataValidation>
  </dataValidation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I20"/>
  <sheetViews>
    <sheetView showGridLines="0" topLeftCell="A32" workbookViewId="0">
      <selection activeCell="A1" sqref="A1"/>
    </sheetView>
  </sheetViews>
  <sheetFormatPr baseColWidth="8" defaultRowHeight="14.4"/>
  <cols>
    <col width="16" customWidth="1" min="1" max="1"/>
    <col width="34" customWidth="1" min="2" max="2"/>
    <col width="7" customWidth="1" min="3" max="3"/>
    <col width="8" customWidth="1" min="4" max="4"/>
    <col width="7" customWidth="1" min="5" max="5"/>
    <col width="11" customWidth="1" min="6" max="6"/>
    <col width="26" customWidth="1" min="7" max="7"/>
    <col width="13" customWidth="1" min="8" max="8"/>
    <col width="11" customWidth="1" min="9" max="9"/>
  </cols>
  <sheetData>
    <row r="1" ht="17.4" customHeight="1">
      <c r="A1" s="150" t="inlineStr">
        <is>
          <t>Риски: ранжирование, матрица и диаграмма Исикавы</t>
        </is>
      </c>
    </row>
    <row r="3" ht="15.6" customHeight="1">
      <c r="A3" s="151" t="inlineStr">
        <is>
          <t>Ранжированный список рисков</t>
        </is>
      </c>
    </row>
    <row r="4">
      <c r="A4" s="152" t="inlineStr">
        <is>
          <t>Ранг</t>
        </is>
      </c>
      <c r="B4" s="152" t="inlineStr">
        <is>
          <t>Риск</t>
        </is>
      </c>
      <c r="C4" s="152" t="inlineStr">
        <is>
          <t>Вер.</t>
        </is>
      </c>
      <c r="D4" s="152" t="inlineStr">
        <is>
          <t>Влиян.</t>
        </is>
      </c>
      <c r="E4" s="152" t="inlineStr">
        <is>
          <t>Балл</t>
        </is>
      </c>
      <c r="F4" s="152" t="inlineStr">
        <is>
          <t>Уровень</t>
        </is>
      </c>
      <c r="G4" s="152" t="inlineStr">
        <is>
          <t>Митигация</t>
        </is>
      </c>
      <c r="H4" s="152" t="inlineStr">
        <is>
          <t>Владелец</t>
        </is>
      </c>
      <c r="I4" s="152" t="inlineStr">
        <is>
          <t>Статус</t>
        </is>
      </c>
    </row>
    <row r="5" ht="27.6" customHeight="1">
      <c r="A5" s="153">
        <f>RANK(Риски!E5,Риски!$E$5:$E$8)</f>
        <v/>
      </c>
      <c r="B5" s="154">
        <f>Риски!B5</f>
        <v/>
      </c>
      <c r="C5" s="155">
        <f>Риски!C5</f>
        <v/>
      </c>
      <c r="D5" s="155">
        <f>Риски!D5</f>
        <v/>
      </c>
      <c r="E5" s="153">
        <f>Риски!E5</f>
        <v/>
      </c>
      <c r="F5" s="155">
        <f>Риски!F5</f>
        <v/>
      </c>
      <c r="G5" s="154">
        <f>Риски!G5</f>
        <v/>
      </c>
      <c r="H5" s="155">
        <f>Риски!H5</f>
        <v/>
      </c>
      <c r="I5" s="155">
        <f>Риски!I5</f>
        <v/>
      </c>
    </row>
    <row r="6" ht="27.6" customHeight="1">
      <c r="A6" s="153">
        <f>RANK(Риски!E6,Риски!$E$5:$E$8)</f>
        <v/>
      </c>
      <c r="B6" s="154">
        <f>Риски!B6</f>
        <v/>
      </c>
      <c r="C6" s="155">
        <f>Риски!C6</f>
        <v/>
      </c>
      <c r="D6" s="155">
        <f>Риски!D6</f>
        <v/>
      </c>
      <c r="E6" s="153">
        <f>Риски!E6</f>
        <v/>
      </c>
      <c r="F6" s="155">
        <f>Риски!F6</f>
        <v/>
      </c>
      <c r="G6" s="154">
        <f>Риски!G6</f>
        <v/>
      </c>
      <c r="H6" s="155">
        <f>Риски!H6</f>
        <v/>
      </c>
      <c r="I6" s="155">
        <f>Риски!I6</f>
        <v/>
      </c>
    </row>
    <row r="7">
      <c r="A7" s="153">
        <f>RANK(Риски!E7,Риски!$E$5:$E$8)</f>
        <v/>
      </c>
      <c r="B7" s="154">
        <f>Риски!B7</f>
        <v/>
      </c>
      <c r="C7" s="155">
        <f>Риски!C7</f>
        <v/>
      </c>
      <c r="D7" s="155">
        <f>Риски!D7</f>
        <v/>
      </c>
      <c r="E7" s="153">
        <f>Риски!E7</f>
        <v/>
      </c>
      <c r="F7" s="155">
        <f>Риски!F7</f>
        <v/>
      </c>
      <c r="G7" s="154">
        <f>Риски!G7</f>
        <v/>
      </c>
      <c r="H7" s="155">
        <f>Риски!H7</f>
        <v/>
      </c>
      <c r="I7" s="155">
        <f>Риски!I7</f>
        <v/>
      </c>
    </row>
    <row r="8" ht="27.6" customHeight="1">
      <c r="A8" s="153">
        <f>RANK(Риски!E8,Риски!$E$5:$E$8)</f>
        <v/>
      </c>
      <c r="B8" s="154">
        <f>Риски!B8</f>
        <v/>
      </c>
      <c r="C8" s="155">
        <f>Риски!C8</f>
        <v/>
      </c>
      <c r="D8" s="155">
        <f>Риски!D8</f>
        <v/>
      </c>
      <c r="E8" s="153">
        <f>Риски!E8</f>
        <v/>
      </c>
      <c r="F8" s="155">
        <f>Риски!F8</f>
        <v/>
      </c>
      <c r="G8" s="154">
        <f>Риски!G8</f>
        <v/>
      </c>
      <c r="H8" s="155">
        <f>Риски!H8</f>
        <v/>
      </c>
      <c r="I8" s="155">
        <f>Риски!I8</f>
        <v/>
      </c>
    </row>
    <row r="10" ht="15.6" customHeight="1">
      <c r="A10" s="151" t="inlineStr">
        <is>
          <t>Матрица рисков (Вероятность × Влияние)</t>
        </is>
      </c>
    </row>
    <row r="11" ht="27.6" customHeight="1">
      <c r="A11" s="156" t="inlineStr">
        <is>
          <t>Влияние \ Вероятн.</t>
        </is>
      </c>
      <c r="B11" s="156" t="n">
        <v>1</v>
      </c>
      <c r="C11" s="156" t="n">
        <v>2</v>
      </c>
      <c r="D11" s="156" t="n">
        <v>3</v>
      </c>
      <c r="E11" s="156" t="n">
        <v>4</v>
      </c>
      <c r="F11" s="156" t="n">
        <v>5</v>
      </c>
    </row>
    <row r="12">
      <c r="A12" s="156" t="n">
        <v>5</v>
      </c>
      <c r="B12" s="157">
        <f>IF(COUNTIFS(Риски!$C$5:$C$8,1,Риски!$D$5:$D$8,5)=0,"",COUNTIFS(Риски!$C$5:$C$8,1,Риски!$D$5:$D$8,5))</f>
        <v/>
      </c>
      <c r="C12" s="158">
        <f>IF(COUNTIFS(Риски!$C$5:$C$8,2,Риски!$D$5:$D$8,5)=0,"",COUNTIFS(Риски!$C$5:$C$8,2,Риски!$D$5:$D$8,5))</f>
        <v/>
      </c>
      <c r="D12" s="159">
        <f>IF(COUNTIFS(Риски!$C$5:$C$8,3,Риски!$D$5:$D$8,5)=0,"",COUNTIFS(Риски!$C$5:$C$8,3,Риски!$D$5:$D$8,5))</f>
        <v/>
      </c>
      <c r="E12" s="159">
        <f>IF(COUNTIFS(Риски!$C$5:$C$8,4,Риски!$D$5:$D$8,5)=0,"",COUNTIFS(Риски!$C$5:$C$8,4,Риски!$D$5:$D$8,5))</f>
        <v/>
      </c>
      <c r="F12" s="159">
        <f>IF(COUNTIFS(Риски!$C$5:$C$8,5,Риски!$D$5:$D$8,5)=0,"",COUNTIFS(Риски!$C$5:$C$8,5,Риски!$D$5:$D$8,5))</f>
        <v/>
      </c>
    </row>
    <row r="13">
      <c r="A13" s="156" t="n">
        <v>4</v>
      </c>
      <c r="B13" s="157">
        <f>IF(COUNTIFS(Риски!$C$5:$C$8,1,Риски!$D$5:$D$8,4)=0,"",COUNTIFS(Риски!$C$5:$C$8,1,Риски!$D$5:$D$8,4))</f>
        <v/>
      </c>
      <c r="C13" s="158">
        <f>IF(COUNTIFS(Риски!$C$5:$C$8,2,Риски!$D$5:$D$8,4)=0,"",COUNTIFS(Риски!$C$5:$C$8,2,Риски!$D$5:$D$8,4))</f>
        <v/>
      </c>
      <c r="D13" s="158">
        <f>IF(COUNTIFS(Риски!$C$5:$C$8,3,Риски!$D$5:$D$8,4)=0,"",COUNTIFS(Риски!$C$5:$C$8,3,Риски!$D$5:$D$8,4))</f>
        <v/>
      </c>
      <c r="E13" s="159">
        <f>IF(COUNTIFS(Риски!$C$5:$C$8,4,Риски!$D$5:$D$8,4)=0,"",COUNTIFS(Риски!$C$5:$C$8,4,Риски!$D$5:$D$8,4))</f>
        <v/>
      </c>
      <c r="F13" s="159">
        <f>IF(COUNTIFS(Риски!$C$5:$C$8,5,Риски!$D$5:$D$8,4)=0,"",COUNTIFS(Риски!$C$5:$C$8,5,Риски!$D$5:$D$8,4))</f>
        <v/>
      </c>
    </row>
    <row r="14">
      <c r="A14" s="156" t="n">
        <v>3</v>
      </c>
      <c r="B14" s="157">
        <f>IF(COUNTIFS(Риски!$C$5:$C$8,1,Риски!$D$5:$D$8,3)=0,"",COUNTIFS(Риски!$C$5:$C$8,1,Риски!$D$5:$D$8,3))</f>
        <v/>
      </c>
      <c r="C14" s="157">
        <f>IF(COUNTIFS(Риски!$C$5:$C$8,2,Риски!$D$5:$D$8,3)=0,"",COUNTIFS(Риски!$C$5:$C$8,2,Риски!$D$5:$D$8,3))</f>
        <v/>
      </c>
      <c r="D14" s="158">
        <f>IF(COUNTIFS(Риски!$C$5:$C$8,3,Риски!$D$5:$D$8,3)=0,"",COUNTIFS(Риски!$C$5:$C$8,3,Риски!$D$5:$D$8,3))</f>
        <v/>
      </c>
      <c r="E14" s="158">
        <f>IF(COUNTIFS(Риски!$C$5:$C$8,4,Риски!$D$5:$D$8,3)=0,"",COUNTIFS(Риски!$C$5:$C$8,4,Риски!$D$5:$D$8,3))</f>
        <v/>
      </c>
      <c r="F14" s="159">
        <f>IF(COUNTIFS(Риски!$C$5:$C$8,5,Риски!$D$5:$D$8,3)=0,"",COUNTIFS(Риски!$C$5:$C$8,5,Риски!$D$5:$D$8,3))</f>
        <v/>
      </c>
    </row>
    <row r="15">
      <c r="A15" s="156" t="n">
        <v>2</v>
      </c>
      <c r="B15" s="157">
        <f>IF(COUNTIFS(Риски!$C$5:$C$8,1,Риски!$D$5:$D$8,2)=0,"",COUNTIFS(Риски!$C$5:$C$8,1,Риски!$D$5:$D$8,2))</f>
        <v/>
      </c>
      <c r="C15" s="157">
        <f>IF(COUNTIFS(Риски!$C$5:$C$8,2,Риски!$D$5:$D$8,2)=0,"",COUNTIFS(Риски!$C$5:$C$8,2,Риски!$D$5:$D$8,2))</f>
        <v/>
      </c>
      <c r="D15" s="157">
        <f>IF(COUNTIFS(Риски!$C$5:$C$8,3,Риски!$D$5:$D$8,2)=0,"",COUNTIFS(Риски!$C$5:$C$8,3,Риски!$D$5:$D$8,2))</f>
        <v/>
      </c>
      <c r="E15" s="158">
        <f>IF(COUNTIFS(Риски!$C$5:$C$8,4,Риски!$D$5:$D$8,2)=0,"",COUNTIFS(Риски!$C$5:$C$8,4,Риски!$D$5:$D$8,2))</f>
        <v/>
      </c>
      <c r="F15" s="158">
        <f>IF(COUNTIFS(Риски!$C$5:$C$8,5,Риски!$D$5:$D$8,2)=0,"",COUNTIFS(Риски!$C$5:$C$8,5,Риски!$D$5:$D$8,2))</f>
        <v/>
      </c>
    </row>
    <row r="16">
      <c r="A16" s="156" t="n">
        <v>1</v>
      </c>
      <c r="B16" s="157">
        <f>IF(COUNTIFS(Риски!$C$5:$C$8,1,Риски!$D$5:$D$8,1)=0,"",COUNTIFS(Риски!$C$5:$C$8,1,Риски!$D$5:$D$8,1))</f>
        <v/>
      </c>
      <c r="C16" s="157">
        <f>IF(COUNTIFS(Риски!$C$5:$C$8,2,Риски!$D$5:$D$8,1)=0,"",COUNTIFS(Риски!$C$5:$C$8,2,Риски!$D$5:$D$8,1))</f>
        <v/>
      </c>
      <c r="D16" s="157">
        <f>IF(COUNTIFS(Риски!$C$5:$C$8,3,Риски!$D$5:$D$8,1)=0,"",COUNTIFS(Риски!$C$5:$C$8,3,Риски!$D$5:$D$8,1))</f>
        <v/>
      </c>
      <c r="E16" s="157">
        <f>IF(COUNTIFS(Риски!$C$5:$C$8,4,Риски!$D$5:$D$8,1)=0,"",COUNTIFS(Риски!$C$5:$C$8,4,Риски!$D$5:$D$8,1))</f>
        <v/>
      </c>
      <c r="F16" s="157">
        <f>IF(COUNTIFS(Риски!$C$5:$C$8,5,Риски!$D$5:$D$8,1)=0,"",COUNTIFS(Риски!$C$5:$C$8,5,Риски!$D$5:$D$8,1))</f>
        <v/>
      </c>
    </row>
    <row r="17">
      <c r="A17" s="160" t="inlineStr">
        <is>
          <t>Цвет — уровень (зел &lt;8, жёлт 8–14, красн ≥15). Число — сколько рисков в клетке.</t>
        </is>
      </c>
    </row>
    <row r="18">
      <c r="A18" s="160" t="inlineStr">
        <is>
          <t>Соответствие: см. ранжированный список выше (столбцы Вер./Влиян.).</t>
        </is>
      </c>
    </row>
    <row r="20" ht="15.6" customHeight="1">
      <c r="A20" s="151" t="inlineStr">
        <is>
          <t>Диаграмма Исикавы (причинно-следственная)</t>
        </is>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S12" sqref="S12"/>
    </sheetView>
  </sheetViews>
  <sheetFormatPr baseColWidth="8" defaultRowHeight="14.4"/>
  <cols>
    <col width="28.33203125" customWidth="1" min="1" max="1"/>
    <col width="10" customWidth="1" min="2" max="3"/>
    <col width="11" customWidth="1" min="4" max="4"/>
    <col width="13" customWidth="1" min="5" max="5"/>
    <col width="10" customWidth="1" min="6" max="6"/>
  </cols>
  <sheetData>
    <row r="1" ht="17.4" customHeight="1">
      <c r="A1" s="37" t="inlineStr">
        <is>
          <t>Распределение задач по исполнителям</t>
        </is>
      </c>
    </row>
    <row r="2">
      <c r="A2" s="38" t="inlineStr">
        <is>
          <t>Из «Бэклога» по текущему спринту. Загрузка = задачи человека / его капасити.</t>
        </is>
      </c>
    </row>
    <row r="4" ht="27.6" customHeight="1">
      <c r="A4" s="39" t="inlineStr">
        <is>
          <t>Исполнитель</t>
        </is>
      </c>
      <c r="B4" s="39" t="inlineStr">
        <is>
          <t>Задач</t>
        </is>
      </c>
      <c r="C4" s="39" t="inlineStr">
        <is>
          <t>Дней</t>
        </is>
      </c>
      <c r="D4" s="39" t="inlineStr">
        <is>
          <t>Доля дней</t>
        </is>
      </c>
      <c r="E4" s="92" t="inlineStr">
        <is>
          <t>Капасити (дн)</t>
        </is>
      </c>
      <c r="F4" s="92" t="inlineStr">
        <is>
          <t>Загрузка</t>
        </is>
      </c>
    </row>
    <row r="5">
      <c r="A5" s="63" t="inlineStr">
        <is>
          <t>Иванов А.</t>
        </is>
      </c>
      <c r="B5" s="64">
        <f>COUNTIFS(Бэклог!$C$5:$C$44,A5,Бэклог!$M$5:$M$44,Параметры!$B$13)</f>
        <v/>
      </c>
      <c r="C5" s="35">
        <f>SUMIFS(Бэклог!$E$5:$E$44,Бэклог!$C$5:$C$44,A5,Бэклог!$M$5:$M$44,Параметры!$B$13)</f>
        <v/>
      </c>
      <c r="D5" s="36">
        <f>IFERROR(C5/SUM($C$5:$C$17),0)</f>
        <v/>
      </c>
      <c r="E5" s="102">
        <f>SUMIFS(Капасити!$H$5:$H$147,Капасити!$B$5:$B$147,A5,Капасити!$A$5:$A$147,Параметры!$B$13)</f>
        <v/>
      </c>
      <c r="F5" s="103">
        <f>IFERROR(C5/E5,0)</f>
        <v/>
      </c>
    </row>
    <row r="6">
      <c r="A6" s="63" t="inlineStr">
        <is>
          <t>Петрова М.</t>
        </is>
      </c>
      <c r="B6" s="64">
        <f>COUNTIFS(Бэклог!$C$5:$C$44,A6,Бэклог!$M$5:$M$44,Параметры!$B$13)</f>
        <v/>
      </c>
      <c r="C6" s="35">
        <f>SUMIFS(Бэклог!$E$5:$E$44,Бэклог!$C$5:$C$44,A6,Бэклог!$M$5:$M$44,Параметры!$B$13)</f>
        <v/>
      </c>
      <c r="D6" s="36">
        <f>IFERROR(C6/SUM($C$5:$C$17),0)</f>
        <v/>
      </c>
      <c r="E6" s="102">
        <f>SUMIFS(Капасити!$H$5:$H$147,Капасити!$B$5:$B$147,A6,Капасити!$A$5:$A$147,Параметры!$B$13)</f>
        <v/>
      </c>
      <c r="F6" s="103">
        <f>IFERROR(C6/E6,0)</f>
        <v/>
      </c>
    </row>
    <row r="7">
      <c r="A7" s="63" t="inlineStr">
        <is>
          <t>Сидоров К.</t>
        </is>
      </c>
      <c r="B7" s="64">
        <f>COUNTIFS(Бэклог!$C$5:$C$44,A7,Бэклог!$M$5:$M$44,Параметры!$B$13)</f>
        <v/>
      </c>
      <c r="C7" s="35">
        <f>SUMIFS(Бэклог!$E$5:$E$44,Бэклог!$C$5:$C$44,A7,Бэклог!$M$5:$M$44,Параметры!$B$13)</f>
        <v/>
      </c>
      <c r="D7" s="36">
        <f>IFERROR(C7/SUM($C$5:$C$17),0)</f>
        <v/>
      </c>
      <c r="E7" s="102">
        <f>SUMIFS(Капасити!$H$5:$H$147,Капасити!$B$5:$B$147,A7,Капасити!$A$5:$A$147,Параметры!$B$13)</f>
        <v/>
      </c>
      <c r="F7" s="103">
        <f>IFERROR(C7/E7,0)</f>
        <v/>
      </c>
    </row>
    <row r="8">
      <c r="A8" s="63" t="inlineStr">
        <is>
          <t>Кузнецов Д.</t>
        </is>
      </c>
      <c r="B8" s="64">
        <f>COUNTIFS(Бэклог!$C$5:$C$44,A8,Бэклог!$M$5:$M$44,Параметры!$B$13)</f>
        <v/>
      </c>
      <c r="C8" s="35">
        <f>SUMIFS(Бэклог!$E$5:$E$44,Бэклог!$C$5:$C$44,A8,Бэклог!$M$5:$M$44,Параметры!$B$13)</f>
        <v/>
      </c>
      <c r="D8" s="36">
        <f>IFERROR(C8/SUM($C$5:$C$17),0)</f>
        <v/>
      </c>
      <c r="E8" s="102">
        <f>SUMIFS(Капасити!$H$5:$H$147,Капасити!$B$5:$B$147,A8,Капасити!$A$5:$A$147,Параметры!$B$13)</f>
        <v/>
      </c>
      <c r="F8" s="103">
        <f>IFERROR(C8/E8,0)</f>
        <v/>
      </c>
    </row>
    <row r="9">
      <c r="A9" s="63" t="inlineStr">
        <is>
          <t>Орлова Е.</t>
        </is>
      </c>
      <c r="B9" s="64">
        <f>COUNTIFS(Бэклог!$C$5:$C$44,A9,Бэклог!$M$5:$M$44,Параметры!$B$13)</f>
        <v/>
      </c>
      <c r="C9" s="35">
        <f>SUMIFS(Бэклог!$E$5:$E$44,Бэклог!$C$5:$C$44,A9,Бэклог!$M$5:$M$44,Параметры!$B$13)</f>
        <v/>
      </c>
      <c r="D9" s="36">
        <f>IFERROR(C9/SUM($C$5:$C$17),0)</f>
        <v/>
      </c>
      <c r="E9" s="102">
        <f>SUMIFS(Капасити!$H$5:$H$147,Капасити!$B$5:$B$147,A9,Капасити!$A$5:$A$147,Параметры!$B$13)</f>
        <v/>
      </c>
      <c r="F9" s="103">
        <f>IFERROR(C9/E9,0)</f>
        <v/>
      </c>
    </row>
    <row r="10">
      <c r="A10" s="63" t="inlineStr">
        <is>
          <t>Смирнов П.</t>
        </is>
      </c>
      <c r="B10" s="64">
        <f>COUNTIFS(Бэклог!$C$5:$C$44,A10,Бэклог!$M$5:$M$44,Параметры!$B$13)</f>
        <v/>
      </c>
      <c r="C10" s="35">
        <f>SUMIFS(Бэклог!$E$5:$E$44,Бэклог!$C$5:$C$44,A10,Бэклог!$M$5:$M$44,Параметры!$B$13)</f>
        <v/>
      </c>
      <c r="D10" s="36">
        <f>IFERROR(C10/SUM($C$5:$C$17),0)</f>
        <v/>
      </c>
      <c r="E10" s="102">
        <f>SUMIFS(Капасити!$H$5:$H$147,Капасити!$B$5:$B$147,A10,Капасити!$A$5:$A$147,Параметры!$B$13)</f>
        <v/>
      </c>
      <c r="F10" s="103">
        <f>IFERROR(C10/E10,0)</f>
        <v/>
      </c>
    </row>
    <row r="11">
      <c r="A11" s="63" t="inlineStr">
        <is>
          <t>Волкова Н.</t>
        </is>
      </c>
      <c r="B11" s="64">
        <f>COUNTIFS(Бэклог!$C$5:$C$44,A11,Бэклог!$M$5:$M$44,Параметры!$B$13)</f>
        <v/>
      </c>
      <c r="C11" s="35">
        <f>SUMIFS(Бэклог!$E$5:$E$44,Бэклог!$C$5:$C$44,A11,Бэклог!$M$5:$M$44,Параметры!$B$13)</f>
        <v/>
      </c>
      <c r="D11" s="36">
        <f>IFERROR(C11/SUM($C$5:$C$17),0)</f>
        <v/>
      </c>
      <c r="E11" s="102">
        <f>SUMIFS(Капасити!$H$5:$H$147,Капасити!$B$5:$B$147,A11,Капасити!$A$5:$A$147,Параметры!$B$13)</f>
        <v/>
      </c>
      <c r="F11" s="103">
        <f>IFERROR(C11/E11,0)</f>
        <v/>
      </c>
    </row>
    <row r="12">
      <c r="A12" s="63" t="inlineStr">
        <is>
          <t>Морозов И.</t>
        </is>
      </c>
      <c r="B12" s="64">
        <f>COUNTIFS(Бэклог!$C$5:$C$44,A12,Бэклог!$M$5:$M$44,Параметры!$B$13)</f>
        <v/>
      </c>
      <c r="C12" s="35">
        <f>SUMIFS(Бэклог!$E$5:$E$44,Бэклог!$C$5:$C$44,A12,Бэклог!$M$5:$M$44,Параметры!$B$13)</f>
        <v/>
      </c>
      <c r="D12" s="36">
        <f>IFERROR(C12/SUM($C$5:$C$17),0)</f>
        <v/>
      </c>
      <c r="E12" s="102">
        <f>SUMIFS(Капасити!$H$5:$H$147,Капасити!$B$5:$B$147,A12,Капасити!$A$5:$A$147,Параметры!$B$13)</f>
        <v/>
      </c>
      <c r="F12" s="103">
        <f>IFERROR(C12/E12,0)</f>
        <v/>
      </c>
    </row>
    <row r="13">
      <c r="A13" s="63" t="inlineStr">
        <is>
          <t>Новиков А.</t>
        </is>
      </c>
      <c r="B13" s="64">
        <f>COUNTIFS(Бэклог!$C$5:$C$44,A13,Бэклог!$M$5:$M$44,Параметры!$B$13)</f>
        <v/>
      </c>
      <c r="C13" s="35">
        <f>SUMIFS(Бэклог!$E$5:$E$44,Бэклог!$C$5:$C$44,A13,Бэклог!$M$5:$M$44,Параметры!$B$13)</f>
        <v/>
      </c>
      <c r="D13" s="36">
        <f>IFERROR(C13/SUM($C$5:$C$17),0)</f>
        <v/>
      </c>
      <c r="E13" s="102">
        <f>SUMIFS(Капасити!$H$5:$H$147,Капасити!$B$5:$B$147,A13,Капасити!$A$5:$A$147,Параметры!$B$13)</f>
        <v/>
      </c>
      <c r="F13" s="103">
        <f>IFERROR(C13/E13,0)</f>
        <v/>
      </c>
    </row>
    <row r="14">
      <c r="A14" s="63" t="inlineStr">
        <is>
          <t>Фёдорова О.</t>
        </is>
      </c>
      <c r="B14" s="64">
        <f>COUNTIFS(Бэклог!$C$5:$C$44,A14,Бэклог!$M$5:$M$44,Параметры!$B$13)</f>
        <v/>
      </c>
      <c r="C14" s="35">
        <f>SUMIFS(Бэклог!$E$5:$E$44,Бэклог!$C$5:$C$44,A14,Бэклог!$M$5:$M$44,Параметры!$B$13)</f>
        <v/>
      </c>
      <c r="D14" s="36">
        <f>IFERROR(C14/SUM($C$5:$C$17),0)</f>
        <v/>
      </c>
      <c r="E14" s="102">
        <f>SUMIFS(Капасити!$H$5:$H$147,Капасити!$B$5:$B$147,A14,Капасити!$A$5:$A$147,Параметры!$B$13)</f>
        <v/>
      </c>
      <c r="F14" s="103">
        <f>IFERROR(C14/E14,0)</f>
        <v/>
      </c>
    </row>
    <row r="15">
      <c r="A15" s="63" t="inlineStr">
        <is>
          <t>Козлов В.</t>
        </is>
      </c>
      <c r="B15" s="64">
        <f>COUNTIFS(Бэклог!$C$5:$C$44,A15,Бэклог!$M$5:$M$44,Параметры!$B$13)</f>
        <v/>
      </c>
      <c r="C15" s="35">
        <f>SUMIFS(Бэклог!$E$5:$E$44,Бэклог!$C$5:$C$44,A15,Бэклог!$M$5:$M$44,Параметры!$B$13)</f>
        <v/>
      </c>
      <c r="D15" s="36">
        <f>IFERROR(C15/SUM($C$5:$C$17),0)</f>
        <v/>
      </c>
      <c r="E15" s="102">
        <f>SUMIFS(Капасити!$H$5:$H$147,Капасити!$B$5:$B$147,A15,Капасити!$A$5:$A$147,Параметры!$B$13)</f>
        <v/>
      </c>
      <c r="F15" s="103">
        <f>IFERROR(C15/E15,0)</f>
        <v/>
      </c>
    </row>
    <row r="16">
      <c r="A16" s="63" t="inlineStr">
        <is>
          <t>Лебедева Т.</t>
        </is>
      </c>
      <c r="B16" s="64">
        <f>COUNTIFS(Бэклог!$C$5:$C$44,A16,Бэклог!$M$5:$M$44,Параметры!$B$13)</f>
        <v/>
      </c>
      <c r="C16" s="35">
        <f>SUMIFS(Бэклог!$E$5:$E$44,Бэклог!$C$5:$C$44,A16,Бэклог!$M$5:$M$44,Параметры!$B$13)</f>
        <v/>
      </c>
      <c r="D16" s="36">
        <f>IFERROR(C16/SUM($C$5:$C$17),0)</f>
        <v/>
      </c>
      <c r="E16" s="102">
        <f>SUMIFS(Капасити!$H$5:$H$147,Капасити!$B$5:$B$147,A16,Капасити!$A$5:$A$147,Параметры!$B$13)</f>
        <v/>
      </c>
      <c r="F16" s="103">
        <f>IFERROR(C16/E16,0)</f>
        <v/>
      </c>
    </row>
    <row r="17">
      <c r="A17" s="63" t="inlineStr">
        <is>
          <t>Соколов Р.</t>
        </is>
      </c>
      <c r="B17" s="64">
        <f>COUNTIFS(Бэклог!$C$5:$C$44,A17,Бэклог!$M$5:$M$44,Параметры!$B$13)</f>
        <v/>
      </c>
      <c r="C17" s="35">
        <f>SUMIFS(Бэклог!$E$5:$E$44,Бэклог!$C$5:$C$44,A17,Бэклог!$M$5:$M$44,Параметры!$B$13)</f>
        <v/>
      </c>
      <c r="D17" s="36">
        <f>IFERROR(C17/SUM($C$5:$C$17),0)</f>
        <v/>
      </c>
      <c r="E17" s="102">
        <f>SUMIFS(Капасити!$H$5:$H$147,Капасити!$B$5:$B$147,A17,Капасити!$A$5:$A$147,Параметры!$B$13)</f>
        <v/>
      </c>
      <c r="F17" s="103">
        <f>IFERROR(C17/E17,0)</f>
        <v/>
      </c>
    </row>
    <row r="18">
      <c r="A18" s="53" t="inlineStr">
        <is>
          <t>ИТОГО</t>
        </is>
      </c>
      <c r="B18" s="53">
        <f>SUM(B5:B17)</f>
        <v/>
      </c>
      <c r="C18" s="54">
        <f>SUM(C5:C17)</f>
        <v/>
      </c>
      <c r="D18" s="65" t="n"/>
      <c r="E18" s="104">
        <f>SUM(E5:E17)</f>
        <v/>
      </c>
      <c r="F18" s="105">
        <f>IFERROR(C18/E18,0)</f>
        <v/>
      </c>
    </row>
    <row r="20" ht="15.6" customHeight="1">
      <c r="A20" s="58" t="inlineStr">
        <is>
          <t>Блокеры (из «Бэклога»)</t>
        </is>
      </c>
    </row>
    <row r="21">
      <c r="A21" s="32" t="inlineStr">
        <is>
          <t>Заблокировано задач</t>
        </is>
      </c>
      <c r="B21" s="35">
        <f>COUNTIF(Бэклог!$K$5:$K$44,"Да")</f>
        <v/>
      </c>
    </row>
    <row r="22">
      <c r="A22" s="32" t="inlineStr">
        <is>
          <t>Всего дней в блоке</t>
        </is>
      </c>
      <c r="B22" s="35">
        <f>SUM(Бэклог!$L$5:$L$44)</f>
        <v/>
      </c>
    </row>
    <row r="23">
      <c r="A23" s="32" t="inlineStr">
        <is>
          <t>Средн. дней в блоке</t>
        </is>
      </c>
      <c r="B23" s="35">
        <f>IFERROR(AVERAGEIF(Бэклог!$K$5:$K$44,"Да",Бэклог!$L$5:$L$44),0)</f>
        <v/>
      </c>
    </row>
  </sheetData>
  <conditionalFormatting sqref="F5:F17">
    <cfRule type="cellIs" priority="1" operator="greaterThan" dxfId="2">
      <formula>1</formula>
    </cfRule>
    <cfRule type="cellIs" priority="2" operator="between" dxfId="1">
      <formula>0.9</formula>
      <formula>1</formula>
    </cfRule>
    <cfRule type="cellIs" priority="3" operator="lessThan" dxfId="0">
      <formula>0.9</formula>
    </cfRule>
  </conditionalFormatting>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F26"/>
  <sheetViews>
    <sheetView showGridLines="0" workbookViewId="0">
      <pane ySplit="6" topLeftCell="A7" activePane="bottomLeft" state="frozen"/>
      <selection pane="bottomLeft" activeCell="A1" sqref="A1"/>
    </sheetView>
  </sheetViews>
  <sheetFormatPr baseColWidth="8" defaultRowHeight="14.4"/>
  <cols>
    <col width="10" customWidth="1" min="1" max="1"/>
    <col width="11" customWidth="1" min="2" max="2"/>
    <col width="12" customWidth="1" min="3" max="3"/>
    <col width="9" customWidth="1" min="4" max="5"/>
    <col hidden="1" width="13" customWidth="1" min="6" max="6"/>
  </cols>
  <sheetData>
    <row r="1" ht="17.4" customHeight="1">
      <c r="A1" s="213" t="inlineStr">
        <is>
          <t>Time to Market (TTM)</t>
        </is>
      </c>
    </row>
    <row r="2">
      <c r="A2" s="214" t="inlineStr">
        <is>
          <t>TTM = дата релиза − дата взятия задачи в работу. Цель — 15 дней.</t>
        </is>
      </c>
    </row>
    <row r="3">
      <c r="A3" s="14" t="inlineStr">
        <is>
          <t>Цель TTM (дн):</t>
        </is>
      </c>
      <c r="C3" s="215" t="n">
        <v>21</v>
      </c>
    </row>
    <row r="4">
      <c r="A4" s="14" t="inlineStr">
        <is>
          <t>Средний TTM (дн):</t>
        </is>
      </c>
      <c r="C4" s="216">
        <f>IFERROR(AVERAGEIF(D7:D26,"&gt;=0"),0)</f>
        <v/>
      </c>
    </row>
    <row r="6" ht="27.6" customHeight="1">
      <c r="A6" s="217" t="inlineStr">
        <is>
          <t>Задача</t>
        </is>
      </c>
      <c r="B6" s="217" t="inlineStr">
        <is>
          <t>В работу</t>
        </is>
      </c>
      <c r="C6" s="217" t="inlineStr">
        <is>
          <t>Дата релиза</t>
        </is>
      </c>
      <c r="D6" s="217" t="inlineStr">
        <is>
          <t>TTM (дн)</t>
        </is>
      </c>
      <c r="E6" s="217" t="inlineStr">
        <is>
          <t>Цель (дн)</t>
        </is>
      </c>
      <c r="F6" t="inlineStr">
        <is>
          <t>TTM (дн)</t>
        </is>
      </c>
    </row>
    <row r="7">
      <c r="A7" s="218">
        <f>IF(Бэклог!A5="","",Бэклог!A5)</f>
        <v/>
      </c>
      <c r="B7" s="219">
        <f>IF(Бэклог!P5="","",Бэклог!P5)</f>
        <v/>
      </c>
      <c r="C7" s="219">
        <f>IFERROR(SUMPRODUCT((Релизы!$C$5:$C$9&lt;=Бэклог!M5)*(Релизы!$D$5:$D$9&gt;=Бэклог!M5)*Релизы!$E$5:$E$9),0)</f>
        <v/>
      </c>
      <c r="D7" s="220">
        <f>IF(AND(B7&lt;&gt;"",C7&gt;0),C7-B7,"")</f>
        <v/>
      </c>
      <c r="E7" s="221">
        <f>$C$3</f>
        <v/>
      </c>
      <c r="F7" s="186">
        <f>IF(D7="",NA(),D7)</f>
        <v/>
      </c>
    </row>
    <row r="8">
      <c r="A8" s="218">
        <f>IF(Бэклог!A6="","",Бэклог!A6)</f>
        <v/>
      </c>
      <c r="B8" s="219">
        <f>IF(Бэклог!P6="","",Бэклог!P6)</f>
        <v/>
      </c>
      <c r="C8" s="219">
        <f>IFERROR(SUMPRODUCT((Релизы!$C$5:$C$9&lt;=Бэклог!M6)*(Релизы!$D$5:$D$9&gt;=Бэклог!M6)*Релизы!$E$5:$E$9),0)</f>
        <v/>
      </c>
      <c r="D8" s="220">
        <f>IF(AND(B8&lt;&gt;"",C8&gt;0),C8-B8,"")</f>
        <v/>
      </c>
      <c r="E8" s="221">
        <f>$C$3</f>
        <v/>
      </c>
      <c r="F8" s="186">
        <f>IF(D8="",NA(),D8)</f>
        <v/>
      </c>
    </row>
    <row r="9">
      <c r="A9" s="218">
        <f>IF(Бэклог!A7="","",Бэклог!A7)</f>
        <v/>
      </c>
      <c r="B9" s="219">
        <f>IF(Бэклог!P7="","",Бэклог!P7)</f>
        <v/>
      </c>
      <c r="C9" s="219">
        <f>IFERROR(SUMPRODUCT((Релизы!$C$5:$C$9&lt;=Бэклог!M7)*(Релизы!$D$5:$D$9&gt;=Бэклог!M7)*Релизы!$E$5:$E$9),0)</f>
        <v/>
      </c>
      <c r="D9" s="220">
        <f>IF(AND(B9&lt;&gt;"",C9&gt;0),C9-B9,"")</f>
        <v/>
      </c>
      <c r="E9" s="221">
        <f>$C$3</f>
        <v/>
      </c>
      <c r="F9" s="186">
        <f>IF(D9="",NA(),D9)</f>
        <v/>
      </c>
    </row>
    <row r="10">
      <c r="A10" s="218">
        <f>IF(Бэклог!A8="","",Бэклог!A8)</f>
        <v/>
      </c>
      <c r="B10" s="219">
        <f>IF(Бэклог!P8="","",Бэклог!P8)</f>
        <v/>
      </c>
      <c r="C10" s="219">
        <f>IFERROR(SUMPRODUCT((Релизы!$C$5:$C$9&lt;=Бэклог!M8)*(Релизы!$D$5:$D$9&gt;=Бэклог!M8)*Релизы!$E$5:$E$9),0)</f>
        <v/>
      </c>
      <c r="D10" s="220">
        <f>IF(AND(B10&lt;&gt;"",C10&gt;0),C10-B10,"")</f>
        <v/>
      </c>
      <c r="E10" s="221">
        <f>$C$3</f>
        <v/>
      </c>
      <c r="F10" s="186">
        <f>IF(D10="",NA(),D10)</f>
        <v/>
      </c>
    </row>
    <row r="11">
      <c r="A11" s="218">
        <f>IF(Бэклог!A9="","",Бэклог!A9)</f>
        <v/>
      </c>
      <c r="B11" s="219">
        <f>IF(Бэклог!P9="","",Бэклог!P9)</f>
        <v/>
      </c>
      <c r="C11" s="219">
        <f>IFERROR(SUMPRODUCT((Релизы!$C$5:$C$9&lt;=Бэклог!M9)*(Релизы!$D$5:$D$9&gt;=Бэклог!M9)*Релизы!$E$5:$E$9),0)</f>
        <v/>
      </c>
      <c r="D11" s="220">
        <f>IF(AND(B11&lt;&gt;"",C11&gt;0),C11-B11,"")</f>
        <v/>
      </c>
      <c r="E11" s="221">
        <f>$C$3</f>
        <v/>
      </c>
      <c r="F11" s="186">
        <f>IF(D11="",NA(),D11)</f>
        <v/>
      </c>
    </row>
    <row r="12">
      <c r="A12" s="218">
        <f>IF(Бэклог!A10="","",Бэклог!A10)</f>
        <v/>
      </c>
      <c r="B12" s="219">
        <f>IF(Бэклог!P10="","",Бэклог!P10)</f>
        <v/>
      </c>
      <c r="C12" s="219">
        <f>IFERROR(SUMPRODUCT((Релизы!$C$5:$C$9&lt;=Бэклог!M10)*(Релизы!$D$5:$D$9&gt;=Бэклог!M10)*Релизы!$E$5:$E$9),0)</f>
        <v/>
      </c>
      <c r="D12" s="220">
        <f>IF(AND(B12&lt;&gt;"",C12&gt;0),C12-B12,"")</f>
        <v/>
      </c>
      <c r="E12" s="221">
        <f>$C$3</f>
        <v/>
      </c>
      <c r="F12" s="186">
        <f>IF(D12="",NA(),D12)</f>
        <v/>
      </c>
    </row>
    <row r="13">
      <c r="A13" s="218">
        <f>IF(Бэклог!A11="","",Бэклог!A11)</f>
        <v/>
      </c>
      <c r="B13" s="219">
        <f>IF(Бэклог!P11="","",Бэклог!P11)</f>
        <v/>
      </c>
      <c r="C13" s="219">
        <f>IFERROR(SUMPRODUCT((Релизы!$C$5:$C$9&lt;=Бэклог!M11)*(Релизы!$D$5:$D$9&gt;=Бэклог!M11)*Релизы!$E$5:$E$9),0)</f>
        <v/>
      </c>
      <c r="D13" s="220">
        <f>IF(AND(B13&lt;&gt;"",C13&gt;0),C13-B13,"")</f>
        <v/>
      </c>
      <c r="E13" s="221">
        <f>$C$3</f>
        <v/>
      </c>
      <c r="F13" s="186">
        <f>IF(D13="",NA(),D13)</f>
        <v/>
      </c>
    </row>
    <row r="14">
      <c r="A14" s="218">
        <f>IF(Бэклог!A12="","",Бэклог!A12)</f>
        <v/>
      </c>
      <c r="B14" s="219">
        <f>IF(Бэклог!P12="","",Бэклог!P12)</f>
        <v/>
      </c>
      <c r="C14" s="219">
        <f>IFERROR(SUMPRODUCT((Релизы!$C$5:$C$9&lt;=Бэклог!M12)*(Релизы!$D$5:$D$9&gt;=Бэклог!M12)*Релизы!$E$5:$E$9),0)</f>
        <v/>
      </c>
      <c r="D14" s="220">
        <f>IF(AND(B14&lt;&gt;"",C14&gt;0),C14-B14,"")</f>
        <v/>
      </c>
      <c r="E14" s="221">
        <f>$C$3</f>
        <v/>
      </c>
      <c r="F14" s="186">
        <f>IF(D14="",NA(),D14)</f>
        <v/>
      </c>
    </row>
    <row r="15">
      <c r="A15" s="218">
        <f>IF(Бэклог!A13="","",Бэклог!A13)</f>
        <v/>
      </c>
      <c r="B15" s="219">
        <f>IF(Бэклог!P13="","",Бэклог!P13)</f>
        <v/>
      </c>
      <c r="C15" s="219">
        <f>IFERROR(SUMPRODUCT((Релизы!$C$5:$C$9&lt;=Бэклог!M13)*(Релизы!$D$5:$D$9&gt;=Бэклог!M13)*Релизы!$E$5:$E$9),0)</f>
        <v/>
      </c>
      <c r="D15" s="220">
        <f>IF(AND(B15&lt;&gt;"",C15&gt;0),C15-B15,"")</f>
        <v/>
      </c>
      <c r="E15" s="221">
        <f>$C$3</f>
        <v/>
      </c>
      <c r="F15" s="186">
        <f>IF(D15="",NA(),D15)</f>
        <v/>
      </c>
    </row>
    <row r="16">
      <c r="A16" s="218">
        <f>IF(Бэклог!A14="","",Бэклог!A14)</f>
        <v/>
      </c>
      <c r="B16" s="219">
        <f>IF(Бэклог!P14="","",Бэклог!P14)</f>
        <v/>
      </c>
      <c r="C16" s="219">
        <f>IFERROR(SUMPRODUCT((Релизы!$C$5:$C$9&lt;=Бэклог!M14)*(Релизы!$D$5:$D$9&gt;=Бэклог!M14)*Релизы!$E$5:$E$9),0)</f>
        <v/>
      </c>
      <c r="D16" s="220">
        <f>IF(AND(B16&lt;&gt;"",C16&gt;0),C16-B16,"")</f>
        <v/>
      </c>
      <c r="E16" s="221">
        <f>$C$3</f>
        <v/>
      </c>
      <c r="F16" s="186">
        <f>IF(D16="",NA(),D16)</f>
        <v/>
      </c>
    </row>
    <row r="17">
      <c r="A17" s="218">
        <f>IF(Бэклог!A15="","",Бэклог!A15)</f>
        <v/>
      </c>
      <c r="B17" s="219">
        <f>IF(Бэклог!P15="","",Бэклог!P15)</f>
        <v/>
      </c>
      <c r="C17" s="219">
        <f>IFERROR(SUMPRODUCT((Релизы!$C$5:$C$9&lt;=Бэклог!M15)*(Релизы!$D$5:$D$9&gt;=Бэклог!M15)*Релизы!$E$5:$E$9),0)</f>
        <v/>
      </c>
      <c r="D17" s="220">
        <f>IF(AND(B17&lt;&gt;"",C17&gt;0),C17-B17,"")</f>
        <v/>
      </c>
      <c r="E17" s="221">
        <f>$C$3</f>
        <v/>
      </c>
      <c r="F17" s="186">
        <f>IF(D17="",NA(),D17)</f>
        <v/>
      </c>
    </row>
    <row r="18">
      <c r="A18" s="218">
        <f>IF(Бэклог!A16="","",Бэклог!A16)</f>
        <v/>
      </c>
      <c r="B18" s="219">
        <f>IF(Бэклог!P16="","",Бэклог!P16)</f>
        <v/>
      </c>
      <c r="C18" s="219">
        <f>IFERROR(SUMPRODUCT((Релизы!$C$5:$C$9&lt;=Бэклог!M16)*(Релизы!$D$5:$D$9&gt;=Бэклог!M16)*Релизы!$E$5:$E$9),0)</f>
        <v/>
      </c>
      <c r="D18" s="220">
        <f>IF(AND(B18&lt;&gt;"",C18&gt;0),C18-B18,"")</f>
        <v/>
      </c>
      <c r="E18" s="221">
        <f>$C$3</f>
        <v/>
      </c>
      <c r="F18" s="186">
        <f>IF(D18="",NA(),D18)</f>
        <v/>
      </c>
    </row>
    <row r="19">
      <c r="A19" s="218">
        <f>IF(Бэклог!A17="","",Бэклог!A17)</f>
        <v/>
      </c>
      <c r="B19" s="219">
        <f>IF(Бэклог!P17="","",Бэклог!P17)</f>
        <v/>
      </c>
      <c r="C19" s="219">
        <f>IFERROR(SUMPRODUCT((Релизы!$C$5:$C$9&lt;=Бэклог!M17)*(Релизы!$D$5:$D$9&gt;=Бэклог!M17)*Релизы!$E$5:$E$9),0)</f>
        <v/>
      </c>
      <c r="D19" s="220">
        <f>IF(AND(B19&lt;&gt;"",C19&gt;0),C19-B19,"")</f>
        <v/>
      </c>
      <c r="E19" s="221">
        <f>$C$3</f>
        <v/>
      </c>
      <c r="F19" s="186">
        <f>IF(D19="",NA(),D19)</f>
        <v/>
      </c>
    </row>
    <row r="20">
      <c r="A20" s="218">
        <f>IF(Бэклог!A18="","",Бэклог!A18)</f>
        <v/>
      </c>
      <c r="B20" s="219">
        <f>IF(Бэклог!P18="","",Бэклог!P18)</f>
        <v/>
      </c>
      <c r="C20" s="219">
        <f>IFERROR(SUMPRODUCT((Релизы!$C$5:$C$9&lt;=Бэклог!M18)*(Релизы!$D$5:$D$9&gt;=Бэклог!M18)*Релизы!$E$5:$E$9),0)</f>
        <v/>
      </c>
      <c r="D20" s="220">
        <f>IF(AND(B20&lt;&gt;"",C20&gt;0),C20-B20,"")</f>
        <v/>
      </c>
      <c r="E20" s="221">
        <f>$C$3</f>
        <v/>
      </c>
      <c r="F20" s="186">
        <f>IF(D20="",NA(),D20)</f>
        <v/>
      </c>
    </row>
    <row r="21">
      <c r="A21" s="218">
        <f>IF(Бэклог!A19="","",Бэклог!A19)</f>
        <v/>
      </c>
      <c r="B21" s="219">
        <f>IF(Бэклог!P19="","",Бэклог!P19)</f>
        <v/>
      </c>
      <c r="C21" s="219">
        <f>IFERROR(SUMPRODUCT((Релизы!$C$5:$C$9&lt;=Бэклог!M19)*(Релизы!$D$5:$D$9&gt;=Бэклог!M19)*Релизы!$E$5:$E$9),0)</f>
        <v/>
      </c>
      <c r="D21" s="220">
        <f>IF(AND(B21&lt;&gt;"",C21&gt;0),C21-B21,"")</f>
        <v/>
      </c>
      <c r="E21" s="221">
        <f>$C$3</f>
        <v/>
      </c>
      <c r="F21" s="186">
        <f>IF(D21="",NA(),D21)</f>
        <v/>
      </c>
    </row>
    <row r="22">
      <c r="A22" s="218">
        <f>IF(Бэклог!A20="","",Бэклог!A20)</f>
        <v/>
      </c>
      <c r="B22" s="219">
        <f>IF(Бэклог!P20="","",Бэклог!P20)</f>
        <v/>
      </c>
      <c r="C22" s="219">
        <f>IFERROR(SUMPRODUCT((Релизы!$C$5:$C$9&lt;=Бэклог!M20)*(Релизы!$D$5:$D$9&gt;=Бэклог!M20)*Релизы!$E$5:$E$9),0)</f>
        <v/>
      </c>
      <c r="D22" s="220">
        <f>IF(AND(B22&lt;&gt;"",C22&gt;0),C22-B22,"")</f>
        <v/>
      </c>
      <c r="E22" s="221">
        <f>$C$3</f>
        <v/>
      </c>
      <c r="F22" s="186">
        <f>IF(D22="",NA(),D22)</f>
        <v/>
      </c>
    </row>
    <row r="23">
      <c r="A23" s="218">
        <f>IF(Бэклог!A21="","",Бэклог!A21)</f>
        <v/>
      </c>
      <c r="B23" s="219">
        <f>IF(Бэклог!P21="","",Бэклог!P21)</f>
        <v/>
      </c>
      <c r="C23" s="219">
        <f>IFERROR(SUMPRODUCT((Релизы!$C$5:$C$9&lt;=Бэклог!M21)*(Релизы!$D$5:$D$9&gt;=Бэклог!M21)*Релизы!$E$5:$E$9),0)</f>
        <v/>
      </c>
      <c r="D23" s="220">
        <f>IF(AND(B23&lt;&gt;"",C23&gt;0),C23-B23,"")</f>
        <v/>
      </c>
      <c r="E23" s="221">
        <f>$C$3</f>
        <v/>
      </c>
      <c r="F23" s="186">
        <f>IF(D23="",NA(),D23)</f>
        <v/>
      </c>
    </row>
    <row r="24">
      <c r="A24" s="218">
        <f>IF(Бэклог!A22="","",Бэклог!A22)</f>
        <v/>
      </c>
      <c r="B24" s="219">
        <f>IF(Бэклог!P22="","",Бэклог!P22)</f>
        <v/>
      </c>
      <c r="C24" s="219">
        <f>IFERROR(SUMPRODUCT((Релизы!$C$5:$C$9&lt;=Бэклог!M22)*(Релизы!$D$5:$D$9&gt;=Бэклог!M22)*Релизы!$E$5:$E$9),0)</f>
        <v/>
      </c>
      <c r="D24" s="220">
        <f>IF(AND(B24&lt;&gt;"",C24&gt;0),C24-B24,"")</f>
        <v/>
      </c>
      <c r="E24" s="221">
        <f>$C$3</f>
        <v/>
      </c>
      <c r="F24" s="186">
        <f>IF(D24="",NA(),D24)</f>
        <v/>
      </c>
    </row>
    <row r="25">
      <c r="A25" s="218">
        <f>IF(Бэклог!A23="","",Бэклог!A23)</f>
        <v/>
      </c>
      <c r="B25" s="219">
        <f>IF(Бэклог!P23="","",Бэклог!P23)</f>
        <v/>
      </c>
      <c r="C25" s="219">
        <f>IFERROR(SUMPRODUCT((Релизы!$C$5:$C$9&lt;=Бэклог!M23)*(Релизы!$D$5:$D$9&gt;=Бэклог!M23)*Релизы!$E$5:$E$9),0)</f>
        <v/>
      </c>
      <c r="D25" s="220">
        <f>IF(AND(B25&lt;&gt;"",C25&gt;0),C25-B25,"")</f>
        <v/>
      </c>
      <c r="E25" s="221">
        <f>$C$3</f>
        <v/>
      </c>
      <c r="F25" s="186">
        <f>IF(D25="",NA(),D25)</f>
        <v/>
      </c>
    </row>
    <row r="26">
      <c r="A26" s="218">
        <f>IF(Бэклог!A24="","",Бэклог!A24)</f>
        <v/>
      </c>
      <c r="B26" s="219">
        <f>IF(Бэклог!P24="","",Бэклог!P24)</f>
        <v/>
      </c>
      <c r="C26" s="219">
        <f>IFERROR(SUMPRODUCT((Релизы!$C$5:$C$9&lt;=Бэклог!M24)*(Релизы!$D$5:$D$9&gt;=Бэклог!M24)*Релизы!$E$5:$E$9),0)</f>
        <v/>
      </c>
      <c r="D26" s="220">
        <f>IF(AND(B26&lt;&gt;"",C26&gt;0),C26-B26,"")</f>
        <v/>
      </c>
      <c r="E26" s="221">
        <f>$C$3</f>
        <v/>
      </c>
      <c r="F26" s="186">
        <f>IF(D26="",NA(),D26)</f>
        <v/>
      </c>
    </row>
  </sheetData>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D18"/>
  <sheetViews>
    <sheetView showGridLines="0" workbookViewId="0">
      <pane ySplit="4" topLeftCell="A5" activePane="bottomLeft" state="frozen"/>
      <selection pane="bottomLeft" activeCell="A1" sqref="A1"/>
    </sheetView>
  </sheetViews>
  <sheetFormatPr baseColWidth="8" defaultRowHeight="15"/>
  <cols>
    <col width="8" customWidth="1" min="1" max="1"/>
    <col width="20" customWidth="1" min="2" max="2"/>
    <col width="40" customWidth="1" min="3" max="3"/>
    <col width="66" customWidth="1" min="4" max="4"/>
  </cols>
  <sheetData>
    <row r="1">
      <c r="A1" s="213" t="inlineStr">
        <is>
          <t>FAQ — частые вопросы по приложению</t>
        </is>
      </c>
    </row>
    <row r="2">
      <c r="A2" s="225" t="inlineStr">
        <is>
          <t>Ответы на типичные вопросы о работе с приложением планирования спринтов.</t>
        </is>
      </c>
    </row>
    <row r="4">
      <c r="A4" s="256" t="inlineStr">
        <is>
          <t>ID</t>
        </is>
      </c>
      <c r="B4" s="256" t="inlineStr">
        <is>
          <t>Категория</t>
        </is>
      </c>
      <c r="C4" s="256" t="inlineStr">
        <is>
          <t>Вопрос</t>
        </is>
      </c>
      <c r="D4" s="256" t="inlineStr">
        <is>
          <t>Ответ</t>
        </is>
      </c>
    </row>
    <row r="5" ht="46" customHeight="1">
      <c r="A5" s="257" t="inlineStr">
        <is>
          <t>Q-01</t>
        </is>
      </c>
      <c r="B5" s="258" t="inlineStr">
        <is>
          <t>Начало работы</t>
        </is>
      </c>
      <c r="C5" s="259" t="inlineStr">
        <is>
          <t>С чего начать работу в приложении?</t>
        </is>
      </c>
      <c r="D5" s="260" t="inlineStr">
        <is>
          <t>Заполните «Параметры» (даты старта, число спринтов, focus factor), затем «Команду» и «Бэклог». Дорожная карта, ёмкость, velocity, релизы и метрики считаются автоматически из этих данных.</t>
        </is>
      </c>
    </row>
    <row r="6" ht="46" customHeight="1">
      <c r="A6" s="257" t="inlineStr">
        <is>
          <t>Q-02</t>
        </is>
      </c>
      <c r="B6" s="258" t="inlineStr">
        <is>
          <t>Начало работы</t>
        </is>
      </c>
      <c r="C6" s="259" t="inlineStr">
        <is>
          <t>Нужен ли интернет или сервер?</t>
        </is>
      </c>
      <c r="D6" s="260" t="inlineStr">
        <is>
          <t>Нет. Приложение работает локально в браузере, данные хранятся в localStorage. Если поднят backend (Java + Python), состояние синхронизируется через /api/state.</t>
        </is>
      </c>
    </row>
    <row r="7" ht="46" customHeight="1">
      <c r="A7" s="257" t="inlineStr">
        <is>
          <t>Q-03</t>
        </is>
      </c>
      <c r="B7" s="258" t="inlineStr">
        <is>
          <t>Начало работы</t>
        </is>
      </c>
      <c r="C7" s="259" t="inlineStr">
        <is>
          <t>Как быстро найти нужный раздел или действие?</t>
        </is>
      </c>
      <c r="D7" s="260" t="inlineStr">
        <is>
          <t>Нажмите Ctrl/⌘+K — откроется командная палитра с поиском по всем разделам и действиям.</t>
        </is>
      </c>
    </row>
    <row r="8" ht="46" customHeight="1">
      <c r="A8" s="257" t="inlineStr">
        <is>
          <t>Q-04</t>
        </is>
      </c>
      <c r="B8" s="261" t="inlineStr">
        <is>
          <t>Планирование</t>
        </is>
      </c>
      <c r="C8" s="259" t="inlineStr">
        <is>
          <t>Как рассчитывается ёмкость спринта?</t>
        </is>
      </c>
      <c r="D8" s="260" t="inlineStr">
        <is>
          <t>Из состава «Команды» и её доступности, отсутствий, числа рабочих дней спринта (с учётом «Календаря» праздников) и focus factor из «Параметров».</t>
        </is>
      </c>
    </row>
    <row r="9" ht="46" customHeight="1">
      <c r="A9" s="257" t="inlineStr">
        <is>
          <t>Q-05</t>
        </is>
      </c>
      <c r="B9" s="261" t="inlineStr">
        <is>
          <t>Планирование</t>
        </is>
      </c>
      <c r="C9" s="259" t="inlineStr">
        <is>
          <t>Что такое focus factor?</t>
        </is>
      </c>
      <c r="D9" s="260" t="inlineStr">
        <is>
          <t>Доля рабочего времени, реально уходящая на задачи спринта (обычно 0.7–0.8). Остаток — митинги, поддержка, переключения между задачами.</t>
        </is>
      </c>
    </row>
    <row r="10" ht="46" customHeight="1">
      <c r="A10" s="257" t="inlineStr">
        <is>
          <t>Q-06</t>
        </is>
      </c>
      <c r="B10" s="261" t="inlineStr">
        <is>
          <t>Планирование</t>
        </is>
      </c>
      <c r="C10" s="259" t="inlineStr">
        <is>
          <t>Чем отличаются RICE и MoSCoW?</t>
        </is>
      </c>
      <c r="D10" s="260" t="inlineStr">
        <is>
          <t>RICE даёт числовой балл (Reach × Impact × Confidence / Effort) для ранжирования. MoSCoW распределяет фичи по категориям Must / Should / Could / Won't. Их удобно использовать вместе.</t>
        </is>
      </c>
    </row>
    <row r="11" ht="46" customHeight="1">
      <c r="A11" s="257" t="inlineStr">
        <is>
          <t>Q-07</t>
        </is>
      </c>
      <c r="B11" s="262" t="inlineStr">
        <is>
          <t>Данные и доступ</t>
        </is>
      </c>
      <c r="C11" s="259" t="inlineStr">
        <is>
          <t>Где хранятся мои данные?</t>
        </is>
      </c>
      <c r="D11" s="260" t="inlineStr">
        <is>
          <t>Локально в браузере (localStorage) и, если настроен сервер, в базе PostgreSQL через /api/state. Для резервной копии выгружайте JSON или Excel.</t>
        </is>
      </c>
    </row>
    <row r="12" ht="46" customHeight="1">
      <c r="A12" s="257" t="inlineStr">
        <is>
          <t>Q-08</t>
        </is>
      </c>
      <c r="B12" s="262" t="inlineStr">
        <is>
          <t>Данные и доступ</t>
        </is>
      </c>
      <c r="C12" s="259" t="inlineStr">
        <is>
          <t>Как перенести данные на другой компьютер?</t>
        </is>
      </c>
      <c r="D12" s="260" t="inlineStr">
        <is>
          <t>На текущем компьютере нажмите «JSON» (экспорт), на другом — «Импорт» и выберите файл. Импорт доступен администратору.</t>
        </is>
      </c>
    </row>
    <row r="13" ht="46" customHeight="1">
      <c r="A13" s="257" t="inlineStr">
        <is>
          <t>Q-09</t>
        </is>
      </c>
      <c r="B13" s="262" t="inlineStr">
        <is>
          <t>Данные и доступ</t>
        </is>
      </c>
      <c r="C13" s="259" t="inlineStr">
        <is>
          <t>Что делает кнопка «Сброс»?</t>
        </is>
      </c>
      <c r="D13" s="260" t="inlineStr">
        <is>
          <t>Возвращает данные к исходному демонстрационному набору. Действие необратимо и доступно только администратору — перед сбросом сделайте экспорт JSON.</t>
        </is>
      </c>
    </row>
    <row r="14" ht="46" customHeight="1">
      <c r="A14" s="257" t="inlineStr">
        <is>
          <t>Q-10</t>
        </is>
      </c>
      <c r="B14" s="262" t="inlineStr">
        <is>
          <t>Данные и доступ</t>
        </is>
      </c>
      <c r="C14" s="259" t="inlineStr">
        <is>
          <t>Чем отличаются режимы Просмотр, Редактор и Администратор?</t>
        </is>
      </c>
      <c r="D14" s="260" t="inlineStr">
        <is>
          <t>Просмотр — только чтение. Редактор правит данные, кроме «Параметров», «Сброса» и «Импорта». Администратор — полный доступ, включая коды доступа.</t>
        </is>
      </c>
    </row>
    <row r="15" ht="46" customHeight="1">
      <c r="A15" s="257" t="inlineStr">
        <is>
          <t>Q-11</t>
        </is>
      </c>
      <c r="B15" s="262" t="inlineStr">
        <is>
          <t>Данные и доступ</t>
        </is>
      </c>
      <c r="C15" s="259" t="inlineStr">
        <is>
          <t>Как сменить режим доступа?</t>
        </is>
      </c>
      <c r="D15" s="260" t="inlineStr">
        <is>
          <t>Кнопка режима в шапке. Переход в «Редактор» или «Администратор» — по коду, который задаёт администратор в панели «Коды доступа».</t>
        </is>
      </c>
    </row>
    <row r="16" ht="46" customHeight="1">
      <c r="A16" s="257" t="inlineStr">
        <is>
          <t>Q-12</t>
        </is>
      </c>
      <c r="B16" s="263" t="inlineStr">
        <is>
          <t>Экспорт и интерфейс</t>
        </is>
      </c>
      <c r="C16" s="259" t="inlineStr">
        <is>
          <t>Как выгрузить план в Excel?</t>
        </is>
      </c>
      <c r="D16" s="260" t="inlineStr">
        <is>
          <t>Кнопка «Excel» в шапке или Ctrl/⌘+K → «Экспорт в Excel». Файл включает все разделы, в том числе RICE, MoSCoW и FAQ.</t>
        </is>
      </c>
    </row>
    <row r="17" ht="46" customHeight="1">
      <c r="A17" s="257" t="inlineStr">
        <is>
          <t>Q-13</t>
        </is>
      </c>
      <c r="B17" s="263" t="inlineStr">
        <is>
          <t>Экспорт и интерфейс</t>
        </is>
      </c>
      <c r="C17" s="259" t="inlineStr">
        <is>
          <t>Есть ли описание и презентация приложения?</t>
        </is>
      </c>
      <c r="D17" s="260" t="inlineStr">
        <is>
          <t>Да. К приложению прилагаются документы «Описание…», «Иллюстрированное описание…» (docx) и презентация (pptx).</t>
        </is>
      </c>
    </row>
    <row r="18" ht="46" customHeight="1">
      <c r="A18" s="257" t="inlineStr">
        <is>
          <t>Q-14</t>
        </is>
      </c>
      <c r="B18" s="263" t="inlineStr">
        <is>
          <t>Экспорт и интерфейс</t>
        </is>
      </c>
      <c r="C18" s="259" t="inlineStr">
        <is>
          <t>Как свернуть боковое меню?</t>
        </is>
      </c>
      <c r="D18" s="260" t="inlineStr">
        <is>
          <t>Кнопка-гамбургер (☰) в шапке сворачивает и разворачивает список разделов; на мобильном — открывает выдвижное меню. Состояние запоминается.</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2026-07-28T06:56:38Z</dcterms:created>
  <dcterms:modified xmlns:dcterms="http://purl.org/dc/terms/" xmlns:xsi="http://www.w3.org/2001/XMLSchema-instance" xsi:type="dcterms:W3CDTF">2026-09-14T07:30:05Z</dcterms:modified>
  <cp:lastModifiedBy>Андрей Агафонов</cp:lastModifiedBy>
</cp:coreProperties>
</file>
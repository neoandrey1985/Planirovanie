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1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18" activeTab="27"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Квартальный roadmap" sheetId="7" state="visible" r:id="rId7"/>
    <sheet xmlns:r="http://schemas.openxmlformats.org/officeDocument/2006/relationships" name="Релизы" sheetId="8" state="visible" r:id="rId8"/>
    <sheet xmlns:r="http://schemas.openxmlformats.org/officeDocument/2006/relationships" name="Вехи" sheetId="9" state="visible" r:id="rId9"/>
    <sheet xmlns:r="http://schemas.openxmlformats.org/officeDocument/2006/relationships" name="Технический долг" sheetId="10" state="visible" r:id="rId10"/>
    <sheet xmlns:r="http://schemas.openxmlformats.org/officeDocument/2006/relationships" name="Ретроспективы" sheetId="11" state="visible" r:id="rId11"/>
    <sheet xmlns:r="http://schemas.openxmlformats.org/officeDocument/2006/relationships" name="Бюджет" sheetId="12" state="visible" r:id="rId12"/>
    <sheet xmlns:r="http://schemas.openxmlformats.org/officeDocument/2006/relationships" name="OKR" sheetId="13" state="visible" r:id="rId13"/>
    <sheet xmlns:r="http://schemas.openxmlformats.org/officeDocument/2006/relationships" name="Ёмкость на горизонт" sheetId="14" state="visible" r:id="rId14"/>
    <sheet xmlns:r="http://schemas.openxmlformats.org/officeDocument/2006/relationships" name="Гант" sheetId="15" state="visible" r:id="rId15"/>
    <sheet xmlns:r="http://schemas.openxmlformats.org/officeDocument/2006/relationships" name="Капасити" sheetId="16" state="visible" r:id="rId16"/>
    <sheet xmlns:r="http://schemas.openxmlformats.org/officeDocument/2006/relationships" name="Календарь" sheetId="17" state="visible" r:id="rId17"/>
    <sheet xmlns:r="http://schemas.openxmlformats.org/officeDocument/2006/relationships" name="Загрузка по ролям" sheetId="18" state="visible" r:id="rId18"/>
    <sheet xmlns:r="http://schemas.openxmlformats.org/officeDocument/2006/relationships" name="Бэклог" sheetId="19" state="visible" r:id="rId19"/>
    <sheet xmlns:r="http://schemas.openxmlformats.org/officeDocument/2006/relationships" name="Сгорание" sheetId="20" state="visible" r:id="rId20"/>
    <sheet xmlns:r="http://schemas.openxmlformats.org/officeDocument/2006/relationships" name="Качество" sheetId="21" state="visible" r:id="rId21"/>
    <sheet xmlns:r="http://schemas.openxmlformats.org/officeDocument/2006/relationships" name="Баги" sheetId="22" state="visible" r:id="rId22"/>
    <sheet xmlns:r="http://schemas.openxmlformats.org/officeDocument/2006/relationships" name="CFD" sheetId="23" state="visible" r:id="rId23"/>
    <sheet xmlns:r="http://schemas.openxmlformats.org/officeDocument/2006/relationships" name="Метрики и прогноз" sheetId="24" state="visible" r:id="rId24"/>
    <sheet xmlns:r="http://schemas.openxmlformats.org/officeDocument/2006/relationships" name="Cycle time" sheetId="25" state="visible" r:id="rId25"/>
    <sheet xmlns:r="http://schemas.openxmlformats.org/officeDocument/2006/relationships" name="Риски" sheetId="26" state="visible" r:id="rId26"/>
    <sheet xmlns:r="http://schemas.openxmlformats.org/officeDocument/2006/relationships" name="Матрица рисков" sheetId="27" state="visible" r:id="rId27"/>
    <sheet xmlns:r="http://schemas.openxmlformats.org/officeDocument/2006/relationships" name="Распределение" sheetId="28" state="visible" r:id="rId28"/>
    <sheet xmlns:r="http://schemas.openxmlformats.org/officeDocument/2006/relationships" name="Time to Market" sheetId="29" state="visible" r:id="rId29"/>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1">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00D9E1F2"/>
      </patternFill>
    </fill>
  </fills>
  <borders count="1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style="thin">
        <color rgb="FFD9D9D9"/>
      </left>
      <right style="thin">
        <color rgb="FFD9D9D9"/>
      </right>
      <top style="thin">
        <color rgb="FFD9D9D9"/>
      </top>
      <bottom style="thin">
        <color rgb="FFD9D9D9"/>
      </bottom>
    </border>
  </borders>
  <cellStyleXfs count="1">
    <xf numFmtId="0" fontId="0" fillId="0" borderId="0"/>
  </cellStyleXfs>
  <cellXfs count="2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16" fillId="13" borderId="13" applyAlignment="1" pivotButton="0" quotePrefix="0" xfId="0">
      <alignment horizontal="left" vertical="center" wrapText="1"/>
    </xf>
    <xf numFmtId="0" fontId="0" fillId="0" borderId="5" pivotButton="0" quotePrefix="0" xfId="0"/>
    <xf numFmtId="0" fontId="0" fillId="0" borderId="6" pivotButton="0" quotePrefix="0" xfId="0"/>
    <xf numFmtId="0" fontId="16" fillId="13" borderId="14" applyAlignment="1" pivotButton="0" quotePrefix="0" xfId="0">
      <alignment horizontal="left" vertical="center" wrapText="1"/>
    </xf>
    <xf numFmtId="0" fontId="4" fillId="0" borderId="17" pivotButton="0" quotePrefix="0" xfId="0"/>
    <xf numFmtId="167" fontId="16" fillId="50" borderId="17" applyAlignment="1" pivotButton="0" quotePrefix="0" xfId="0">
      <alignment horizontal="center" vertical="center"/>
    </xf>
    <xf numFmtId="0" fontId="50" fillId="0" borderId="0" pivotButton="0" quotePrefix="0" xfId="0"/>
    <xf numFmtId="0" fontId="48" fillId="48" borderId="18" applyAlignment="1" pivotButton="0" quotePrefix="0" xfId="0">
      <alignment horizontal="center" vertical="center" wrapText="1"/>
    </xf>
    <xf numFmtId="0" fontId="4" fillId="0" borderId="18" pivotButton="0" quotePrefix="0" xfId="0"/>
    <xf numFmtId="0" fontId="6" fillId="0" borderId="18" pivotButton="0" quotePrefix="0" xfId="0"/>
    <xf numFmtId="169" fontId="6" fillId="0" borderId="18" applyAlignment="1" pivotButton="0" quotePrefix="0" xfId="0">
      <alignment horizontal="center"/>
    </xf>
    <xf numFmtId="0" fontId="6" fillId="0" borderId="18" applyAlignment="1" pivotButton="0" quotePrefix="0" xfId="0">
      <alignment horizontal="center"/>
    </xf>
    <xf numFmtId="9" fontId="6" fillId="0" borderId="18" pivotButton="0" quotePrefix="0" xfId="0"/>
    <xf numFmtId="170" fontId="4" fillId="0" borderId="18" pivotButton="0" quotePrefix="0" xfId="0"/>
    <xf numFmtId="0" fontId="4" fillId="0" borderId="18" applyAlignment="1" pivotButton="0" quotePrefix="0" xfId="0">
      <alignment horizontal="center"/>
    </xf>
    <xf numFmtId="0" fontId="51" fillId="0" borderId="0" pivotButton="0" quotePrefix="0" xfId="0"/>
    <xf numFmtId="0" fontId="52" fillId="0" borderId="0" pivotButton="0" quotePrefix="0" xfId="0"/>
  </cellXfs>
  <cellStyles count="1">
    <cellStyle name="Обычный" xfId="0" builtinId="0"/>
  </cellStyles>
  <dxfs count="42">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00C6EFCE"/>
        </patternFill>
      </fill>
    </dxf>
    <dxf>
      <fill>
        <patternFill patternType="solid">
          <fgColor rgb="00FFC7CE"/>
        </patternFill>
      </fill>
    </dxf>
    <dxf>
      <fill>
        <patternFill patternType="solid">
          <fgColor rgb="FFE2EFDA"/>
        </patternFill>
      </fill>
    </dxf>
    <dxf>
      <fill>
        <patternFill patternType="solid">
          <fgColor rgb="FFFFF2CC"/>
        </patternFill>
      </fill>
    </dxf>
    <dxf>
      <fill>
        <patternFill patternType="solid">
          <fgColor rgb="FF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RICE score по фичам</a:t>
            </a:r>
          </a:p>
        </rich>
      </tx>
    </title>
    <plotArea>
      <barChart>
        <barDir val="bar"/>
        <grouping val="clustered"/>
        <ser>
          <idx val="0"/>
          <order val="0"/>
          <tx>
            <strRef>
              <f>'RICE'!G4</f>
            </strRef>
          </tx>
          <spPr>
            <a:ln xmlns:a="http://schemas.openxmlformats.org/drawingml/2006/main">
              <a:prstDash val="solid"/>
            </a:ln>
          </spPr>
          <cat>
            <numRef>
              <f>'RICE'!$B$5:$B$14</f>
            </numRef>
          </cat>
          <val>
            <numRef>
              <f>'RICE'!$G$5:$G$14</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 Type="http://schemas.openxmlformats.org/officeDocument/2006/relationships/chart" Target="/xl/charts/chart48.xml" Id="rId2"/><Relationship Type="http://schemas.openxmlformats.org/officeDocument/2006/relationships/chart" Target="/xl/charts/chart49.xml" Id="rId3"/></Relationships>
</file>

<file path=xl/drawings/_rels/drawing10.xml.rels><Relationships xmlns="http://schemas.openxmlformats.org/package/2006/relationships"><Relationship Type="http://schemas.openxmlformats.org/officeDocument/2006/relationships/chart" Target="/xl/charts/chart50.xml" Id="rId1"/></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s>
</file>

<file path=xl/drawings/_rels/drawing16.xml.rels><Relationships xmlns="http://schemas.openxmlformats.org/package/2006/relationships"><Relationship Type="http://schemas.openxmlformats.org/officeDocument/2006/relationships/chart" Target="/xl/charts/chart57.xml" Id="rId1"/></Relationships>
</file>

<file path=xl/drawings/_rels/drawing17.xml.rels><Relationships xmlns="http://schemas.openxmlformats.org/package/2006/relationships"><Relationship Type="http://schemas.openxmlformats.org/officeDocument/2006/relationships/chart" Target="/xl/charts/chart58.xml" Id="rId1"/><Relationship Type="http://schemas.openxmlformats.org/officeDocument/2006/relationships/chart" Target="/xl/charts/chart59.xml" Id="rId2"/><Relationship Type="http://schemas.openxmlformats.org/officeDocument/2006/relationships/chart" Target="/xl/charts/chart60.xml" Id="rId3"/></Relationships>
</file>

<file path=xl/drawings/_rels/drawing18.xml.rels><Relationships xmlns="http://schemas.openxmlformats.org/package/2006/relationships"><Relationship Type="http://schemas.openxmlformats.org/officeDocument/2006/relationships/chart" Target="/xl/charts/chart61.xml" Id="rId1"/></Relationships>
</file>

<file path=xl/drawings/_rels/drawing19.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 Type="http://schemas.openxmlformats.org/officeDocument/2006/relationships/chart" Target="/xl/charts/chart65.xml" Id="rId4"/><Relationship Type="http://schemas.openxmlformats.org/officeDocument/2006/relationships/chart" Target="/xl/charts/chart66.xml" Id="rId5"/></Relationships>
</file>

<file path=xl/drawings/_rels/drawing20.xml.rels><Relationships xmlns="http://schemas.openxmlformats.org/package/2006/relationships"><Relationship Type="http://schemas.openxmlformats.org/officeDocument/2006/relationships/chart" Target="/xl/charts/chart67.xml" Id="rId1"/></Relationships>
</file>

<file path=xl/drawings/_rels/drawing21.xml.rels><Relationships xmlns="http://schemas.openxmlformats.org/package/2006/relationships"><Relationship Type="http://schemas.openxmlformats.org/officeDocument/2006/relationships/chart" Target="/xl/charts/chart68.xml" Id="rId1"/></Relationships>
</file>

<file path=xl/drawings/_rels/drawing22.xml.rels><Relationships xmlns="http://schemas.openxmlformats.org/package/2006/relationships"><Relationship Type="http://schemas.openxmlformats.org/officeDocument/2006/relationships/chart" Target="/xl/charts/chart69.xml" Id="rId1"/><Relationship Type="http://schemas.openxmlformats.org/officeDocument/2006/relationships/image" Target="/xl/media/image2.png" Id="rId2"/></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9</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0.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6.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8.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0.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3.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8.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topLeftCell="A2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26">
        <f>Параметры!$B$19</f>
        <v/>
      </c>
      <c r="C3" s="224" t="n"/>
      <c r="D3" s="224" t="n"/>
      <c r="E3" s="22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c r="A32" s="227" t="inlineStr">
        <is>
          <t>Средний TTM (дн)</t>
        </is>
      </c>
      <c r="B32" s="228">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37">
      <formula>15</formula>
    </cfRule>
    <cfRule type="cellIs" priority="18" operator="greaterThan" dxfId="38">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topLeftCell="A19"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topLeftCell="F1" zoomScale="90" zoomScaleNormal="90" workbookViewId="0">
      <pane ySplit="5" topLeftCell="A36"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A1" sqref="A1"/>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170"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12" customWidth="1" min="3" max="3"/>
    <col width="10" customWidth="1" min="4" max="4"/>
    <col width="11" customWidth="1" min="5" max="5"/>
    <col width="11" customWidth="1" min="6" max="6"/>
    <col width="11" customWidth="1" min="7" max="7"/>
    <col width="7" customWidth="1" min="8" max="8"/>
    <col width="12" customWidth="1" min="9" max="9"/>
  </cols>
  <sheetData>
    <row r="1">
      <c r="A1" s="213" t="inlineStr">
        <is>
          <t>Оценка приоритетов по RICE</t>
        </is>
      </c>
    </row>
    <row r="2">
      <c r="A2" s="229" t="inlineStr">
        <is>
          <t>RICE = (Reach × Impact × Confidence) / Effort. Чем выше балл — тем выше приоритет фичи.</t>
        </is>
      </c>
    </row>
    <row r="4">
      <c r="A4" s="230" t="inlineStr">
        <is>
          <t>ID</t>
        </is>
      </c>
      <c r="B4" s="230" t="inlineStr">
        <is>
          <t>Фича / инициатива</t>
        </is>
      </c>
      <c r="C4" s="230" t="inlineStr">
        <is>
          <t>Reach
(польз./кв)</t>
        </is>
      </c>
      <c r="D4" s="230" t="inlineStr">
        <is>
          <t>Impact
(влияние)</t>
        </is>
      </c>
      <c r="E4" s="230" t="inlineStr">
        <is>
          <t>Confidence
(увер-ть)</t>
        </is>
      </c>
      <c r="F4" s="230" t="inlineStr">
        <is>
          <t>Effort
(чел-дни)</t>
        </is>
      </c>
      <c r="G4" s="230" t="inlineStr">
        <is>
          <t>RICE
score</t>
        </is>
      </c>
      <c r="H4" s="230" t="inlineStr">
        <is>
          <t>Ранг</t>
        </is>
      </c>
      <c r="I4" s="230" t="inlineStr">
        <is>
          <t>Приоритет</t>
        </is>
      </c>
    </row>
    <row r="5">
      <c r="A5" s="231" t="inlineStr">
        <is>
          <t>F-01</t>
        </is>
      </c>
      <c r="B5" s="232" t="inlineStr">
        <is>
          <t>MVP оформления заказа</t>
        </is>
      </c>
      <c r="C5" s="233" t="n">
        <v>5000</v>
      </c>
      <c r="D5" s="234" t="n">
        <v>3</v>
      </c>
      <c r="E5" s="235" t="n">
        <v>1</v>
      </c>
      <c r="F5" s="234" t="n">
        <v>40</v>
      </c>
      <c r="G5" s="236">
        <f>IFERROR(C5*D5*E5/F5,0)</f>
        <v/>
      </c>
      <c r="H5" s="234">
        <f>IF(G5="","",RANK(G5,$G$5:$G$14))</f>
        <v/>
      </c>
      <c r="I5" s="237">
        <f>IF(G5="","",IF(G5&gt;=0.6*MAX($G$5:$G$14),"Высокий",IF(G5&gt;=0.3*MAX($G$5:$G$14),"Средний","Низкий")))</f>
        <v/>
      </c>
    </row>
    <row r="6">
      <c r="A6" s="231" t="inlineStr">
        <is>
          <t>F-02</t>
        </is>
      </c>
      <c r="B6" s="232" t="inlineStr">
        <is>
          <t>Оплата картой</t>
        </is>
      </c>
      <c r="C6" s="233" t="n">
        <v>5000</v>
      </c>
      <c r="D6" s="234" t="n">
        <v>3</v>
      </c>
      <c r="E6" s="235" t="n">
        <v>0.8</v>
      </c>
      <c r="F6" s="234" t="n">
        <v>25</v>
      </c>
      <c r="G6" s="236">
        <f>IFERROR(C6*D6*E6/F6,0)</f>
        <v/>
      </c>
      <c r="H6" s="234">
        <f>IF(G6="","",RANK(G6,$G$5:$G$14))</f>
        <v/>
      </c>
      <c r="I6" s="237">
        <f>IF(G6="","",IF(G6&gt;=0.6*MAX($G$5:$G$14),"Высокий",IF(G6&gt;=0.3*MAX($G$5:$G$14),"Средний","Низкий")))</f>
        <v/>
      </c>
    </row>
    <row r="7">
      <c r="A7" s="231" t="inlineStr">
        <is>
          <t>F-03</t>
        </is>
      </c>
      <c r="B7" s="232" t="inlineStr">
        <is>
          <t>Промокоды и скидки</t>
        </is>
      </c>
      <c r="C7" s="233" t="n">
        <v>3000</v>
      </c>
      <c r="D7" s="234" t="n">
        <v>1</v>
      </c>
      <c r="E7" s="235" t="n">
        <v>0.8</v>
      </c>
      <c r="F7" s="234" t="n">
        <v>12</v>
      </c>
      <c r="G7" s="236">
        <f>IFERROR(C7*D7*E7/F7,0)</f>
        <v/>
      </c>
      <c r="H7" s="234">
        <f>IF(G7="","",RANK(G7,$G$5:$G$14))</f>
        <v/>
      </c>
      <c r="I7" s="237">
        <f>IF(G7="","",IF(G7&gt;=0.6*MAX($G$5:$G$14),"Высокий",IF(G7&gt;=0.3*MAX($G$5:$G$14),"Средний","Низкий")))</f>
        <v/>
      </c>
    </row>
    <row r="8">
      <c r="A8" s="231" t="inlineStr">
        <is>
          <t>F-04</t>
        </is>
      </c>
      <c r="B8" s="232" t="inlineStr">
        <is>
          <t>Уведомления (e-mail/push)</t>
        </is>
      </c>
      <c r="C8" s="233" t="n">
        <v>4000</v>
      </c>
      <c r="D8" s="234" t="n">
        <v>1</v>
      </c>
      <c r="E8" s="235" t="n">
        <v>0.8</v>
      </c>
      <c r="F8" s="234" t="n">
        <v>15</v>
      </c>
      <c r="G8" s="236">
        <f>IFERROR(C8*D8*E8/F8,0)</f>
        <v/>
      </c>
      <c r="H8" s="234">
        <f>IF(G8="","",RANK(G8,$G$5:$G$14))</f>
        <v/>
      </c>
      <c r="I8" s="237">
        <f>IF(G8="","",IF(G8&gt;=0.6*MAX($G$5:$G$14),"Высокий",IF(G8&gt;=0.3*MAX($G$5:$G$14),"Средний","Низкий")))</f>
        <v/>
      </c>
    </row>
    <row r="9">
      <c r="A9" s="231" t="inlineStr">
        <is>
          <t>F-05</t>
        </is>
      </c>
      <c r="B9" s="232" t="inlineStr">
        <is>
          <t>История заказов</t>
        </is>
      </c>
      <c r="C9" s="233" t="n">
        <v>3500</v>
      </c>
      <c r="D9" s="234" t="n">
        <v>0.5</v>
      </c>
      <c r="E9" s="235" t="n">
        <v>1</v>
      </c>
      <c r="F9" s="234" t="n">
        <v>10</v>
      </c>
      <c r="G9" s="236">
        <f>IFERROR(C9*D9*E9/F9,0)</f>
        <v/>
      </c>
      <c r="H9" s="234">
        <f>IF(G9="","",RANK(G9,$G$5:$G$14))</f>
        <v/>
      </c>
      <c r="I9" s="237">
        <f>IF(G9="","",IF(G9&gt;=0.6*MAX($G$5:$G$14),"Высокий",IF(G9&gt;=0.3*MAX($G$5:$G$14),"Средний","Низкий")))</f>
        <v/>
      </c>
    </row>
    <row r="10">
      <c r="A10" s="231" t="inlineStr">
        <is>
          <t>F-06</t>
        </is>
      </c>
      <c r="B10" s="232" t="inlineStr">
        <is>
          <t>Мобильная вёрстка</t>
        </is>
      </c>
      <c r="C10" s="233" t="n">
        <v>4500</v>
      </c>
      <c r="D10" s="234" t="n">
        <v>2</v>
      </c>
      <c r="E10" s="235" t="n">
        <v>0.8</v>
      </c>
      <c r="F10" s="234" t="n">
        <v>20</v>
      </c>
      <c r="G10" s="236">
        <f>IFERROR(C10*D10*E10/F10,0)</f>
        <v/>
      </c>
      <c r="H10" s="234">
        <f>IF(G10="","",RANK(G10,$G$5:$G$14))</f>
        <v/>
      </c>
      <c r="I10" s="237">
        <f>IF(G10="","",IF(G10&gt;=0.6*MAX($G$5:$G$14),"Высокий",IF(G10&gt;=0.3*MAX($G$5:$G$14),"Средний","Низкий")))</f>
        <v/>
      </c>
    </row>
    <row r="11">
      <c r="A11" s="231" t="inlineStr">
        <is>
          <t>F-07</t>
        </is>
      </c>
      <c r="B11" s="232" t="inlineStr">
        <is>
          <t>Личный кабинет</t>
        </is>
      </c>
      <c r="C11" s="233" t="n">
        <v>3000</v>
      </c>
      <c r="D11" s="234" t="n">
        <v>1</v>
      </c>
      <c r="E11" s="235" t="n">
        <v>0.5</v>
      </c>
      <c r="F11" s="234" t="n">
        <v>18</v>
      </c>
      <c r="G11" s="236">
        <f>IFERROR(C11*D11*E11/F11,0)</f>
        <v/>
      </c>
      <c r="H11" s="234">
        <f>IF(G11="","",RANK(G11,$G$5:$G$14))</f>
        <v/>
      </c>
      <c r="I11" s="237">
        <f>IF(G11="","",IF(G11&gt;=0.6*MAX($G$5:$G$14),"Высокий",IF(G11&gt;=0.3*MAX($G$5:$G$14),"Средний","Низкий")))</f>
        <v/>
      </c>
    </row>
    <row r="12">
      <c r="A12" s="231" t="inlineStr">
        <is>
          <t>F-08</t>
        </is>
      </c>
      <c r="B12" s="232" t="inlineStr">
        <is>
          <t>Рекомендации товаров</t>
        </is>
      </c>
      <c r="C12" s="233" t="n">
        <v>2000</v>
      </c>
      <c r="D12" s="234" t="n">
        <v>2</v>
      </c>
      <c r="E12" s="235" t="n">
        <v>0.5</v>
      </c>
      <c r="F12" s="234" t="n">
        <v>22</v>
      </c>
      <c r="G12" s="236">
        <f>IFERROR(C12*D12*E12/F12,0)</f>
        <v/>
      </c>
      <c r="H12" s="234">
        <f>IF(G12="","",RANK(G12,$G$5:$G$14))</f>
        <v/>
      </c>
      <c r="I12" s="237">
        <f>IF(G12="","",IF(G12&gt;=0.6*MAX($G$5:$G$14),"Высокий",IF(G12&gt;=0.3*MAX($G$5:$G$14),"Средний","Низкий")))</f>
        <v/>
      </c>
    </row>
    <row r="13">
      <c r="A13" s="231" t="inlineStr">
        <is>
          <t>F-09</t>
        </is>
      </c>
      <c r="B13" s="232" t="inlineStr">
        <is>
          <t>Экспорт отчётов</t>
        </is>
      </c>
      <c r="C13" s="233" t="n">
        <v>800</v>
      </c>
      <c r="D13" s="234" t="n">
        <v>0.5</v>
      </c>
      <c r="E13" s="235" t="n">
        <v>0.8</v>
      </c>
      <c r="F13" s="234" t="n">
        <v>8</v>
      </c>
      <c r="G13" s="236">
        <f>IFERROR(C13*D13*E13/F13,0)</f>
        <v/>
      </c>
      <c r="H13" s="234">
        <f>IF(G13="","",RANK(G13,$G$5:$G$14))</f>
        <v/>
      </c>
      <c r="I13" s="237">
        <f>IF(G13="","",IF(G13&gt;=0.6*MAX($G$5:$G$14),"Высокий",IF(G13&gt;=0.3*MAX($G$5:$G$14),"Средний","Низкий")))</f>
        <v/>
      </c>
    </row>
    <row r="14">
      <c r="A14" s="231" t="inlineStr">
        <is>
          <t>F-10</t>
        </is>
      </c>
      <c r="B14" s="232" t="inlineStr">
        <is>
          <t>Мультиязычность</t>
        </is>
      </c>
      <c r="C14" s="233" t="n">
        <v>1500</v>
      </c>
      <c r="D14" s="234" t="n">
        <v>1</v>
      </c>
      <c r="E14" s="235" t="n">
        <v>0.5</v>
      </c>
      <c r="F14" s="234" t="n">
        <v>30</v>
      </c>
      <c r="G14" s="236">
        <f>IFERROR(C14*D14*E14/F14,0)</f>
        <v/>
      </c>
      <c r="H14" s="234">
        <f>IF(G14="","",RANK(G14,$G$5:$G$14))</f>
        <v/>
      </c>
      <c r="I14" s="237">
        <f>IF(G14="","",IF(G14&gt;=0.6*MAX($G$5:$G$14),"Высокий",IF(G14&gt;=0.3*MAX($G$5:$G$14),"Средний","Низкий")))</f>
        <v/>
      </c>
    </row>
    <row r="16">
      <c r="A16" s="222" t="inlineStr">
        <is>
          <t>Шкалы оценки</t>
        </is>
      </c>
    </row>
    <row r="17">
      <c r="A17" s="238" t="inlineStr">
        <is>
          <t>Impact (влияние на пользователя):</t>
        </is>
      </c>
      <c r="B17" s="239" t="inlineStr">
        <is>
          <t>3 — массивное · 2 — высокое · 1 — среднее · 0.5 — низкое · 0.25 — минимальное</t>
        </is>
      </c>
    </row>
    <row r="18">
      <c r="A18" s="238" t="inlineStr">
        <is>
          <t>Confidence (уверенность в оценке):</t>
        </is>
      </c>
      <c r="B18" s="239" t="inlineStr">
        <is>
          <t>100% — высокая · 80% — средняя · 50% — низкая</t>
        </is>
      </c>
    </row>
    <row r="19">
      <c r="A19" s="238" t="inlineStr">
        <is>
          <t>Reach:</t>
        </is>
      </c>
      <c r="B19" s="239" t="inlineStr">
        <is>
          <t>сколько пользователей затронет фича за квартал</t>
        </is>
      </c>
    </row>
    <row r="20">
      <c r="A20" s="238" t="inlineStr">
        <is>
          <t>Effort:</t>
        </is>
      </c>
      <c r="B20" s="239" t="inlineStr">
        <is>
          <t>суммарные трудозатраты команды, человеко-дни</t>
        </is>
      </c>
    </row>
    <row r="21">
      <c r="A21" s="238" t="inlineStr">
        <is>
          <t>Приоритет:</t>
        </is>
      </c>
      <c r="B21" s="239" t="inlineStr">
        <is>
          <t>Высокий ≥ 60% макс. балла · Средний ≥ 30% · иначе Низкий</t>
        </is>
      </c>
    </row>
  </sheetData>
  <conditionalFormatting sqref="I5:I14">
    <cfRule type="cellIs" priority="1" operator="equal" dxfId="39">
      <formula>"Высокий"</formula>
    </cfRule>
    <cfRule type="cellIs" priority="2" operator="equal" dxfId="40">
      <formula>"Средний"</formula>
    </cfRule>
    <cfRule type="cellIs" priority="3" operator="equal" dxfId="41">
      <formula>"Низкий"</formula>
    </cfRule>
  </conditionalFormatting>
  <conditionalFormatting sqref="G5:G14">
    <cfRule type="colorScale" priority="4">
      <colorScale>
        <cfvo type="min"/>
        <cfvo type="percentile" val="50"/>
        <cfvo type="max"/>
        <color rgb="FFF8696B"/>
        <color rgb="FFFFEB84"/>
        <color rgb="FF63BE7B"/>
      </colorScale>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28"/>
  <sheetViews>
    <sheetView showGridLines="0" workbookViewId="0">
      <pane ySplit="4" topLeftCell="A8"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F12" sqref="F12"/>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7"/>
  <sheetViews>
    <sheetView showGridLines="0" workbookViewId="0">
      <pane ySplit="5" topLeftCell="A6"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G53"/>
  <sheetViews>
    <sheetView showGridLines="0" topLeftCell="F31"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9"/>
  <sheetViews>
    <sheetView showGridLines="0" workbookViewId="0">
      <pane ySplit="9" topLeftCell="A25"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F26"/>
  <sheetViews>
    <sheetView showGridLines="0" tabSelected="1" workbookViewId="0">
      <pane ySplit="6" topLeftCell="A7" activePane="bottomLeft" state="frozen"/>
      <selection pane="bottomLeft" activeCell="C4" sqref="C4"/>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2026-09-09T13:55:57Z</dcterms:modified>
  <cp:lastModifiedBy>Андрей Агафонов</cp:lastModifiedBy>
</cp:coreProperties>
</file>
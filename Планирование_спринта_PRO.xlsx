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drawings/drawing9.xml" ContentType="application/vnd.openxmlformats-officedocument.drawing+xml"/>
  <Override PartName="/xl/worksheets/sheet11.xml" ContentType="application/vnd.openxmlformats-officedocument.spreadsheetml.worksheet+xml"/>
  <Override PartName="/xl/drawings/drawing10.xml" ContentType="application/vnd.openxmlformats-officedocument.drawing+xml"/>
  <Override PartName="/xl/worksheets/sheet12.xml" ContentType="application/vnd.openxmlformats-officedocument.spreadsheetml.worksheet+xml"/>
  <Override PartName="/xl/worksheets/sheet13.xml" ContentType="application/vnd.openxmlformats-officedocument.spreadsheetml.worksheet+xml"/>
  <Override PartName="/xl/drawings/drawing11.xml" ContentType="application/vnd.openxmlformats-officedocument.drawing+xml"/>
  <Override PartName="/xl/worksheets/sheet14.xml" ContentType="application/vnd.openxmlformats-officedocument.spreadsheetml.worksheet+xml"/>
  <Override PartName="/xl/drawings/drawing12.xml" ContentType="application/vnd.openxmlformats-officedocument.drawing+xml"/>
  <Override PartName="/xl/worksheets/sheet15.xml" ContentType="application/vnd.openxmlformats-officedocument.spreadsheetml.worksheet+xml"/>
  <Override PartName="/xl/drawings/drawing13.xml" ContentType="application/vnd.openxmlformats-officedocument.drawing+xml"/>
  <Override PartName="/xl/worksheets/sheet16.xml" ContentType="application/vnd.openxmlformats-officedocument.spreadsheetml.worksheet+xml"/>
  <Override PartName="/xl/drawings/drawing14.xml" ContentType="application/vnd.openxmlformats-officedocument.drawing+xml"/>
  <Override PartName="/xl/worksheets/sheet17.xml" ContentType="application/vnd.openxmlformats-officedocument.spreadsheetml.worksheet+xml"/>
  <Override PartName="/xl/drawings/drawing15.xml" ContentType="application/vnd.openxmlformats-officedocument.drawing+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drawings/drawing16.xml" ContentType="application/vnd.openxmlformats-officedocument.drawing+xml"/>
  <Override PartName="/xl/worksheets/sheet21.xml" ContentType="application/vnd.openxmlformats-officedocument.spreadsheetml.worksheet+xml"/>
  <Override PartName="/xl/worksheets/sheet22.xml" ContentType="application/vnd.openxmlformats-officedocument.spreadsheetml.worksheet+xml"/>
  <Override PartName="/xl/drawings/drawing17.xml" ContentType="application/vnd.openxmlformats-officedocument.drawing+xml"/>
  <Override PartName="/xl/worksheets/sheet23.xml" ContentType="application/vnd.openxmlformats-officedocument.spreadsheetml.worksheet+xml"/>
  <Override PartName="/xl/drawings/drawing18.xml" ContentType="application/vnd.openxmlformats-officedocument.drawing+xml"/>
  <Override PartName="/xl/worksheets/sheet24.xml" ContentType="application/vnd.openxmlformats-officedocument.spreadsheetml.worksheet+xml"/>
  <Override PartName="/xl/drawings/drawing19.xml" ContentType="application/vnd.openxmlformats-officedocument.drawing+xml"/>
  <Override PartName="/xl/worksheets/sheet25.xml" ContentType="application/vnd.openxmlformats-officedocument.spreadsheetml.worksheet+xml"/>
  <Override PartName="/xl/drawings/drawing20.xml" ContentType="application/vnd.openxmlformats-officedocument.drawing+xml"/>
  <Override PartName="/xl/worksheets/sheet26.xml" ContentType="application/vnd.openxmlformats-officedocument.spreadsheetml.worksheet+xml"/>
  <Override PartName="/xl/drawings/drawing21.xml" ContentType="application/vnd.openxmlformats-officedocument.drawing+xml"/>
  <Override PartName="/xl/worksheets/sheet27.xml" ContentType="application/vnd.openxmlformats-officedocument.spreadsheetml.worksheet+xml"/>
  <Override PartName="/xl/drawings/drawing22.xml" ContentType="application/vnd.openxmlformats-officedocument.drawing+xml"/>
  <Override PartName="/xl/worksheets/sheet28.xml" ContentType="application/vnd.openxmlformats-officedocument.spreadsheetml.worksheet+xml"/>
  <Override PartName="/xl/drawings/drawing23.xml" ContentType="application/vnd.openxmlformats-officedocument.drawing+xml"/>
  <Override PartName="/xl/worksheets/sheet29.xml" ContentType="application/vnd.openxmlformats-officedocument.spreadsheetml.worksheet+xml"/>
  <Override PartName="/xl/drawings/drawing24.xml" ContentType="application/vnd.openxmlformats-officedocument.drawing+xml"/>
  <Override PartName="/xl/worksheets/sheet30.xml" ContentType="application/vnd.openxmlformats-officedocument.spreadsheetml.worksheet+xml"/>
  <Override PartName="/xl/drawings/drawing25.xml" ContentType="application/vnd.openxmlformats-officedocument.drawing+xml"/>
  <Override PartName="/xl/worksheets/sheet31.xml" ContentType="application/vnd.openxmlformats-officedocument.spreadsheetml.worksheet+xml"/>
  <Override PartName="/xl/drawings/drawing26.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733" firstSheet="0" activeTab="8" autoFilterDateGrouping="1"/>
  </bookViews>
  <sheets>
    <sheet xmlns:r="http://schemas.openxmlformats.org/officeDocument/2006/relationships" name="Дашборды" sheetId="1" state="visible" r:id="rId1"/>
    <sheet xmlns:r="http://schemas.openxmlformats.org/officeDocument/2006/relationships" name="Дашборд" sheetId="2" state="visible" r:id="rId2"/>
    <sheet xmlns:r="http://schemas.openxmlformats.org/officeDocument/2006/relationships" name="Параметры" sheetId="3" state="visible" r:id="rId3"/>
    <sheet xmlns:r="http://schemas.openxmlformats.org/officeDocument/2006/relationships" name="Дорожная карта" sheetId="4" state="visible" r:id="rId4"/>
    <sheet xmlns:r="http://schemas.openxmlformats.org/officeDocument/2006/relationships" name="Кварталы" sheetId="5" state="visible" r:id="rId5"/>
    <sheet xmlns:r="http://schemas.openxmlformats.org/officeDocument/2006/relationships" name="RICE" sheetId="6" state="visible" r:id="rId6"/>
    <sheet xmlns:r="http://schemas.openxmlformats.org/officeDocument/2006/relationships" name="MoSCoW" sheetId="7" state="visible" r:id="rId7"/>
    <sheet xmlns:r="http://schemas.openxmlformats.org/officeDocument/2006/relationships" name="Квартальный roadmap" sheetId="8" state="visible" r:id="rId8"/>
    <sheet xmlns:r="http://schemas.openxmlformats.org/officeDocument/2006/relationships" name="Релизы" sheetId="9" state="visible" r:id="rId9"/>
    <sheet xmlns:r="http://schemas.openxmlformats.org/officeDocument/2006/relationships" name="Вехи" sheetId="10" state="visible" r:id="rId10"/>
    <sheet xmlns:r="http://schemas.openxmlformats.org/officeDocument/2006/relationships" name="Технический долг" sheetId="11" state="visible" r:id="rId11"/>
    <sheet xmlns:r="http://schemas.openxmlformats.org/officeDocument/2006/relationships" name="Ретроспективы" sheetId="12" state="visible" r:id="rId12"/>
    <sheet xmlns:r="http://schemas.openxmlformats.org/officeDocument/2006/relationships" name="Бюджет" sheetId="13" state="visible" r:id="rId13"/>
    <sheet xmlns:r="http://schemas.openxmlformats.org/officeDocument/2006/relationships" name="OKR" sheetId="14" state="visible" r:id="rId14"/>
    <sheet xmlns:r="http://schemas.openxmlformats.org/officeDocument/2006/relationships" name="Ёмкость на горизонт" sheetId="15" state="visible" r:id="rId15"/>
    <sheet xmlns:r="http://schemas.openxmlformats.org/officeDocument/2006/relationships" name="Гант" sheetId="16" state="visible" r:id="rId16"/>
    <sheet xmlns:r="http://schemas.openxmlformats.org/officeDocument/2006/relationships" name="Зависимости" sheetId="17" state="visible" r:id="rId17"/>
    <sheet xmlns:r="http://schemas.openxmlformats.org/officeDocument/2006/relationships" name="Капасити" sheetId="18" state="visible" r:id="rId18"/>
    <sheet xmlns:r="http://schemas.openxmlformats.org/officeDocument/2006/relationships" name="Календарь" sheetId="19" state="visible" r:id="rId19"/>
    <sheet xmlns:r="http://schemas.openxmlformats.org/officeDocument/2006/relationships" name="Загрузка по ролям" sheetId="20" state="visible" r:id="rId20"/>
    <sheet xmlns:r="http://schemas.openxmlformats.org/officeDocument/2006/relationships" name="Бэклог" sheetId="21" state="visible" r:id="rId21"/>
    <sheet xmlns:r="http://schemas.openxmlformats.org/officeDocument/2006/relationships" name="Сгорание" sheetId="22" state="visible" r:id="rId22"/>
    <sheet xmlns:r="http://schemas.openxmlformats.org/officeDocument/2006/relationships" name="Качество" sheetId="23" state="visible" r:id="rId23"/>
    <sheet xmlns:r="http://schemas.openxmlformats.org/officeDocument/2006/relationships" name="Баги" sheetId="24" state="visible" r:id="rId24"/>
    <sheet xmlns:r="http://schemas.openxmlformats.org/officeDocument/2006/relationships" name="CFD" sheetId="25" state="visible" r:id="rId25"/>
    <sheet xmlns:r="http://schemas.openxmlformats.org/officeDocument/2006/relationships" name="Метрики и прогноз" sheetId="26" state="visible" r:id="rId26"/>
    <sheet xmlns:r="http://schemas.openxmlformats.org/officeDocument/2006/relationships" name="Cycle time" sheetId="27" state="visible" r:id="rId27"/>
    <sheet xmlns:r="http://schemas.openxmlformats.org/officeDocument/2006/relationships" name="Риски" sheetId="28" state="visible" r:id="rId28"/>
    <sheet xmlns:r="http://schemas.openxmlformats.org/officeDocument/2006/relationships" name="Матрица рисков" sheetId="29" state="visible" r:id="rId29"/>
    <sheet xmlns:r="http://schemas.openxmlformats.org/officeDocument/2006/relationships" name="Распределение" sheetId="30" state="visible" r:id="rId30"/>
    <sheet xmlns:r="http://schemas.openxmlformats.org/officeDocument/2006/relationships" name="Time to Market" sheetId="31" state="visible" r:id="rId31"/>
  </sheets>
  <definedNames/>
  <calcPr calcId="191029" fullCalcOnLoad="1"/>
</workbook>
</file>

<file path=xl/styles.xml><?xml version="1.0" encoding="utf-8"?>
<styleSheet xmlns="http://schemas.openxmlformats.org/spreadsheetml/2006/main">
  <numFmts count="7">
    <numFmt numFmtId="164" formatCode="dd\.mm\.yyyy"/>
    <numFmt numFmtId="165" formatCode="#,##0.0"/>
    <numFmt numFmtId="166" formatCode="dd\.mm"/>
    <numFmt numFmtId="167" formatCode="0.0"/>
    <numFmt numFmtId="168" formatCode="dd\.mm\.yy"/>
    <numFmt numFmtId="169" formatCode="#\ ##0"/>
    <numFmt numFmtId="170" formatCode="#\ ##0.0"/>
  </numFmts>
  <fonts count="53">
    <font>
      <name val="Calibri"/>
      <family val="2"/>
      <color theme="1"/>
      <sz val="11"/>
      <scheme val="minor"/>
    </font>
    <font>
      <name val="Arial"/>
      <b val="1"/>
      <color rgb="FF1F4E78"/>
      <sz val="14"/>
    </font>
    <font>
      <name val="Arial"/>
      <i val="1"/>
      <color rgb="FF808080"/>
      <sz val="9"/>
    </font>
    <font>
      <name val="Arial"/>
      <b val="1"/>
      <color rgb="FFFFFFFF"/>
      <sz val="11"/>
    </font>
    <font>
      <name val="Arial"/>
      <b val="1"/>
      <sz val="11"/>
    </font>
    <font>
      <name val="Arial"/>
      <color rgb="FF0000FF"/>
      <sz val="11"/>
    </font>
    <font>
      <name val="Arial"/>
      <sz val="11"/>
    </font>
    <font>
      <name val="Arial"/>
      <b val="1"/>
      <color rgb="FF1F4E78"/>
      <sz val="11"/>
    </font>
    <font>
      <name val="Arial"/>
      <color rgb="FF0000FF"/>
      <sz val="11"/>
    </font>
    <font>
      <name val="Arial"/>
      <i val="1"/>
      <color rgb="FF808080"/>
      <sz val="9"/>
    </font>
    <font>
      <name val="Arial"/>
      <b val="1"/>
      <color rgb="FF1F4E78"/>
      <sz val="14"/>
    </font>
    <font>
      <name val="Arial"/>
      <i val="1"/>
      <color rgb="FF808080"/>
      <sz val="9"/>
    </font>
    <font>
      <name val="Arial"/>
      <b val="1"/>
      <color rgb="FFFFFFFF"/>
      <sz val="11"/>
    </font>
    <font>
      <name val="Arial"/>
      <color rgb="FF0000FF"/>
      <sz val="11"/>
    </font>
    <font>
      <name val="Arial"/>
      <b val="1"/>
      <color rgb="FF1F4E78"/>
      <sz val="12"/>
    </font>
    <font>
      <name val="Arial"/>
      <b val="1"/>
      <color rgb="FF1F4E78"/>
      <sz val="16"/>
    </font>
    <font>
      <name val="Arial"/>
      <b val="1"/>
      <sz val="12"/>
    </font>
    <font>
      <name val="Arial"/>
      <b val="1"/>
      <color rgb="FF1F4E78"/>
      <sz val="12"/>
    </font>
    <font>
      <name val="Arial"/>
      <i val="1"/>
      <color rgb="FF808080"/>
      <sz val="9"/>
    </font>
    <font>
      <name val="Arial"/>
      <b val="1"/>
      <color rgb="FFFFFFFF"/>
      <sz val="11"/>
    </font>
    <font>
      <name val="Arial"/>
      <color rgb="FF0000FF"/>
      <sz val="11"/>
    </font>
    <font>
      <name val="Arial"/>
      <b val="1"/>
      <color rgb="FF1F4E78"/>
      <sz val="14"/>
    </font>
    <font>
      <name val="Arial"/>
      <i val="1"/>
      <color rgb="FF808080"/>
      <sz val="9"/>
    </font>
    <font>
      <name val="Arial"/>
      <b val="1"/>
      <color rgb="FFFFFFFF"/>
      <sz val="11"/>
    </font>
    <font>
      <name val="Arial"/>
      <color rgb="FF0000FF"/>
      <sz val="11"/>
    </font>
    <font>
      <name val="Arial"/>
      <b val="1"/>
      <color rgb="FF1F4E78"/>
      <sz val="12"/>
    </font>
    <font>
      <name val="Arial"/>
      <b val="1"/>
      <color rgb="FF595959"/>
      <sz val="12"/>
    </font>
    <font>
      <name val="Arial"/>
      <b val="1"/>
      <color rgb="FFFFFFFF"/>
      <sz val="11"/>
    </font>
    <font>
      <name val="Arial"/>
      <i val="1"/>
      <color rgb="FF808080"/>
      <sz val="9"/>
    </font>
    <font>
      <name val="Arial"/>
      <b val="1"/>
      <color rgb="FF1F4E78"/>
      <sz val="12"/>
    </font>
    <font>
      <name val="Arial"/>
      <b val="1"/>
      <color rgb="FFFFFFFF"/>
      <sz val="11"/>
    </font>
    <font>
      <name val="Arial"/>
      <b val="1"/>
      <color rgb="FF1F4E78"/>
      <sz val="14"/>
    </font>
    <font>
      <name val="Arial"/>
      <b val="1"/>
      <color rgb="FF1F4E78"/>
      <sz val="12"/>
    </font>
    <font>
      <name val="Arial"/>
      <b val="1"/>
      <color rgb="FFFFFFFF"/>
      <sz val="11"/>
    </font>
    <font>
      <name val="Arial"/>
      <i val="1"/>
      <color rgb="FF808080"/>
      <sz val="9"/>
    </font>
    <font>
      <name val="Arial"/>
      <b val="1"/>
      <color rgb="FFFFFFFF"/>
      <sz val="11"/>
    </font>
    <font>
      <name val="Arial"/>
      <b val="1"/>
      <color rgb="FF1F4E78"/>
      <sz val="14"/>
    </font>
    <font>
      <name val="Arial"/>
      <i val="1"/>
      <color rgb="FF808080"/>
      <sz val="9"/>
    </font>
    <font>
      <name val="Arial"/>
      <color rgb="FF0000FF"/>
      <sz val="11"/>
    </font>
    <font>
      <name val="Arial"/>
      <b val="1"/>
      <color rgb="FF1F4E78"/>
      <sz val="12"/>
    </font>
    <font>
      <name val="Arial"/>
      <b val="1"/>
      <color rgb="FFFFFFFF"/>
      <sz val="11"/>
    </font>
    <font>
      <name val="Arial"/>
      <color rgb="FF0000FF"/>
      <sz val="11"/>
    </font>
    <font>
      <name val="Arial"/>
      <b val="1"/>
      <color rgb="FF1F4E78"/>
      <sz val="14"/>
    </font>
    <font>
      <name val="Arial"/>
      <i val="1"/>
      <color rgb="FF808080"/>
      <sz val="9"/>
    </font>
    <font>
      <name val="Arial"/>
      <b val="1"/>
      <color rgb="FF1F4E78"/>
      <sz val="12"/>
    </font>
    <font>
      <name val="Arial"/>
      <b val="1"/>
      <color rgb="FF1F4E78"/>
      <sz val="14"/>
    </font>
    <font>
      <name val="Arial"/>
      <i val="1"/>
      <color rgb="FF808080"/>
      <sz val="9"/>
    </font>
    <font>
      <name val="Arial"/>
      <color rgb="FF0000FF"/>
      <sz val="11"/>
    </font>
    <font>
      <name val="Arial"/>
      <b val="1"/>
      <color rgb="FFFFFFFF"/>
      <sz val="11"/>
    </font>
    <font>
      <name val="Arial"/>
      <b val="1"/>
      <color rgb="FF1F4E78"/>
      <sz val="11"/>
    </font>
    <font>
      <name val="Arial"/>
      <i val="1"/>
      <color rgb="FF5A6B82"/>
      <sz val="10"/>
    </font>
    <font>
      <name val="Arial"/>
      <b val="1"/>
      <sz val="10"/>
    </font>
    <font>
      <name val="Arial"/>
      <sz val="10"/>
    </font>
  </fonts>
  <fills count="55">
    <fill>
      <patternFill/>
    </fill>
    <fill>
      <patternFill patternType="gray125"/>
    </fill>
    <fill>
      <patternFill patternType="solid">
        <fgColor rgb="FF1F4E78"/>
      </patternFill>
    </fill>
    <fill>
      <patternFill patternType="solid">
        <fgColor rgb="FFFFF2CC"/>
      </patternFill>
    </fill>
    <fill>
      <patternFill patternType="solid">
        <fgColor rgb="FFF2F2F2"/>
      </patternFill>
    </fill>
    <fill>
      <patternFill patternType="solid">
        <fgColor rgb="FFE2EFDA"/>
      </patternFill>
    </fill>
    <fill>
      <patternFill patternType="solid">
        <fgColor rgb="FFFCE4D6"/>
      </patternFill>
    </fill>
    <fill>
      <patternFill patternType="solid">
        <fgColor rgb="FFFFF2CC"/>
      </patternFill>
    </fill>
    <fill>
      <patternFill patternType="solid">
        <fgColor rgb="FF1F4E78"/>
      </patternFill>
    </fill>
    <fill>
      <patternFill patternType="solid">
        <fgColor rgb="FFFFF2CC"/>
      </patternFill>
    </fill>
    <fill>
      <patternFill patternType="solid">
        <fgColor rgb="FFF2F2F2"/>
      </patternFill>
    </fill>
    <fill>
      <patternFill patternType="solid">
        <fgColor rgb="FFEDEDED"/>
      </patternFill>
    </fill>
    <fill>
      <patternFill patternType="solid">
        <fgColor rgb="FFE2EFDA"/>
      </patternFill>
    </fill>
    <fill>
      <patternFill patternType="solid">
        <fgColor rgb="FFD9E1F2"/>
      </patternFill>
    </fill>
    <fill>
      <patternFill patternType="solid">
        <fgColor rgb="FF1F4E78"/>
      </patternFill>
    </fill>
    <fill>
      <patternFill patternType="solid">
        <fgColor rgb="FFFFF2CC"/>
      </patternFill>
    </fill>
    <fill>
      <patternFill patternType="solid">
        <fgColor rgb="FFF2F2F2"/>
      </patternFill>
    </fill>
    <fill>
      <patternFill patternType="solid">
        <fgColor rgb="FFE2EFDA"/>
      </patternFill>
    </fill>
    <fill>
      <patternFill patternType="solid">
        <fgColor rgb="FFD9E1F2"/>
      </patternFill>
    </fill>
    <fill>
      <patternFill patternType="solid">
        <fgColor rgb="FF1F4E78"/>
      </patternFill>
    </fill>
    <fill>
      <patternFill patternType="solid">
        <fgColor rgb="FFF2F2F2"/>
      </patternFill>
    </fill>
    <fill>
      <patternFill patternType="solid">
        <fgColor rgb="FF4472C4"/>
      </patternFill>
    </fill>
    <fill>
      <patternFill patternType="solid">
        <fgColor rgb="FFED7D31"/>
      </patternFill>
    </fill>
    <fill>
      <patternFill patternType="solid">
        <fgColor rgb="FF70AD47"/>
      </patternFill>
    </fill>
    <fill>
      <patternFill patternType="solid">
        <fgColor rgb="FFFFC000"/>
      </patternFill>
    </fill>
    <fill>
      <patternFill patternType="solid">
        <fgColor rgb="FF7030A0"/>
      </patternFill>
    </fill>
    <fill>
      <patternFill patternType="solid">
        <fgColor rgb="FFFFF2CC"/>
      </patternFill>
    </fill>
    <fill>
      <patternFill patternType="solid">
        <fgColor rgb="FF1F4E78"/>
      </patternFill>
    </fill>
    <fill>
      <patternFill patternType="solid">
        <fgColor rgb="FFFFC7CE"/>
      </patternFill>
    </fill>
    <fill>
      <patternFill patternType="solid">
        <fgColor rgb="FF1F4E78"/>
      </patternFill>
    </fill>
    <fill>
      <patternFill patternType="solid">
        <fgColor rgb="FFF2F2F2"/>
      </patternFill>
    </fill>
    <fill>
      <patternFill patternType="solid">
        <fgColor rgb="FFE2EFDA"/>
      </patternFill>
    </fill>
    <fill>
      <patternFill patternType="solid">
        <fgColor rgb="FF1F4E78"/>
      </patternFill>
    </fill>
    <fill>
      <patternFill patternType="solid">
        <fgColor rgb="FFD9E1F2"/>
      </patternFill>
    </fill>
    <fill>
      <patternFill patternType="solid">
        <fgColor rgb="FFC6EFCE"/>
      </patternFill>
    </fill>
    <fill>
      <patternFill patternType="solid">
        <fgColor rgb="FFFFEB9C"/>
      </patternFill>
    </fill>
    <fill>
      <patternFill patternType="solid">
        <fgColor rgb="FFFFC7CE"/>
      </patternFill>
    </fill>
    <fill>
      <patternFill patternType="solid">
        <fgColor rgb="FF1F4E78"/>
      </patternFill>
    </fill>
    <fill>
      <patternFill patternType="solid">
        <fgColor rgb="FFF2F2F2"/>
      </patternFill>
    </fill>
    <fill>
      <patternFill patternType="solid">
        <fgColor rgb="FFFFF2CC"/>
      </patternFill>
    </fill>
    <fill>
      <patternFill patternType="solid">
        <fgColor rgb="FFE2EFDA"/>
      </patternFill>
    </fill>
    <fill>
      <patternFill patternType="solid">
        <fgColor rgb="FF4472C4"/>
      </patternFill>
    </fill>
    <fill>
      <patternFill patternType="solid">
        <fgColor rgb="FFED7D31"/>
      </patternFill>
    </fill>
    <fill>
      <patternFill patternType="solid">
        <fgColor rgb="FF70AD47"/>
      </patternFill>
    </fill>
    <fill>
      <patternFill patternType="solid">
        <fgColor rgb="FF1F4E78"/>
      </patternFill>
    </fill>
    <fill>
      <patternFill patternType="solid">
        <fgColor rgb="FFFFF2CC"/>
      </patternFill>
    </fill>
    <fill>
      <patternFill patternType="solid">
        <fgColor rgb="FFF2F2F2"/>
      </patternFill>
    </fill>
    <fill>
      <patternFill patternType="solid">
        <fgColor rgb="FFFFF2CC"/>
      </patternFill>
    </fill>
    <fill>
      <patternFill patternType="solid">
        <fgColor rgb="FF1F4E78"/>
      </patternFill>
    </fill>
    <fill>
      <patternFill patternType="solid">
        <fgColor rgb="FFF2F2F2"/>
      </patternFill>
    </fill>
    <fill>
      <patternFill patternType="solid">
        <fgColor rgb="FFD9E1F2"/>
      </patternFill>
    </fill>
    <fill>
      <patternFill patternType="solid">
        <fgColor rgb="FFF8D2D2"/>
      </patternFill>
    </fill>
    <fill>
      <patternFill patternType="solid">
        <fgColor rgb="FFFDECC8"/>
      </patternFill>
    </fill>
    <fill>
      <patternFill patternType="solid">
        <fgColor rgb="FFD6E4FB"/>
      </patternFill>
    </fill>
    <fill>
      <patternFill patternType="solid">
        <fgColor rgb="FFE4E9F0"/>
      </patternFill>
    </fill>
  </fills>
  <borders count="20">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medium">
        <color rgb="FF1F4E78"/>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FFD9D9D9"/>
      </left>
      <right style="thin">
        <color rgb="FFD9D9D9"/>
      </right>
      <top style="thin">
        <color rgb="FFD9D9D9"/>
      </top>
      <bottom style="thin">
        <color rgb="FFD9D9D9"/>
      </bottom>
      <diagonal/>
    </border>
    <border>
      <left/>
      <right/>
      <top style="thin">
        <color rgb="FFBFBFBF"/>
      </top>
      <bottom/>
      <diagonal/>
    </border>
    <border>
      <left/>
      <right style="thin">
        <color rgb="FFBFBFBF"/>
      </right>
      <top style="thin">
        <color rgb="FFBFBFBF"/>
      </top>
      <bottom/>
      <diagonal/>
    </border>
    <border>
      <left style="thin">
        <color rgb="FFD9D9D9"/>
      </left>
      <right style="thin">
        <color rgb="FFD9D9D9"/>
      </right>
      <top style="thin">
        <color rgb="FFD9D9D9"/>
      </top>
      <bottom style="thin">
        <color rgb="FFD9D9D9"/>
      </bottom>
    </border>
  </borders>
  <cellStyleXfs count="1">
    <xf numFmtId="0" fontId="0" fillId="0" borderId="0"/>
  </cellStyleXfs>
  <cellXfs count="257">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vertical="center" wrapText="1"/>
    </xf>
    <xf numFmtId="0" fontId="4" fillId="0" borderId="1" pivotButton="0" quotePrefix="0" xfId="0"/>
    <xf numFmtId="0" fontId="5" fillId="3" borderId="1" applyAlignment="1" pivotButton="0" quotePrefix="0" xfId="0">
      <alignment horizontal="center" vertical="center" wrapText="1"/>
    </xf>
    <xf numFmtId="0" fontId="2" fillId="0" borderId="1" pivotButton="0" quotePrefix="0" xfId="0"/>
    <xf numFmtId="9" fontId="5" fillId="3" borderId="1" applyAlignment="1" pivotButton="0" quotePrefix="0" xfId="0">
      <alignment horizontal="center" vertical="center" wrapText="1"/>
    </xf>
    <xf numFmtId="9" fontId="6" fillId="4"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0" borderId="1" applyAlignment="1" pivotButton="0" quotePrefix="0" xfId="0">
      <alignment horizontal="left" vertical="center" wrapText="1"/>
    </xf>
    <xf numFmtId="0" fontId="0" fillId="5" borderId="1" pivotButton="0" quotePrefix="0" xfId="0"/>
    <xf numFmtId="0" fontId="4" fillId="5" borderId="1" pivotButton="0" quotePrefix="0" xfId="0"/>
    <xf numFmtId="0" fontId="5" fillId="3" borderId="1" applyAlignment="1" pivotButton="0" quotePrefix="0" xfId="0">
      <alignment horizontal="left" vertical="center" wrapText="1"/>
    </xf>
    <xf numFmtId="0" fontId="4" fillId="0" borderId="0" pivotButton="0" quotePrefix="0" xfId="0"/>
    <xf numFmtId="0" fontId="6" fillId="4" borderId="0" pivotButton="0" quotePrefix="0" xfId="0"/>
    <xf numFmtId="164" fontId="5" fillId="3" borderId="1" applyAlignment="1" pivotButton="0" quotePrefix="0" xfId="0">
      <alignment horizontal="center" vertical="center" wrapText="1"/>
    </xf>
    <xf numFmtId="164" fontId="6" fillId="4" borderId="0" applyAlignment="1" pivotButton="0" quotePrefix="0" xfId="0">
      <alignment horizontal="center" vertical="center" wrapText="1"/>
    </xf>
    <xf numFmtId="164" fontId="6" fillId="0" borderId="1" applyAlignment="1" pivotButton="0" quotePrefix="0" xfId="0">
      <alignment horizontal="center" vertical="center" wrapText="1"/>
    </xf>
    <xf numFmtId="0" fontId="6" fillId="6" borderId="1" applyAlignment="1" pivotButton="0" quotePrefix="0" xfId="0">
      <alignment horizontal="left" vertical="center" wrapText="1"/>
    </xf>
    <xf numFmtId="9" fontId="4" fillId="5" borderId="1" pivotButton="0" quotePrefix="0" xfId="0"/>
    <xf numFmtId="165" fontId="4" fillId="5" borderId="1" pivotButton="0" quotePrefix="0" xfId="0"/>
    <xf numFmtId="166"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3" borderId="1" applyAlignment="1" pivotButton="0" quotePrefix="0" xfId="0">
      <alignment horizontal="center" vertical="center" wrapText="1"/>
    </xf>
    <xf numFmtId="165" fontId="4" fillId="4" borderId="0" pivotButton="0" quotePrefix="0" xfId="0"/>
    <xf numFmtId="1" fontId="6" fillId="4" borderId="1" applyAlignment="1" pivotButton="0" quotePrefix="0" xfId="0">
      <alignment horizontal="center" vertical="center" wrapText="1"/>
    </xf>
    <xf numFmtId="9" fontId="0" fillId="0" borderId="0" pivotButton="0" quotePrefix="0" xfId="0"/>
    <xf numFmtId="0" fontId="7" fillId="0" borderId="0" pivotButton="0" quotePrefix="0" xfId="0"/>
    <xf numFmtId="0" fontId="4" fillId="0" borderId="2" pivotButton="0" quotePrefix="0" xfId="0"/>
    <xf numFmtId="9" fontId="8" fillId="7" borderId="2" applyAlignment="1" pivotButton="0" quotePrefix="0" xfId="0">
      <alignment horizontal="center" vertical="center"/>
    </xf>
    <xf numFmtId="0" fontId="9" fillId="0" borderId="0" pivotButton="0" quotePrefix="0" xfId="0"/>
    <xf numFmtId="0" fontId="4" fillId="0" borderId="3" pivotButton="0" quotePrefix="0" xfId="0"/>
    <xf numFmtId="1" fontId="13" fillId="9" borderId="3" applyAlignment="1" pivotButton="0" quotePrefix="0" xfId="0">
      <alignment horizontal="center" vertical="center" wrapText="1"/>
    </xf>
    <xf numFmtId="0" fontId="11" fillId="0" borderId="3" pivotButton="0" quotePrefix="0" xfId="0"/>
    <xf numFmtId="165" fontId="6" fillId="10" borderId="3" applyAlignment="1" pivotButton="0" quotePrefix="0" xfId="0">
      <alignment horizontal="center" vertical="center" wrapText="1"/>
    </xf>
    <xf numFmtId="9" fontId="6" fillId="10" borderId="3" applyAlignment="1" pivotButton="0" quotePrefix="0" xfId="0">
      <alignment horizontal="center" vertical="center" wrapText="1"/>
    </xf>
    <xf numFmtId="0" fontId="10" fillId="0" borderId="0" pivotButton="0" quotePrefix="0" xfId="0"/>
    <xf numFmtId="0" fontId="11" fillId="0" borderId="0" pivotButton="0" quotePrefix="0" xfId="0"/>
    <xf numFmtId="0" fontId="12" fillId="8" borderId="3" applyAlignment="1" pivotButton="0" quotePrefix="0" xfId="0">
      <alignment horizontal="center" vertical="center" wrapText="1"/>
    </xf>
    <xf numFmtId="0" fontId="4" fillId="0" borderId="4" applyAlignment="1" pivotButton="0" quotePrefix="0" xfId="0">
      <alignment horizontal="center" vertical="center" wrapText="1"/>
    </xf>
    <xf numFmtId="0" fontId="13" fillId="0" borderId="4" applyAlignment="1" pivotButton="0" quotePrefix="0" xfId="0">
      <alignment horizontal="left" vertical="center" wrapText="1"/>
    </xf>
    <xf numFmtId="0" fontId="6" fillId="0" borderId="4" applyAlignment="1" pivotButton="0" quotePrefix="0" xfId="0">
      <alignment horizontal="center" vertical="center" wrapText="1"/>
    </xf>
    <xf numFmtId="0" fontId="13" fillId="9" borderId="4" applyAlignment="1" pivotButton="0" quotePrefix="0" xfId="0">
      <alignment horizontal="center" vertical="center" wrapText="1"/>
    </xf>
    <xf numFmtId="9" fontId="13" fillId="9" borderId="4" applyAlignment="1" pivotButton="0" quotePrefix="0" xfId="0">
      <alignment horizontal="center" vertical="center" wrapText="1"/>
    </xf>
    <xf numFmtId="9" fontId="6" fillId="0" borderId="4" applyAlignment="1" pivotButton="0" quotePrefix="0" xfId="0">
      <alignment horizontal="center" vertical="center" wrapText="1"/>
    </xf>
    <xf numFmtId="165" fontId="4" fillId="10" borderId="4" applyAlignment="1" pivotButton="0" quotePrefix="0" xfId="0">
      <alignment horizontal="center" vertical="center" wrapText="1"/>
    </xf>
    <xf numFmtId="0" fontId="6" fillId="0" borderId="3" applyAlignment="1" pivotButton="0" quotePrefix="0" xfId="0">
      <alignment horizontal="center" vertical="center" wrapText="1"/>
    </xf>
    <xf numFmtId="165" fontId="4" fillId="10" borderId="3" applyAlignment="1" pivotButton="0" quotePrefix="0" xfId="0">
      <alignment horizontal="center" vertical="center" wrapText="1"/>
    </xf>
    <xf numFmtId="0" fontId="13" fillId="0" borderId="3" applyAlignment="1" pivotButton="0" quotePrefix="0" xfId="0">
      <alignment horizontal="left" vertical="center" wrapText="1"/>
    </xf>
    <xf numFmtId="0" fontId="13" fillId="9" borderId="3" applyAlignment="1" pivotButton="0" quotePrefix="0" xfId="0">
      <alignment horizontal="center" vertical="center" wrapText="1"/>
    </xf>
    <xf numFmtId="9" fontId="13" fillId="9" borderId="3" applyAlignment="1" pivotButton="0" quotePrefix="0" xfId="0">
      <alignment horizontal="center" vertical="center" wrapText="1"/>
    </xf>
    <xf numFmtId="9" fontId="6" fillId="0" borderId="3" applyAlignment="1" pivotButton="0" quotePrefix="0" xfId="0">
      <alignment horizontal="center" vertical="center" wrapText="1"/>
    </xf>
    <xf numFmtId="0" fontId="4" fillId="12" borderId="3" pivotButton="0" quotePrefix="0" xfId="0"/>
    <xf numFmtId="165" fontId="4" fillId="12" borderId="3" pivotButton="0" quotePrefix="0" xfId="0"/>
    <xf numFmtId="0" fontId="4" fillId="11" borderId="4" applyAlignment="1" pivotButton="0" quotePrefix="0" xfId="0">
      <alignment horizontal="center" vertical="center" wrapText="1"/>
    </xf>
    <xf numFmtId="0" fontId="6" fillId="11" borderId="3" applyAlignment="1" pivotButton="0" quotePrefix="0" xfId="0">
      <alignment horizontal="center" vertical="center" wrapText="1"/>
    </xf>
    <xf numFmtId="0" fontId="13" fillId="9" borderId="3" applyAlignment="1" pivotButton="0" quotePrefix="0" xfId="0">
      <alignment horizontal="left" vertical="center" wrapText="1"/>
    </xf>
    <xf numFmtId="0" fontId="14" fillId="0" borderId="0" pivotButton="0" quotePrefix="0" xfId="0"/>
    <xf numFmtId="0" fontId="6" fillId="0" borderId="3" pivotButton="0" quotePrefix="0" xfId="0"/>
    <xf numFmtId="9" fontId="4" fillId="10" borderId="3" applyAlignment="1" pivotButton="0" quotePrefix="0" xfId="0">
      <alignment horizontal="center" vertical="center" wrapText="1"/>
    </xf>
    <xf numFmtId="1" fontId="6" fillId="10" borderId="3" applyAlignment="1" pivotButton="0" quotePrefix="0" xfId="0">
      <alignment horizontal="center" vertical="center" wrapText="1"/>
    </xf>
    <xf numFmtId="164" fontId="6" fillId="10" borderId="3" applyAlignment="1" pivotButton="0" quotePrefix="0" xfId="0">
      <alignment horizontal="center" vertical="center" wrapText="1"/>
    </xf>
    <xf numFmtId="0" fontId="6" fillId="0" borderId="3" applyAlignment="1" pivotButton="0" quotePrefix="0" xfId="0">
      <alignment horizontal="left" vertical="center" wrapText="1"/>
    </xf>
    <xf numFmtId="0" fontId="6" fillId="10" borderId="3" applyAlignment="1" pivotButton="0" quotePrefix="0" xfId="0">
      <alignment horizontal="center" vertical="center" wrapText="1"/>
    </xf>
    <xf numFmtId="0" fontId="0" fillId="12" borderId="3" pivotButton="0" quotePrefix="0" xfId="0"/>
    <xf numFmtId="9" fontId="4" fillId="12" borderId="3" pivotButton="0" quotePrefix="0" xfId="0"/>
    <xf numFmtId="1" fontId="0" fillId="10" borderId="0" applyAlignment="1" pivotButton="0" quotePrefix="0" xfId="0">
      <alignment horizontal="center" vertical="center" wrapText="1"/>
    </xf>
    <xf numFmtId="0" fontId="4" fillId="0" borderId="3" applyAlignment="1" pivotButton="0" quotePrefix="0" xfId="0">
      <alignment horizontal="left" vertical="center" wrapText="1"/>
    </xf>
    <xf numFmtId="165" fontId="6" fillId="0" borderId="3" applyAlignment="1" pivotButton="0" quotePrefix="0" xfId="0">
      <alignment horizontal="center" vertical="center" wrapText="1"/>
    </xf>
    <xf numFmtId="0" fontId="6" fillId="10" borderId="3" applyAlignment="1" pivotButton="0" quotePrefix="0" xfId="0">
      <alignment horizontal="left" vertical="center" wrapText="1"/>
    </xf>
    <xf numFmtId="165" fontId="13" fillId="9" borderId="3" applyAlignment="1" pivotButton="0" quotePrefix="0" xfId="0">
      <alignment horizontal="center" vertical="center" wrapText="1"/>
    </xf>
    <xf numFmtId="2" fontId="6" fillId="10" borderId="3" applyAlignment="1" pivotButton="0" quotePrefix="0" xfId="0">
      <alignment horizontal="center" vertical="center" wrapText="1"/>
    </xf>
    <xf numFmtId="2" fontId="4" fillId="10" borderId="3" applyAlignment="1" pivotButton="0" quotePrefix="0" xfId="0">
      <alignment horizontal="center" vertical="center" wrapText="1"/>
    </xf>
    <xf numFmtId="0" fontId="4" fillId="10" borderId="3" applyAlignment="1" pivotButton="0" quotePrefix="0" xfId="0">
      <alignment horizontal="center" vertical="center" wrapText="1"/>
    </xf>
    <xf numFmtId="0" fontId="15" fillId="0" borderId="0" pivotButton="0" quotePrefix="0" xfId="0"/>
    <xf numFmtId="1" fontId="16" fillId="13" borderId="3" applyAlignment="1" pivotButton="0" quotePrefix="0" xfId="0">
      <alignment horizontal="center" vertical="center" wrapText="1"/>
    </xf>
    <xf numFmtId="165" fontId="16" fillId="13" borderId="3" applyAlignment="1" pivotButton="0" quotePrefix="0" xfId="0">
      <alignment horizontal="center" vertical="center" wrapText="1"/>
    </xf>
    <xf numFmtId="9" fontId="16" fillId="13" borderId="3" applyAlignment="1" pivotButton="0" quotePrefix="0" xfId="0">
      <alignment horizontal="center" vertical="center" wrapText="1"/>
    </xf>
    <xf numFmtId="3" fontId="16" fillId="13" borderId="3" applyAlignment="1" pivotButton="0" quotePrefix="0" xfId="0">
      <alignment horizontal="center" vertical="center" wrapText="1"/>
    </xf>
    <xf numFmtId="164" fontId="16" fillId="13" borderId="3" applyAlignment="1" pivotButton="0" quotePrefix="0" xfId="0">
      <alignment horizontal="center" vertical="center" wrapText="1"/>
    </xf>
    <xf numFmtId="2" fontId="16" fillId="13" borderId="3" applyAlignment="1" pivotButton="0" quotePrefix="0" xfId="0">
      <alignment horizontal="center" vertical="center" wrapText="1"/>
    </xf>
    <xf numFmtId="0" fontId="18" fillId="0" borderId="0" pivotButton="0" quotePrefix="0" xfId="0"/>
    <xf numFmtId="1" fontId="6" fillId="16" borderId="3" applyAlignment="1" pivotButton="0" quotePrefix="0" xfId="0">
      <alignment horizontal="center" vertical="center" wrapText="1"/>
    </xf>
    <xf numFmtId="1" fontId="6" fillId="0" borderId="1" applyAlignment="1" pivotButton="0" quotePrefix="0" xfId="0">
      <alignment horizontal="center" vertical="center" wrapText="1"/>
    </xf>
    <xf numFmtId="165" fontId="6" fillId="16" borderId="1" applyAlignment="1" pivotButton="0" quotePrefix="0" xfId="0">
      <alignment horizontal="center" vertical="center" wrapText="1"/>
    </xf>
    <xf numFmtId="0" fontId="6" fillId="16" borderId="1" applyAlignment="1" pivotButton="0" quotePrefix="0" xfId="0">
      <alignment horizontal="center" vertical="center" wrapText="1"/>
    </xf>
    <xf numFmtId="165" fontId="6" fillId="16" borderId="3" applyAlignment="1" pivotButton="0" quotePrefix="0" xfId="0">
      <alignment horizontal="center" vertical="center" wrapText="1"/>
    </xf>
    <xf numFmtId="0" fontId="4" fillId="0" borderId="7" pivotButton="0" quotePrefix="0" xfId="0"/>
    <xf numFmtId="49" fontId="6" fillId="16" borderId="7" applyAlignment="1" pivotButton="0" quotePrefix="0" xfId="0">
      <alignment horizontal="center" vertical="center" wrapText="1"/>
    </xf>
    <xf numFmtId="1" fontId="6" fillId="16" borderId="7" applyAlignment="1" pivotButton="0" quotePrefix="0" xfId="0">
      <alignment horizontal="center" vertical="center" wrapText="1"/>
    </xf>
    <xf numFmtId="0" fontId="17" fillId="0" borderId="0" pivotButton="0" quotePrefix="0" xfId="0"/>
    <xf numFmtId="0" fontId="19" fillId="14" borderId="7" applyAlignment="1" pivotButton="0" quotePrefix="0" xfId="0">
      <alignment horizontal="center" vertical="center" wrapText="1"/>
    </xf>
    <xf numFmtId="0" fontId="20" fillId="15" borderId="7" applyAlignment="1" pivotButton="0" quotePrefix="0" xfId="0">
      <alignment horizontal="left" vertical="center" wrapText="1"/>
    </xf>
    <xf numFmtId="0" fontId="20" fillId="3" borderId="1" applyAlignment="1" pivotButton="0" quotePrefix="0" xfId="0">
      <alignment horizontal="center" vertical="center" wrapText="1"/>
    </xf>
    <xf numFmtId="0" fontId="20" fillId="3" borderId="1" applyAlignment="1" pivotButton="0" quotePrefix="0" xfId="0">
      <alignment horizontal="left" vertical="center" wrapText="1"/>
    </xf>
    <xf numFmtId="165" fontId="20" fillId="3" borderId="1" applyAlignment="1" pivotButton="0" quotePrefix="0" xfId="0">
      <alignment horizontal="center" vertical="center" wrapText="1"/>
    </xf>
    <xf numFmtId="165" fontId="20" fillId="9" borderId="3" applyAlignment="1" pivotButton="0" quotePrefix="0" xfId="0">
      <alignment horizontal="center" vertical="center" wrapText="1"/>
    </xf>
    <xf numFmtId="1" fontId="20" fillId="15" borderId="7" applyAlignment="1" pivotButton="0" quotePrefix="0" xfId="0">
      <alignment horizontal="center" vertical="center" wrapText="1"/>
    </xf>
    <xf numFmtId="0" fontId="20" fillId="9" borderId="3" applyAlignment="1" pivotButton="0" quotePrefix="0" xfId="0">
      <alignment horizontal="center" vertical="center" wrapText="1"/>
    </xf>
    <xf numFmtId="1" fontId="20" fillId="9" borderId="3" applyAlignment="1" pivotButton="0" quotePrefix="0" xfId="0">
      <alignment horizontal="center" vertical="center" wrapText="1"/>
    </xf>
    <xf numFmtId="1" fontId="0" fillId="15" borderId="7" applyAlignment="1" pivotButton="0" quotePrefix="0" xfId="0">
      <alignment horizontal="center" vertical="center" wrapText="1"/>
    </xf>
    <xf numFmtId="165" fontId="6" fillId="16" borderId="7" applyAlignment="1" pivotButton="0" quotePrefix="0" xfId="0">
      <alignment horizontal="center" vertical="center" wrapText="1"/>
    </xf>
    <xf numFmtId="9" fontId="4" fillId="16" borderId="7" applyAlignment="1" pivotButton="0" quotePrefix="0" xfId="0">
      <alignment horizontal="center" vertical="center" wrapText="1"/>
    </xf>
    <xf numFmtId="165" fontId="4" fillId="17" borderId="7" pivotButton="0" quotePrefix="0" xfId="0"/>
    <xf numFmtId="9" fontId="4" fillId="17" borderId="7" pivotButton="0" quotePrefix="0" xfId="0"/>
    <xf numFmtId="1" fontId="16" fillId="18" borderId="7" applyAlignment="1" pivotButton="0" quotePrefix="0" xfId="0">
      <alignment horizontal="center" vertical="center" wrapText="1"/>
    </xf>
    <xf numFmtId="164" fontId="20" fillId="15" borderId="7" applyAlignment="1" pivotButton="0" quotePrefix="0" xfId="0">
      <alignment horizontal="center" vertical="center" wrapText="1"/>
    </xf>
    <xf numFmtId="9" fontId="6" fillId="16" borderId="7" applyAlignment="1" pivotButton="0" quotePrefix="0" xfId="0">
      <alignment horizontal="center" vertical="center" wrapText="1"/>
    </xf>
    <xf numFmtId="0" fontId="20" fillId="15" borderId="7" applyAlignment="1" pivotButton="0" quotePrefix="0" xfId="0">
      <alignment horizontal="center" vertical="center" wrapText="1"/>
    </xf>
    <xf numFmtId="0" fontId="6" fillId="0" borderId="7" applyAlignment="1" pivotButton="0" quotePrefix="0" xfId="0">
      <alignment horizontal="center" vertical="center" wrapText="1"/>
    </xf>
    <xf numFmtId="2" fontId="6" fillId="16" borderId="7" applyAlignment="1" pivotButton="0" quotePrefix="0" xfId="0">
      <alignment horizontal="center" vertical="center" wrapText="1"/>
    </xf>
    <xf numFmtId="0" fontId="4" fillId="16" borderId="7" applyAlignment="1" pivotButton="0" quotePrefix="0" xfId="0">
      <alignment horizontal="center" vertical="center" wrapText="1"/>
    </xf>
    <xf numFmtId="0" fontId="3" fillId="14" borderId="7" applyAlignment="1" pivotButton="0" quotePrefix="0" xfId="0">
      <alignment horizontal="center" vertical="center" wrapText="1"/>
    </xf>
    <xf numFmtId="167" fontId="16" fillId="18" borderId="7" applyAlignment="1" pivotButton="0" quotePrefix="0" xfId="0">
      <alignment horizontal="center" vertical="center" wrapText="1"/>
    </xf>
    <xf numFmtId="167" fontId="6" fillId="0" borderId="0" pivotButton="0" quotePrefix="0" xfId="0"/>
    <xf numFmtId="0" fontId="21" fillId="0" borderId="0" pivotButton="0" quotePrefix="0" xfId="0"/>
    <xf numFmtId="0" fontId="22" fillId="0" borderId="0" pivotButton="0" quotePrefix="0" xfId="0"/>
    <xf numFmtId="0" fontId="23" fillId="19" borderId="8" applyAlignment="1" pivotButton="0" quotePrefix="0" xfId="0">
      <alignment horizontal="center" vertical="center" wrapText="1"/>
    </xf>
    <xf numFmtId="0" fontId="6" fillId="0" borderId="8" applyAlignment="1" pivotButton="0" quotePrefix="0" xfId="0">
      <alignment horizontal="center" vertical="center" wrapText="1"/>
    </xf>
    <xf numFmtId="0" fontId="6" fillId="0" borderId="8" applyAlignment="1" pivotButton="0" quotePrefix="0" xfId="0">
      <alignment horizontal="left" vertical="center" wrapText="1"/>
    </xf>
    <xf numFmtId="164" fontId="6" fillId="20" borderId="8" applyAlignment="1" pivotButton="0" quotePrefix="0" xfId="0">
      <alignment horizontal="center" vertical="center" wrapText="1"/>
    </xf>
    <xf numFmtId="1" fontId="6" fillId="20" borderId="8" applyAlignment="1" pivotButton="0" quotePrefix="0" xfId="0">
      <alignment horizontal="center" vertical="center" wrapText="1"/>
    </xf>
    <xf numFmtId="0" fontId="6" fillId="21" borderId="8" applyAlignment="1" pivotButton="0" quotePrefix="0" xfId="0">
      <alignment horizontal="center" vertical="center" wrapText="1"/>
    </xf>
    <xf numFmtId="0" fontId="6" fillId="22" borderId="8" applyAlignment="1" pivotButton="0" quotePrefix="0" xfId="0">
      <alignment horizontal="center" vertical="center" wrapText="1"/>
    </xf>
    <xf numFmtId="0" fontId="6" fillId="23" borderId="8" applyAlignment="1" pivotButton="0" quotePrefix="0" xfId="0">
      <alignment horizontal="center" vertical="center" wrapText="1"/>
    </xf>
    <xf numFmtId="0" fontId="6" fillId="24" borderId="8" applyAlignment="1" pivotButton="0" quotePrefix="0" xfId="0">
      <alignment horizontal="center" vertical="center" wrapText="1"/>
    </xf>
    <xf numFmtId="0" fontId="6" fillId="25" borderId="8" applyAlignment="1" pivotButton="0" quotePrefix="0" xfId="0">
      <alignment horizontal="center" vertical="center" wrapText="1"/>
    </xf>
    <xf numFmtId="168" fontId="20" fillId="15" borderId="7" applyAlignment="1" pivotButton="0" quotePrefix="0" xfId="0">
      <alignment horizontal="center" vertical="center" wrapText="1"/>
    </xf>
    <xf numFmtId="168" fontId="0" fillId="15" borderId="7" applyAlignment="1" pivotButton="0" quotePrefix="0" xfId="0">
      <alignment horizontal="center" vertical="center" wrapText="1"/>
    </xf>
    <xf numFmtId="167" fontId="4" fillId="16" borderId="7" applyAlignment="1" pivotButton="0" quotePrefix="0" xfId="0">
      <alignment horizontal="center" vertical="center" wrapText="1"/>
    </xf>
    <xf numFmtId="0" fontId="24" fillId="26" borderId="8" applyAlignment="1" pivotButton="0" quotePrefix="0" xfId="0">
      <alignment horizontal="center" vertical="center" wrapText="1"/>
    </xf>
    <xf numFmtId="0" fontId="25" fillId="0" borderId="0" pivotButton="0" quotePrefix="0" xfId="0"/>
    <xf numFmtId="0" fontId="23" fillId="21" borderId="8" applyAlignment="1" pivotButton="0" quotePrefix="0" xfId="0">
      <alignment horizontal="center" vertical="center"/>
    </xf>
    <xf numFmtId="0" fontId="23" fillId="22" borderId="8" applyAlignment="1" pivotButton="0" quotePrefix="0" xfId="0">
      <alignment horizontal="center" vertical="center"/>
    </xf>
    <xf numFmtId="0" fontId="23" fillId="23" borderId="8" applyAlignment="1" pivotButton="0" quotePrefix="0" xfId="0">
      <alignment horizontal="center" vertical="center"/>
    </xf>
    <xf numFmtId="0" fontId="26" fillId="0" borderId="0" applyAlignment="1" pivotButton="0" quotePrefix="0" xfId="0">
      <alignment horizontal="center" vertical="center"/>
    </xf>
    <xf numFmtId="0" fontId="23" fillId="24" borderId="8" applyAlignment="1" pivotButton="0" quotePrefix="0" xfId="0">
      <alignment horizontal="center" vertical="center"/>
    </xf>
    <xf numFmtId="0" fontId="27" fillId="27" borderId="9" applyAlignment="1" pivotButton="0" quotePrefix="0" xfId="0">
      <alignment horizontal="center" vertical="center" wrapText="1"/>
    </xf>
    <xf numFmtId="0" fontId="4" fillId="28" borderId="9" applyAlignment="1" pivotButton="0" quotePrefix="0" xfId="0">
      <alignment horizontal="center" vertical="center" wrapText="1"/>
    </xf>
    <xf numFmtId="0" fontId="4" fillId="0" borderId="9" applyAlignment="1" pivotButton="0" quotePrefix="0" xfId="0">
      <alignment horizontal="center" vertical="center" wrapText="1"/>
    </xf>
    <xf numFmtId="0" fontId="28" fillId="0" borderId="0" pivotButton="0" quotePrefix="0" xfId="0"/>
    <xf numFmtId="0" fontId="29" fillId="0" borderId="0" pivotButton="0" quotePrefix="0" xfId="0"/>
    <xf numFmtId="0" fontId="30" fillId="29" borderId="10" applyAlignment="1" pivotButton="0" quotePrefix="0" xfId="0">
      <alignment horizontal="center" vertical="center" wrapText="1"/>
    </xf>
    <xf numFmtId="0" fontId="6" fillId="0" borderId="10" applyAlignment="1" pivotButton="0" quotePrefix="0" xfId="0">
      <alignment horizontal="center" vertical="center" wrapText="1"/>
    </xf>
    <xf numFmtId="9" fontId="6" fillId="30" borderId="10" applyAlignment="1" pivotButton="0" quotePrefix="0" xfId="0">
      <alignment horizontal="center" vertical="center" wrapText="1"/>
    </xf>
    <xf numFmtId="0" fontId="4" fillId="31" borderId="10" pivotButton="0" quotePrefix="0" xfId="0"/>
    <xf numFmtId="9" fontId="4" fillId="31" borderId="10" pivotButton="0" quotePrefix="0" xfId="0"/>
    <xf numFmtId="0" fontId="4" fillId="0" borderId="0" applyAlignment="1" pivotButton="0" quotePrefix="0" xfId="0">
      <alignment horizontal="center" vertical="center" wrapText="1"/>
    </xf>
    <xf numFmtId="9" fontId="4" fillId="0" borderId="0" applyAlignment="1" pivotButton="0" quotePrefix="0" xfId="0">
      <alignment horizontal="center" vertical="center" wrapText="1"/>
    </xf>
    <xf numFmtId="0" fontId="31" fillId="0" borderId="0" pivotButton="0" quotePrefix="0" xfId="0"/>
    <xf numFmtId="0" fontId="32" fillId="0" borderId="0" pivotButton="0" quotePrefix="0" xfId="0"/>
    <xf numFmtId="0" fontId="33" fillId="32" borderId="11" applyAlignment="1" pivotButton="0" quotePrefix="0" xfId="0">
      <alignment horizontal="center" vertical="center" wrapText="1"/>
    </xf>
    <xf numFmtId="0" fontId="4" fillId="0" borderId="11" applyAlignment="1" pivotButton="0" quotePrefix="0" xfId="0">
      <alignment horizontal="center" vertical="center" wrapText="1"/>
    </xf>
    <xf numFmtId="0" fontId="6" fillId="0" borderId="11" applyAlignment="1" pivotButton="0" quotePrefix="0" xfId="0">
      <alignment horizontal="left" vertical="center" wrapText="1"/>
    </xf>
    <xf numFmtId="0" fontId="6" fillId="0" borderId="11" applyAlignment="1" pivotButton="0" quotePrefix="0" xfId="0">
      <alignment horizontal="center" vertical="center" wrapText="1"/>
    </xf>
    <xf numFmtId="0" fontId="4" fillId="33" borderId="11" applyAlignment="1" pivotButton="0" quotePrefix="0" xfId="0">
      <alignment horizontal="center" vertical="center" wrapText="1"/>
    </xf>
    <xf numFmtId="0" fontId="4" fillId="34" borderId="11" applyAlignment="1" pivotButton="0" quotePrefix="0" xfId="0">
      <alignment horizontal="center" vertical="center" wrapText="1"/>
    </xf>
    <xf numFmtId="0" fontId="4" fillId="35" borderId="11" applyAlignment="1" pivotButton="0" quotePrefix="0" xfId="0">
      <alignment horizontal="center" vertical="center" wrapText="1"/>
    </xf>
    <xf numFmtId="0" fontId="4" fillId="36" borderId="11" applyAlignment="1" pivotButton="0" quotePrefix="0" xfId="0">
      <alignment horizontal="center" vertical="center" wrapText="1"/>
    </xf>
    <xf numFmtId="0" fontId="34" fillId="0" borderId="0" pivotButton="0" quotePrefix="0" xfId="0"/>
    <xf numFmtId="0" fontId="35" fillId="37" borderId="12" applyAlignment="1" pivotButton="0" quotePrefix="0" xfId="0">
      <alignment horizontal="center" vertical="center" wrapText="1"/>
    </xf>
    <xf numFmtId="0" fontId="6" fillId="38" borderId="12" applyAlignment="1" pivotButton="0" quotePrefix="0" xfId="0">
      <alignment horizontal="center" vertical="center" wrapText="1"/>
    </xf>
    <xf numFmtId="0" fontId="36" fillId="0" borderId="0" pivotButton="0" quotePrefix="0" xfId="0"/>
    <xf numFmtId="0" fontId="37" fillId="0" borderId="0" pivotButton="0" quotePrefix="0" xfId="0"/>
    <xf numFmtId="0" fontId="4" fillId="0" borderId="12" applyAlignment="1" pivotButton="0" quotePrefix="0" xfId="0">
      <alignment horizontal="left" vertical="center" wrapText="1"/>
    </xf>
    <xf numFmtId="1" fontId="6" fillId="0" borderId="12" applyAlignment="1" pivotButton="0" quotePrefix="0" xfId="0">
      <alignment horizontal="center" vertical="center" wrapText="1"/>
    </xf>
    <xf numFmtId="165" fontId="6" fillId="38" borderId="12" applyAlignment="1" pivotButton="0" quotePrefix="0" xfId="0">
      <alignment horizontal="center" vertical="center" wrapText="1"/>
    </xf>
    <xf numFmtId="9" fontId="4" fillId="38" borderId="12" applyAlignment="1" pivotButton="0" quotePrefix="0" xfId="0">
      <alignment horizontal="center" vertical="center" wrapText="1"/>
    </xf>
    <xf numFmtId="9" fontId="6" fillId="38" borderId="12" applyAlignment="1" pivotButton="0" quotePrefix="0" xfId="0">
      <alignment horizontal="center" vertical="center" wrapText="1"/>
    </xf>
    <xf numFmtId="0" fontId="38" fillId="39" borderId="12" applyAlignment="1" pivotButton="0" quotePrefix="0" xfId="0">
      <alignment horizontal="left" vertical="center" wrapText="1"/>
    </xf>
    <xf numFmtId="0" fontId="4" fillId="40" borderId="12" pivotButton="0" quotePrefix="0" xfId="0"/>
    <xf numFmtId="165" fontId="4" fillId="40" borderId="12" pivotButton="0" quotePrefix="0" xfId="0"/>
    <xf numFmtId="9" fontId="4" fillId="40" borderId="12" pivotButton="0" quotePrefix="0" xfId="0"/>
    <xf numFmtId="0" fontId="0" fillId="40" borderId="12" pivotButton="0" quotePrefix="0" xfId="0"/>
    <xf numFmtId="0" fontId="38" fillId="39" borderId="12" applyAlignment="1" pivotButton="0" quotePrefix="0" xfId="0">
      <alignment horizontal="center" vertical="center" wrapText="1"/>
    </xf>
    <xf numFmtId="0" fontId="39" fillId="0" borderId="0" pivotButton="0" quotePrefix="0" xfId="0"/>
    <xf numFmtId="0" fontId="6" fillId="0" borderId="12" applyAlignment="1" pivotButton="0" quotePrefix="0" xfId="0">
      <alignment horizontal="center" vertical="center" wrapText="1"/>
    </xf>
    <xf numFmtId="0" fontId="4" fillId="38" borderId="12" applyAlignment="1" pivotButton="0" quotePrefix="0" xfId="0">
      <alignment horizontal="center" vertical="center" wrapText="1"/>
    </xf>
    <xf numFmtId="9" fontId="4" fillId="0" borderId="0" pivotButton="0" quotePrefix="0" xfId="0"/>
    <xf numFmtId="3" fontId="38" fillId="39" borderId="12" pivotButton="0" quotePrefix="0" xfId="0"/>
    <xf numFmtId="3" fontId="6" fillId="38" borderId="12" applyAlignment="1" pivotButton="0" quotePrefix="0" xfId="0">
      <alignment horizontal="center" vertical="center" wrapText="1"/>
    </xf>
    <xf numFmtId="3" fontId="4" fillId="0" borderId="0" pivotButton="0" quotePrefix="0" xfId="0"/>
    <xf numFmtId="165" fontId="4" fillId="38" borderId="12" applyAlignment="1" pivotButton="0" quotePrefix="0" xfId="0">
      <alignment horizontal="center" vertical="center" wrapText="1"/>
    </xf>
    <xf numFmtId="1" fontId="4" fillId="0" borderId="12" applyAlignment="1" pivotButton="0" quotePrefix="0" xfId="0">
      <alignment horizontal="center" vertical="center" wrapText="1"/>
    </xf>
    <xf numFmtId="0" fontId="0" fillId="39" borderId="12" applyAlignment="1" pivotButton="0" quotePrefix="0" xfId="0">
      <alignment horizontal="center" vertical="center" wrapText="1"/>
    </xf>
    <xf numFmtId="0" fontId="6" fillId="0" borderId="0" pivotButton="0" quotePrefix="0" xfId="0"/>
    <xf numFmtId="0" fontId="4" fillId="0" borderId="12" pivotButton="0" quotePrefix="0" xfId="0"/>
    <xf numFmtId="165" fontId="6" fillId="0" borderId="0" pivotButton="0" quotePrefix="0" xfId="0"/>
    <xf numFmtId="1" fontId="4" fillId="38" borderId="12" applyAlignment="1" pivotButton="0" quotePrefix="0" xfId="0">
      <alignment horizontal="center" vertical="center" wrapText="1"/>
    </xf>
    <xf numFmtId="0" fontId="6" fillId="0" borderId="12" applyAlignment="1" pivotButton="0" quotePrefix="0" xfId="0">
      <alignment horizontal="left" vertical="center" wrapText="1"/>
    </xf>
    <xf numFmtId="168" fontId="6" fillId="38" borderId="12" applyAlignment="1" pivotButton="0" quotePrefix="0" xfId="0">
      <alignment horizontal="center" vertical="center" wrapText="1"/>
    </xf>
    <xf numFmtId="1" fontId="6" fillId="38" borderId="12" applyAlignment="1" pivotButton="0" quotePrefix="0" xfId="0">
      <alignment horizontal="center" vertical="center" wrapText="1"/>
    </xf>
    <xf numFmtId="0" fontId="6" fillId="41" borderId="12" applyAlignment="1" pivotButton="0" quotePrefix="0" xfId="0">
      <alignment horizontal="center" vertical="center" wrapText="1"/>
    </xf>
    <xf numFmtId="0" fontId="6" fillId="42" borderId="12" applyAlignment="1" pivotButton="0" quotePrefix="0" xfId="0">
      <alignment horizontal="center" vertical="center" wrapText="1"/>
    </xf>
    <xf numFmtId="0" fontId="6" fillId="43" borderId="12" applyAlignment="1" pivotButton="0" quotePrefix="0" xfId="0">
      <alignment horizontal="center" vertical="center" wrapText="1"/>
    </xf>
    <xf numFmtId="168" fontId="6" fillId="0" borderId="12" applyAlignment="1" pivotButton="0" quotePrefix="0" xfId="0">
      <alignment horizontal="center" vertical="center" wrapText="1"/>
    </xf>
    <xf numFmtId="167" fontId="4" fillId="38" borderId="0" pivotButton="0" quotePrefix="0" xfId="0"/>
    <xf numFmtId="0" fontId="42" fillId="0" borderId="0" pivotButton="0" quotePrefix="0" xfId="0"/>
    <xf numFmtId="0" fontId="43" fillId="0" borderId="0" pivotButton="0" quotePrefix="0" xfId="0"/>
    <xf numFmtId="0" fontId="40" fillId="44" borderId="13" applyAlignment="1" pivotButton="0" quotePrefix="0" xfId="0">
      <alignment horizontal="center" vertical="center" wrapText="1"/>
    </xf>
    <xf numFmtId="0" fontId="41" fillId="45" borderId="13" applyAlignment="1" pivotButton="0" quotePrefix="0" xfId="0">
      <alignment horizontal="center" vertical="center" wrapText="1"/>
    </xf>
    <xf numFmtId="0" fontId="41" fillId="45" borderId="13" applyAlignment="1" pivotButton="0" quotePrefix="0" xfId="0">
      <alignment horizontal="left" vertical="center" wrapText="1"/>
    </xf>
    <xf numFmtId="164" fontId="6" fillId="46" borderId="13" applyAlignment="1" pivotButton="0" quotePrefix="0" xfId="0">
      <alignment horizontal="center" vertical="center" wrapText="1"/>
    </xf>
    <xf numFmtId="0" fontId="41" fillId="0" borderId="13" applyAlignment="1" pivotButton="0" quotePrefix="0" xfId="0">
      <alignment horizontal="center" vertical="center" wrapText="1"/>
    </xf>
    <xf numFmtId="0" fontId="6" fillId="46" borderId="13" applyAlignment="1" pivotButton="0" quotePrefix="0" xfId="0">
      <alignment horizontal="center" vertical="center" wrapText="1"/>
    </xf>
    <xf numFmtId="165" fontId="6" fillId="46" borderId="13" applyAlignment="1" pivotButton="0" quotePrefix="0" xfId="0">
      <alignment horizontal="center" vertical="center" wrapText="1"/>
    </xf>
    <xf numFmtId="0" fontId="44" fillId="0" borderId="0" pivotButton="0" quotePrefix="0" xfId="0"/>
    <xf numFmtId="0" fontId="6" fillId="0" borderId="13" applyAlignment="1" pivotButton="0" quotePrefix="0" xfId="0">
      <alignment horizontal="center" vertical="center" wrapText="1"/>
    </xf>
    <xf numFmtId="0" fontId="4" fillId="46" borderId="13" applyAlignment="1" pivotButton="0" quotePrefix="0" xfId="0">
      <alignment horizontal="center" vertical="center" wrapText="1"/>
    </xf>
    <xf numFmtId="165" fontId="41" fillId="45" borderId="13" applyAlignment="1" pivotButton="0" quotePrefix="0" xfId="0">
      <alignment horizontal="center" vertical="center" wrapText="1"/>
    </xf>
    <xf numFmtId="0" fontId="0" fillId="45" borderId="13" applyAlignment="1" pivotButton="0" quotePrefix="0" xfId="0">
      <alignment horizontal="center" vertical="center" wrapText="1"/>
    </xf>
    <xf numFmtId="1" fontId="41" fillId="45" borderId="13" applyAlignment="1" pivotButton="0" quotePrefix="0" xfId="0">
      <alignment horizontal="center" vertical="center" wrapText="1"/>
    </xf>
    <xf numFmtId="0" fontId="45" fillId="0" borderId="0" pivotButton="0" quotePrefix="0" xfId="0"/>
    <xf numFmtId="0" fontId="46" fillId="0" borderId="0" pivotButton="0" quotePrefix="0" xfId="0"/>
    <xf numFmtId="1" fontId="47" fillId="47" borderId="14" applyAlignment="1" pivotButton="0" quotePrefix="0" xfId="0">
      <alignment horizontal="center" vertical="center" wrapText="1"/>
    </xf>
    <xf numFmtId="167" fontId="4" fillId="49" borderId="14" applyAlignment="1" pivotButton="0" quotePrefix="0" xfId="0">
      <alignment horizontal="center" vertical="center" wrapText="1"/>
    </xf>
    <xf numFmtId="0" fontId="48" fillId="48" borderId="14" applyAlignment="1" pivotButton="0" quotePrefix="0" xfId="0">
      <alignment horizontal="center" vertical="center" wrapText="1"/>
    </xf>
    <xf numFmtId="0" fontId="6" fillId="0" borderId="14" applyAlignment="1" pivotButton="0" quotePrefix="0" xfId="0">
      <alignment horizontal="center" vertical="center" wrapText="1"/>
    </xf>
    <xf numFmtId="168" fontId="6" fillId="0" borderId="14" applyAlignment="1" pivotButton="0" quotePrefix="0" xfId="0">
      <alignment horizontal="center" vertical="center" wrapText="1"/>
    </xf>
    <xf numFmtId="1" fontId="6" fillId="49" borderId="14" applyAlignment="1" pivotButton="0" quotePrefix="0" xfId="0">
      <alignment horizontal="center" vertical="center" wrapText="1"/>
    </xf>
    <xf numFmtId="1" fontId="6" fillId="0" borderId="14" applyAlignment="1" pivotButton="0" quotePrefix="0" xfId="0">
      <alignment horizontal="center" vertical="center" wrapText="1"/>
    </xf>
    <xf numFmtId="0" fontId="49" fillId="0" borderId="0" pivotButton="0" quotePrefix="0" xfId="0"/>
    <xf numFmtId="0" fontId="4" fillId="0" borderId="15" pivotButton="0" quotePrefix="0" xfId="0"/>
    <xf numFmtId="167" fontId="16" fillId="50" borderId="15" applyAlignment="1" pivotButton="0" quotePrefix="0" xfId="0">
      <alignment horizontal="center" vertical="center"/>
    </xf>
    <xf numFmtId="0" fontId="50" fillId="0" borderId="0" pivotButton="0" quotePrefix="0" xfId="0"/>
    <xf numFmtId="0" fontId="48" fillId="48" borderId="16" applyAlignment="1" pivotButton="0" quotePrefix="0" xfId="0">
      <alignment horizontal="center" vertical="center" wrapText="1"/>
    </xf>
    <xf numFmtId="0" fontId="4" fillId="0" borderId="16" pivotButton="0" quotePrefix="0" xfId="0"/>
    <xf numFmtId="0" fontId="6" fillId="0" borderId="16" pivotButton="0" quotePrefix="0" xfId="0"/>
    <xf numFmtId="169" fontId="6" fillId="0" borderId="16" applyAlignment="1" pivotButton="0" quotePrefix="0" xfId="0">
      <alignment horizontal="center"/>
    </xf>
    <xf numFmtId="0" fontId="6" fillId="0" borderId="16" applyAlignment="1" pivotButton="0" quotePrefix="0" xfId="0">
      <alignment horizontal="center"/>
    </xf>
    <xf numFmtId="9" fontId="6" fillId="0" borderId="16" pivotButton="0" quotePrefix="0" xfId="0"/>
    <xf numFmtId="170" fontId="4" fillId="0" borderId="16" pivotButton="0" quotePrefix="0" xfId="0"/>
    <xf numFmtId="0" fontId="4" fillId="0" borderId="16" applyAlignment="1" pivotButton="0" quotePrefix="0" xfId="0">
      <alignment horizontal="center"/>
    </xf>
    <xf numFmtId="0" fontId="51" fillId="0" borderId="0" pivotButton="0" quotePrefix="0" xfId="0"/>
    <xf numFmtId="0" fontId="52" fillId="0" borderId="0" pivotButton="0" quotePrefix="0" xfId="0"/>
    <xf numFmtId="0" fontId="52" fillId="0" borderId="0" applyAlignment="1" pivotButton="0" quotePrefix="0" xfId="0">
      <alignment horizontal="left"/>
    </xf>
    <xf numFmtId="0" fontId="4" fillId="0" borderId="16" applyAlignment="1" pivotButton="0" quotePrefix="0" xfId="0">
      <alignment vertical="center"/>
    </xf>
    <xf numFmtId="0" fontId="6" fillId="0" borderId="16" applyAlignment="1" pivotButton="0" quotePrefix="0" xfId="0">
      <alignment vertical="center" wrapText="1"/>
    </xf>
    <xf numFmtId="0" fontId="6" fillId="0" borderId="16" applyAlignment="1" pivotButton="0" quotePrefix="0" xfId="0">
      <alignment vertical="center"/>
    </xf>
    <xf numFmtId="0" fontId="48" fillId="48" borderId="0" pivotButton="0" quotePrefix="0" xfId="0"/>
    <xf numFmtId="0" fontId="16" fillId="13" borderId="14" applyAlignment="1" pivotButton="0" quotePrefix="0" xfId="0">
      <alignment horizontal="left" vertical="center" wrapText="1"/>
    </xf>
    <xf numFmtId="0" fontId="0" fillId="0" borderId="5" pivotButton="0" quotePrefix="0" xfId="0"/>
    <xf numFmtId="0" fontId="0" fillId="0" borderId="6" pivotButton="0" quotePrefix="0" xfId="0"/>
    <xf numFmtId="0" fontId="5" fillId="39" borderId="12" applyAlignment="1" pivotButton="0" quotePrefix="0" xfId="0">
      <alignment horizontal="left" vertical="center" wrapText="1"/>
    </xf>
    <xf numFmtId="0" fontId="16" fillId="13" borderId="15" applyAlignment="1" pivotButton="0" quotePrefix="0" xfId="0">
      <alignment horizontal="left" vertical="center" wrapText="1"/>
    </xf>
    <xf numFmtId="0" fontId="48" fillId="48" borderId="19" applyAlignment="1" pivotButton="0" quotePrefix="0" xfId="0">
      <alignment horizontal="center" vertical="center" wrapText="1"/>
    </xf>
    <xf numFmtId="0" fontId="4" fillId="0" borderId="19" pivotButton="0" quotePrefix="0" xfId="0"/>
    <xf numFmtId="0" fontId="6" fillId="0" borderId="19" pivotButton="0" quotePrefix="0" xfId="0"/>
    <xf numFmtId="0" fontId="4" fillId="0" borderId="19" applyAlignment="1" pivotButton="0" quotePrefix="0" xfId="0">
      <alignment horizontal="center" vertical="center"/>
    </xf>
    <xf numFmtId="0" fontId="6" fillId="0" borderId="19" applyAlignment="1" pivotButton="0" quotePrefix="0" xfId="0">
      <alignment horizontal="center" vertical="center"/>
    </xf>
    <xf numFmtId="0" fontId="6" fillId="0" borderId="19" applyAlignment="1" pivotButton="0" quotePrefix="0" xfId="0">
      <alignment vertical="center" wrapText="1"/>
    </xf>
    <xf numFmtId="0" fontId="48" fillId="48" borderId="19" applyAlignment="1" pivotButton="0" quotePrefix="0" xfId="0">
      <alignment horizontal="center" vertical="center"/>
    </xf>
    <xf numFmtId="0" fontId="4" fillId="51" borderId="19" pivotButton="0" quotePrefix="0" xfId="0"/>
    <xf numFmtId="0" fontId="4" fillId="52" borderId="19" pivotButton="0" quotePrefix="0" xfId="0"/>
    <xf numFmtId="0" fontId="4" fillId="53" borderId="19" pivotButton="0" quotePrefix="0" xfId="0"/>
    <xf numFmtId="0" fontId="4" fillId="54" borderId="19" pivotButton="0" quotePrefix="0" xfId="0"/>
  </cellXfs>
  <cellStyles count="1">
    <cellStyle name="Обычный" xfId="0" builtinId="0"/>
  </cellStyles>
  <dxfs count="51">
    <dxf>
      <fill>
        <patternFill patternType="solid">
          <fgColor rgb="FFC6EFCE"/>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FFEB9C"/>
        </patternFill>
      </fill>
    </dxf>
    <dxf>
      <fill>
        <patternFill patternType="solid">
          <fgColor rgb="FFFFC7CE"/>
        </patternFill>
      </fill>
    </dxf>
    <dxf>
      <fill>
        <patternFill patternType="solid">
          <fgColor rgb="FFE2EFDA"/>
        </patternFill>
      </fill>
    </dxf>
    <dxf>
      <fill>
        <patternFill patternType="solid">
          <fgColor rgb="FFE2EFDA"/>
        </patternFill>
      </fill>
    </dxf>
    <dxf>
      <fill>
        <patternFill patternType="solid">
          <fgColor rgb="FFFFF2CC"/>
        </patternFill>
      </fill>
    </dxf>
    <dxf>
      <fill>
        <patternFill patternType="solid">
          <fgColor rgb="FFF8D7DA"/>
        </patternFill>
      </fill>
    </dxf>
    <dxf>
      <fill>
        <patternFill patternType="solid">
          <fgColor rgb="FFF8D7DA"/>
        </patternFill>
      </fill>
    </dxf>
    <dxf>
      <fill>
        <patternFill patternType="solid">
          <fgColor rgb="FFC6EFCE"/>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FFEB9C"/>
        </patternFill>
      </fill>
    </dxf>
    <dxf>
      <fill>
        <patternFill patternType="solid">
          <fgColor rgb="FFFFC7CE"/>
        </patternFill>
      </fill>
    </dxf>
    <dxf>
      <fill>
        <patternFill patternType="solid">
          <fgColor rgb="FFFFC7CE"/>
        </patternFill>
      </fill>
    </dxf>
    <dxf>
      <fill>
        <patternFill patternType="solid">
          <fgColor rgb="FFFFEB9C"/>
        </patternFill>
      </fill>
    </dxf>
    <dxf>
      <fill>
        <patternFill patternType="solid">
          <fgColor rgb="FFC6EFCE"/>
        </patternFill>
      </fill>
    </dxf>
    <dxf>
      <fill>
        <patternFill patternType="solid">
          <fgColor rgb="FFF8D7DA"/>
        </patternFill>
      </fill>
    </dxf>
    <dxf>
      <fill>
        <patternFill patternType="solid">
          <fgColor rgb="FFFFF2CC"/>
        </patternFill>
      </fill>
    </dxf>
    <dxf>
      <fill>
        <patternFill patternType="solid">
          <fgColor rgb="FFE2EFDA"/>
        </patternFill>
      </fill>
    </dxf>
    <dxf>
      <fill>
        <patternFill patternType="solid">
          <fgColor rgb="FFC6EFCE"/>
        </patternFill>
      </fill>
    </dxf>
    <dxf>
      <fill>
        <patternFill patternType="solid">
          <fgColor rgb="FFFFEB9C"/>
        </patternFill>
      </fill>
    </dxf>
    <dxf>
      <fill>
        <patternFill patternType="solid">
          <fgColor rgb="FFFFC7CE"/>
        </patternFill>
      </fill>
    </dxf>
    <dxf>
      <fill>
        <patternFill patternType="solid">
          <fgColor rgb="FFFFC7CE"/>
        </patternFill>
      </fill>
    </dxf>
    <dxf>
      <fill>
        <patternFill patternType="solid">
          <fgColor rgb="FFC6EFCE"/>
        </patternFill>
      </fill>
    </dxf>
    <dxf>
      <fill>
        <patternFill patternType="solid">
          <fgColor rgb="FFC6EFCE"/>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FFEB9C"/>
        </patternFill>
      </fill>
    </dxf>
    <dxf>
      <fill>
        <patternFill patternType="solid">
          <fgColor rgb="FFFFC7CE"/>
        </patternFill>
      </fill>
    </dxf>
    <dxf>
      <fill>
        <patternFill patternType="solid">
          <fgColor rgb="FFFFEB9C"/>
        </patternFill>
      </fill>
    </dxf>
    <dxf>
      <fill>
        <patternFill patternType="solid">
          <fgColor rgb="FFC6EFCE"/>
        </patternFill>
      </fill>
    </dxf>
    <dxf>
      <fill>
        <patternFill patternType="solid">
          <fgColor rgb="FFC6EFCE"/>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FFC7CE"/>
        </patternFill>
      </fill>
    </dxf>
    <dxf>
      <fill>
        <patternFill patternType="solid">
          <fgColor rgb="FFC6EFCE"/>
        </patternFill>
      </fill>
    </dxf>
    <dxf>
      <fill>
        <patternFill patternType="solid">
          <fgColor rgb="FFFFEB9C"/>
        </patternFill>
      </fill>
    </dxf>
    <dxf>
      <fill>
        <patternFill patternType="solid">
          <fgColor rgb="FFFFC7CE"/>
        </patternFill>
      </fill>
    </dxf>
    <dxf>
      <fill>
        <patternFill patternType="solid">
          <fgColor rgb="FFF8D2D2"/>
        </patternFill>
      </fill>
    </dxf>
    <dxf>
      <fill>
        <patternFill patternType="solid">
          <fgColor rgb="FFFDECC8"/>
        </patternFill>
      </fill>
    </dxf>
    <dxf>
      <fill>
        <patternFill patternType="solid">
          <fgColor rgb="FFD6E4FB"/>
        </patternFill>
      </fill>
    </dxf>
    <dxf>
      <fill>
        <patternFill patternType="solid">
          <fgColor rgb="FFE4E9F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styles" Target="styles.xml" Id="rId32"/><Relationship Type="http://schemas.openxmlformats.org/officeDocument/2006/relationships/theme" Target="theme/theme1.xml" Id="rId33"/></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 xml:space="preserve">План </a:t>
            </a:r>
            <a:r>
              <a:rPr lang="en-US"/>
              <a:t xml:space="preserve">vs </a:t>
            </a:r>
            <a:r>
              <a:rPr lang="ru-RU"/>
              <a:t>Факт (</a:t>
            </a:r>
            <a:r>
              <a:rPr lang="en-US"/>
              <a:t>velocity)</a:t>
            </a:r>
          </a:p>
        </rich>
      </tx>
      <overlay val="0"/>
    </title>
    <plotArea>
      <layout/>
      <lineChart>
        <grouping val="standard"/>
        <varyColors val="1"/>
        <ser>
          <idx val="0"/>
          <order val="0"/>
          <tx>
            <strRef>
              <f>'Дорожная карта'!$G$5</f>
              <strCache>
                <ptCount val="1"/>
                <pt idx="0">
                  <v>План трудо-
ёмкости (дн)</v>
                </pt>
              </strCache>
            </strRef>
          </tx>
          <spPr>
            <a:ln xmlns:a="http://schemas.openxmlformats.org/drawingml/2006/main">
              <a:solidFill>
                <a:srgbClr val="8EAADB"/>
              </a:solidFill>
              <a:prstDash val="dash"/>
            </a:ln>
          </spPr>
          <marker>
            <symbol val="none"/>
            <spPr>
              <a:ln xmlns:a="http://schemas.openxmlformats.org/drawingml/2006/main">
                <a:prstDash val="solid"/>
              </a:ln>
            </spPr>
          </marker>
          <cat>
            <strRef>
              <f>'Дорожная карта'!$B$6:$B$16</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'Дорожная карта'!$G$6:$G$16</f>
              <numCache>
                <formatCode>#\ ##0.0</formatCode>
                <ptCount val="11"/>
                <pt idx="0">
                  <v>22</v>
                </pt>
                <pt idx="1">
                  <v>24</v>
                </pt>
                <pt idx="2">
                  <v>29</v>
                </pt>
                <pt idx="3">
                  <v>19</v>
                </pt>
                <pt idx="4">
                  <v>13</v>
                </pt>
                <pt idx="5">
                  <v>0</v>
                </pt>
                <pt idx="6">
                  <v>0</v>
                </pt>
                <pt idx="7">
                  <v>0</v>
                </pt>
                <pt idx="8">
                  <v>0</v>
                </pt>
                <pt idx="9">
                  <v>0</v>
                </pt>
                <pt idx="10">
                  <v>0</v>
                </pt>
              </numCache>
            </numRef>
          </val>
          <smooth val="1"/>
        </ser>
        <ser>
          <idx val="1"/>
          <order val="1"/>
          <tx>
            <strRef>
              <f>'Дорожная карта'!$I$5</f>
              <strCache>
                <ptCount val="1"/>
                <pt idx="0">
                  <v>Факт /
Velocity (дн)</v>
                </pt>
              </strCache>
            </strRef>
          </tx>
          <spPr>
            <a:ln xmlns:a="http://schemas.openxmlformats.org/drawingml/2006/main" w="28000">
              <a:solidFill>
                <a:srgbClr val="C00000"/>
              </a:solidFill>
              <a:prstDash val="solid"/>
            </a:ln>
          </spPr>
          <marker>
            <symbol val="none"/>
            <spPr>
              <a:ln xmlns:a="http://schemas.openxmlformats.org/drawingml/2006/main">
                <a:prstDash val="solid"/>
              </a:ln>
            </spPr>
          </marker>
          <cat>
            <strRef>
              <f>'Дорожная карта'!$B$6:$B$16</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'Дорожная карта'!$I$6:$I$16</f>
              <numCache>
                <formatCode>#\ ##0.0</formatCode>
                <ptCount val="11"/>
                <pt idx="0">
                  <v>17</v>
                </pt>
                <pt idx="1">
                  <v>21</v>
                </pt>
                <pt idx="2">
                  <v>0</v>
                </pt>
                <pt idx="3">
                  <v>0</v>
                </pt>
                <pt idx="4">
                  <v>0</v>
                </pt>
                <pt idx="5">
                  <v>0</v>
                </pt>
                <pt idx="6">
                  <v>0</v>
                </pt>
                <pt idx="7">
                  <v>0</v>
                </pt>
                <pt idx="8">
                  <v>0</v>
                </pt>
                <pt idx="9">
                  <v>0</v>
                </pt>
                <pt idx="10">
                  <v>0</v>
                </pt>
              </numCache>
            </numRef>
          </val>
          <smooth val="1"/>
        </ser>
        <dLbls>
          <showLegendKey val="0"/>
          <showVal val="0"/>
          <showCatName val="0"/>
          <showSerName val="0"/>
          <showPercent val="0"/>
          <showBubbleSize val="0"/>
        </dLbls>
        <smooth val="0"/>
        <axId val="10"/>
        <axId val="100"/>
      </lineChart>
      <catAx>
        <axId val="10"/>
        <scaling>
          <orientation val="minMax"/>
        </scaling>
        <delete val="0"/>
        <axPos val="b"/>
        <title>
          <tx>
            <rich>
              <a:bodyPr xmlns:a="http://schemas.openxmlformats.org/drawingml/2006/main"/>
              <a:lstStyle xmlns:a="http://schemas.openxmlformats.org/drawingml/2006/main"/>
              <a:p xmlns:a="http://schemas.openxmlformats.org/drawingml/2006/main">
                <a:pPr>
                  <a:defRPr/>
                </a:pPr>
                <a:r>
                  <a:rPr lang="ru-RU"/>
                  <a:t>Спринт</a:t>
                </a:r>
              </a:p>
            </rich>
          </tx>
          <overlay val="1"/>
        </title>
        <numFmt formatCode="General" sourceLinked="1"/>
        <majorTickMark val="none"/>
        <minorTickMark val="none"/>
        <tickLblPos val="nextTo"/>
        <spPr>
          <a:ln xmlns:a="http://schemas.openxmlformats.org/drawingml/2006/main">
            <a:solidFill>
              <a:srgbClr val="808080"/>
            </a:solidFill>
            <a:prstDash val="solid"/>
          </a:ln>
        </spPr>
        <crossAx val="100"/>
        <crosses val="autoZero"/>
        <auto val="1"/>
        <lblAlgn val="ctr"/>
        <lblOffset val="100"/>
        <noMultiLvlLbl val="1"/>
      </catAx>
      <valAx>
        <axId val="100"/>
        <scaling>
          <orientation val="minMax"/>
        </scaling>
        <delete val="0"/>
        <axPos val="l"/>
        <majorGridlines/>
        <title>
          <tx>
            <rich>
              <a:bodyPr xmlns:a="http://schemas.openxmlformats.org/drawingml/2006/main"/>
              <a:lstStyle xmlns:a="http://schemas.openxmlformats.org/drawingml/2006/main"/>
              <a:p xmlns:a="http://schemas.openxmlformats.org/drawingml/2006/main">
                <a:pPr>
                  <a:defRPr/>
                </a:pPr>
                <a:r>
                  <a:rPr lang="ru-RU"/>
                  <a:t>Человеко-дни</a:t>
                </a:r>
              </a:p>
            </rich>
          </tx>
          <overlay val="1"/>
        </title>
        <numFmt formatCode="#\ ##0.0" sourceLinked="1"/>
        <majorTickMark val="none"/>
        <minorTickMark val="none"/>
        <tickLblPos val="nextTo"/>
        <spPr>
          <a:ln xmlns:a="http://schemas.openxmlformats.org/drawingml/2006/main">
            <a:solidFill>
              <a:srgbClr val="808080"/>
            </a:solidFill>
            <a:prstDash val="solid"/>
          </a:ln>
        </spPr>
        <crossAx val="10"/>
        <crosses val="autoZero"/>
        <crossBetween val="between"/>
      </valAx>
    </plotArea>
    <legend>
      <legendPos val="r"/>
      <overlay val="0"/>
    </legend>
    <plotVisOnly val="1"/>
    <dispBlanksAs val="gap"/>
  </chart>
</chartSpace>
</file>

<file path=xl/charts/chart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 xml:space="preserve">Трудомощность </a:t>
            </a:r>
            <a:r>
              <a:rPr lang="en-US"/>
              <a:t xml:space="preserve">vs </a:t>
            </a:r>
            <a:r>
              <a:rPr lang="ru-RU"/>
              <a:t>План (дн)</a:t>
            </a:r>
          </a:p>
        </rich>
      </tx>
      <overlay val="0"/>
    </title>
    <plotArea>
      <layout/>
      <barChart>
        <barDir val="col"/>
        <grouping val="clustered"/>
        <varyColors val="1"/>
        <ser>
          <idx val="0"/>
          <order val="0"/>
          <tx>
            <strRef>
              <f>'Дорожная карта'!$F$5</f>
              <strCache>
                <ptCount val="1"/>
                <pt idx="0">
                  <v>Трудомощность
(дн)</v>
                </pt>
              </strCache>
            </strRef>
          </tx>
          <spPr>
            <a:solidFill xmlns:a="http://schemas.openxmlformats.org/drawingml/2006/main">
              <a:srgbClr val="8EAADB"/>
            </a:solidFill>
            <a:ln xmlns:a="http://schemas.openxmlformats.org/drawingml/2006/main">
              <a:prstDash val="solid"/>
            </a:ln>
          </spPr>
          <invertIfNegative val="1"/>
          <cat>
            <strRef>
              <f>'Дорожная карта'!$B$6:$B$16</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'Дорожная карта'!$F$6:$F$16</f>
              <numCache>
                <formatCode>#\ ##0.0</formatCode>
                <ptCount val="11"/>
                <pt idx="0">
                  <v>92.80000000000001</v>
                </pt>
                <pt idx="1">
                  <v>95.2</v>
                </pt>
                <pt idx="2">
                  <v>95.2</v>
                </pt>
                <pt idx="3">
                  <v>95.2</v>
                </pt>
                <pt idx="4">
                  <v>93.2</v>
                </pt>
                <pt idx="5">
                  <v>95.2</v>
                </pt>
                <pt idx="6">
                  <v>85.68000000000002</v>
                </pt>
                <pt idx="7">
                  <v>91.2</v>
                </pt>
                <pt idx="8">
                  <v>95.2</v>
                </pt>
                <pt idx="9">
                  <v>95.2</v>
                </pt>
                <pt idx="10">
                  <v>85.68000000000002</v>
                </pt>
              </numCache>
            </numRef>
          </val>
        </ser>
        <ser>
          <idx val="1"/>
          <order val="1"/>
          <tx>
            <strRef>
              <f>'Дорожная карта'!$G$5</f>
              <strCache>
                <ptCount val="1"/>
                <pt idx="0">
                  <v>План трудо-
ёмкости (дн)</v>
                </pt>
              </strCache>
            </strRef>
          </tx>
          <spPr>
            <a:solidFill xmlns:a="http://schemas.openxmlformats.org/drawingml/2006/main">
              <a:srgbClr val="FFC000"/>
            </a:solidFill>
            <a:ln xmlns:a="http://schemas.openxmlformats.org/drawingml/2006/main">
              <a:prstDash val="solid"/>
            </a:ln>
          </spPr>
          <invertIfNegative val="1"/>
          <cat>
            <strRef>
              <f>'Дорожная карта'!$B$6:$B$16</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'Дорожная карта'!$G$6:$G$16</f>
              <numCache>
                <formatCode>#\ ##0.0</formatCode>
                <ptCount val="11"/>
                <pt idx="0">
                  <v>22</v>
                </pt>
                <pt idx="1">
                  <v>24</v>
                </pt>
                <pt idx="2">
                  <v>29</v>
                </pt>
                <pt idx="3">
                  <v>19</v>
                </pt>
                <pt idx="4">
                  <v>13</v>
                </pt>
                <pt idx="5">
                  <v>0</v>
                </pt>
                <pt idx="6">
                  <v>0</v>
                </pt>
                <pt idx="7">
                  <v>0</v>
                </pt>
                <pt idx="8">
                  <v>0</v>
                </pt>
                <pt idx="9">
                  <v>0</v>
                </pt>
                <pt idx="10">
                  <v>0</v>
                </pt>
              </numCache>
            </numRef>
          </val>
        </ser>
        <dLbls>
          <showLegendKey val="0"/>
          <showVal val="0"/>
          <showCatName val="0"/>
          <showSerName val="0"/>
          <showPercent val="0"/>
          <showBubbleSize val="0"/>
        </dLbls>
        <gapWidth val="150"/>
        <axId val="10"/>
        <axId val="100"/>
      </barChart>
      <catAx>
        <axId val="10"/>
        <scaling>
          <orientation val="minMax"/>
        </scaling>
        <delete val="0"/>
        <axPos val="b"/>
        <title>
          <tx>
            <rich>
              <a:bodyPr xmlns:a="http://schemas.openxmlformats.org/drawingml/2006/main"/>
              <a:lstStyle xmlns:a="http://schemas.openxmlformats.org/drawingml/2006/main"/>
              <a:p xmlns:a="http://schemas.openxmlformats.org/drawingml/2006/main">
                <a:pPr>
                  <a:defRPr/>
                </a:pPr>
                <a:r>
                  <a:rPr lang="ru-RU"/>
                  <a:t>Спринт</a:t>
                </a:r>
              </a:p>
            </rich>
          </tx>
          <overlay val="1"/>
        </title>
        <numFmt formatCode="General" sourceLinked="1"/>
        <majorTickMark val="none"/>
        <minorTickMark val="none"/>
        <tickLblPos val="nextTo"/>
        <spPr>
          <a:ln xmlns:a="http://schemas.openxmlformats.org/drawingml/2006/main">
            <a:solidFill>
              <a:srgbClr val="808080"/>
            </a:solidFill>
            <a:prstDash val="solid"/>
          </a:ln>
        </spPr>
        <crossAx val="100"/>
        <crosses val="autoZero"/>
        <auto val="1"/>
        <lblAlgn val="ctr"/>
        <lblOffset val="100"/>
        <noMultiLvlLbl val="1"/>
      </catAx>
      <valAx>
        <axId val="100"/>
        <scaling>
          <orientation val="minMax"/>
        </scaling>
        <delete val="0"/>
        <axPos val="l"/>
        <majorGridlines/>
        <title>
          <tx>
            <rich>
              <a:bodyPr xmlns:a="http://schemas.openxmlformats.org/drawingml/2006/main"/>
              <a:lstStyle xmlns:a="http://schemas.openxmlformats.org/drawingml/2006/main"/>
              <a:p xmlns:a="http://schemas.openxmlformats.org/drawingml/2006/main">
                <a:pPr>
                  <a:defRPr/>
                </a:pPr>
                <a:r>
                  <a:rPr lang="ru-RU"/>
                  <a:t>Человеко-дни</a:t>
                </a:r>
              </a:p>
            </rich>
          </tx>
          <overlay val="1"/>
        </title>
        <numFmt formatCode="#\ ##0.0" sourceLinked="1"/>
        <majorTickMark val="none"/>
        <minorTickMark val="none"/>
        <tickLblPos val="nextTo"/>
        <spPr>
          <a:ln xmlns:a="http://schemas.openxmlformats.org/drawingml/2006/main">
            <a:solidFill>
              <a:srgbClr val="808080"/>
            </a:solidFill>
            <a:prstDash val="solid"/>
          </a:ln>
        </spPr>
        <crossAx val="10"/>
        <crosses val="autoZero"/>
        <crossBetween val="between"/>
      </valAx>
    </plotArea>
    <legend>
      <legendPos val="r"/>
      <overlay val="0"/>
    </legend>
    <plotVisOnly val="1"/>
    <dispBlanksAs val="gap"/>
  </chart>
</chartSpace>
</file>

<file path=xl/charts/chart3.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 xml:space="preserve">Трудомощность </a:t>
            </a:r>
            <a:r>
              <a:rPr lang="en-US"/>
              <a:t xml:space="preserve">vs </a:t>
            </a:r>
            <a:r>
              <a:rPr lang="ru-RU"/>
              <a:t>План (дни)</a:t>
            </a:r>
          </a:p>
        </rich>
      </tx>
      <overlay val="0"/>
    </title>
    <plotArea>
      <layout/>
      <barChart>
        <barDir val="col"/>
        <grouping val="clustered"/>
        <varyColors val="1"/>
        <ser>
          <idx val="0"/>
          <order val="0"/>
          <tx>
            <strRef>
              <f>'Дорожная карта'!$F$5</f>
              <strCache>
                <ptCount val="1"/>
                <pt idx="0">
                  <v>Трудомощность
(дн)</v>
                </pt>
              </strCache>
            </strRef>
          </tx>
          <spPr>
            <a:solidFill xmlns:a="http://schemas.openxmlformats.org/drawingml/2006/main">
              <a:srgbClr val="8EAADB"/>
            </a:solidFill>
            <a:ln xmlns:a="http://schemas.openxmlformats.org/drawingml/2006/main">
              <a:prstDash val="solid"/>
            </a:ln>
          </spPr>
          <invertIfNegative val="1"/>
          <cat>
            <strRef>
              <f>'Дорожная карта'!$B$6:$B$16</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'Дорожная карта'!$F$6:$F$16</f>
              <numCache>
                <formatCode>#\ ##0.0</formatCode>
                <ptCount val="11"/>
                <pt idx="0">
                  <v>92.80000000000001</v>
                </pt>
                <pt idx="1">
                  <v>95.2</v>
                </pt>
                <pt idx="2">
                  <v>95.2</v>
                </pt>
                <pt idx="3">
                  <v>95.2</v>
                </pt>
                <pt idx="4">
                  <v>93.2</v>
                </pt>
                <pt idx="5">
                  <v>95.2</v>
                </pt>
                <pt idx="6">
                  <v>85.68000000000002</v>
                </pt>
                <pt idx="7">
                  <v>91.2</v>
                </pt>
                <pt idx="8">
                  <v>95.2</v>
                </pt>
                <pt idx="9">
                  <v>95.2</v>
                </pt>
                <pt idx="10">
                  <v>85.68000000000002</v>
                </pt>
              </numCache>
            </numRef>
          </val>
        </ser>
        <ser>
          <idx val="1"/>
          <order val="1"/>
          <tx>
            <strRef>
              <f>'Дорожная карта'!$G$5</f>
              <strCache>
                <ptCount val="1"/>
                <pt idx="0">
                  <v>План трудо-
ёмкости (дн)</v>
                </pt>
              </strCache>
            </strRef>
          </tx>
          <spPr>
            <a:solidFill xmlns:a="http://schemas.openxmlformats.org/drawingml/2006/main">
              <a:srgbClr val="FFC000"/>
            </a:solidFill>
            <a:ln xmlns:a="http://schemas.openxmlformats.org/drawingml/2006/main">
              <a:prstDash val="solid"/>
            </a:ln>
          </spPr>
          <invertIfNegative val="1"/>
          <cat>
            <strRef>
              <f>'Дорожная карта'!$B$6:$B$16</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'Дорожная карта'!$G$6:$G$16</f>
              <numCache>
                <formatCode>#\ ##0.0</formatCode>
                <ptCount val="11"/>
                <pt idx="0">
                  <v>22</v>
                </pt>
                <pt idx="1">
                  <v>24</v>
                </pt>
                <pt idx="2">
                  <v>29</v>
                </pt>
                <pt idx="3">
                  <v>19</v>
                </pt>
                <pt idx="4">
                  <v>13</v>
                </pt>
                <pt idx="5">
                  <v>0</v>
                </pt>
                <pt idx="6">
                  <v>0</v>
                </pt>
                <pt idx="7">
                  <v>0</v>
                </pt>
                <pt idx="8">
                  <v>0</v>
                </pt>
                <pt idx="9">
                  <v>0</v>
                </pt>
                <pt idx="10">
                  <v>0</v>
                </pt>
              </numCache>
            </numRef>
          </val>
        </ser>
        <dLbls>
          <showLegendKey val="0"/>
          <showVal val="0"/>
          <showCatName val="0"/>
          <showSerName val="0"/>
          <showPercent val="0"/>
          <showBubbleSize val="0"/>
        </dLbls>
        <gapWidth val="150"/>
        <axId val="10"/>
        <axId val="100"/>
      </barChart>
      <catAx>
        <axId val="10"/>
        <scaling>
          <orientation val="minMax"/>
        </scaling>
        <delete val="0"/>
        <axPos val="b"/>
        <title>
          <tx>
            <rich>
              <a:bodyPr xmlns:a="http://schemas.openxmlformats.org/drawingml/2006/main"/>
              <a:lstStyle xmlns:a="http://schemas.openxmlformats.org/drawingml/2006/main"/>
              <a:p xmlns:a="http://schemas.openxmlformats.org/drawingml/2006/main">
                <a:pPr>
                  <a:defRPr/>
                </a:pPr>
                <a:r>
                  <a:rPr lang="ru-RU"/>
                  <a:t>Спринт</a:t>
                </a:r>
              </a:p>
            </rich>
          </tx>
          <overlay val="1"/>
        </title>
        <numFmt formatCode="General" sourceLinked="1"/>
        <majorTickMark val="none"/>
        <minorTickMark val="none"/>
        <tickLblPos val="nextTo"/>
        <spPr>
          <a:ln xmlns:a="http://schemas.openxmlformats.org/drawingml/2006/main">
            <a:solidFill>
              <a:srgbClr val="808080"/>
            </a:solidFill>
            <a:prstDash val="solid"/>
          </a:ln>
        </spPr>
        <crossAx val="100"/>
        <crosses val="autoZero"/>
        <auto val="1"/>
        <lblAlgn val="ctr"/>
        <lblOffset val="100"/>
        <noMultiLvlLbl val="1"/>
      </catAx>
      <valAx>
        <axId val="100"/>
        <scaling>
          <orientation val="minMax"/>
        </scaling>
        <delete val="0"/>
        <axPos val="l"/>
        <majorGridlines/>
        <title>
          <tx>
            <rich>
              <a:bodyPr xmlns:a="http://schemas.openxmlformats.org/drawingml/2006/main"/>
              <a:lstStyle xmlns:a="http://schemas.openxmlformats.org/drawingml/2006/main"/>
              <a:p xmlns:a="http://schemas.openxmlformats.org/drawingml/2006/main">
                <a:pPr>
                  <a:defRPr/>
                </a:pPr>
                <a:r>
                  <a:rPr lang="ru-RU"/>
                  <a:t>Человеко-дни</a:t>
                </a:r>
              </a:p>
            </rich>
          </tx>
          <overlay val="1"/>
        </title>
        <numFmt formatCode="#\ ##0.0" sourceLinked="1"/>
        <majorTickMark val="none"/>
        <minorTickMark val="none"/>
        <tickLblPos val="nextTo"/>
        <spPr>
          <a:ln xmlns:a="http://schemas.openxmlformats.org/drawingml/2006/main">
            <a:solidFill>
              <a:srgbClr val="808080"/>
            </a:solidFill>
            <a:prstDash val="solid"/>
          </a:ln>
        </spPr>
        <crossAx val="10"/>
        <crosses val="autoZero"/>
        <crossBetween val="between"/>
      </valAx>
    </plotArea>
    <legend>
      <legendPos val="r"/>
      <overlay val="0"/>
    </legend>
    <plotVisOnly val="1"/>
    <dispBlanksAs val="gap"/>
  </chart>
</chartSpace>
</file>

<file path=xl/charts/chart4.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 xml:space="preserve">План </a:t>
            </a:r>
            <a:r>
              <a:rPr lang="en-US"/>
              <a:t xml:space="preserve">vs </a:t>
            </a:r>
            <a:r>
              <a:rPr lang="ru-RU"/>
              <a:t>Факт (</a:t>
            </a:r>
            <a:r>
              <a:rPr lang="en-US"/>
              <a:t xml:space="preserve">velocity) </a:t>
            </a:r>
            <a:r>
              <a:rPr lang="ru-RU"/>
              <a:t>по спринтам</a:t>
            </a:r>
          </a:p>
        </rich>
      </tx>
      <overlay val="0"/>
    </title>
    <plotArea>
      <layout/>
      <lineChart>
        <grouping val="standard"/>
        <varyColors val="1"/>
        <ser>
          <idx val="0"/>
          <order val="0"/>
          <tx>
            <strRef>
              <f>'Дорожная карта'!$G$5</f>
              <strCache>
                <ptCount val="1"/>
                <pt idx="0">
                  <v>План трудо-
ёмкости (дн)</v>
                </pt>
              </strCache>
            </strRef>
          </tx>
          <spPr>
            <a:ln xmlns:a="http://schemas.openxmlformats.org/drawingml/2006/main">
              <a:solidFill>
                <a:srgbClr val="8EAADB"/>
              </a:solidFill>
              <a:prstDash val="dash"/>
            </a:ln>
          </spPr>
          <marker>
            <symbol val="none"/>
            <spPr>
              <a:ln xmlns:a="http://schemas.openxmlformats.org/drawingml/2006/main">
                <a:prstDash val="solid"/>
              </a:ln>
            </spPr>
          </marker>
          <cat>
            <strRef>
              <f>'Дорожная карта'!$B$6:$B$16</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'Дорожная карта'!$G$6:$G$16</f>
              <numCache>
                <formatCode>#\ ##0.0</formatCode>
                <ptCount val="11"/>
                <pt idx="0">
                  <v>22</v>
                </pt>
                <pt idx="1">
                  <v>24</v>
                </pt>
                <pt idx="2">
                  <v>29</v>
                </pt>
                <pt idx="3">
                  <v>19</v>
                </pt>
                <pt idx="4">
                  <v>13</v>
                </pt>
                <pt idx="5">
                  <v>0</v>
                </pt>
                <pt idx="6">
                  <v>0</v>
                </pt>
                <pt idx="7">
                  <v>0</v>
                </pt>
                <pt idx="8">
                  <v>0</v>
                </pt>
                <pt idx="9">
                  <v>0</v>
                </pt>
                <pt idx="10">
                  <v>0</v>
                </pt>
              </numCache>
            </numRef>
          </val>
          <smooth val="1"/>
        </ser>
        <ser>
          <idx val="1"/>
          <order val="1"/>
          <tx>
            <strRef>
              <f>'Дорожная карта'!$I$5</f>
              <strCache>
                <ptCount val="1"/>
                <pt idx="0">
                  <v>Факт /
Velocity (дн)</v>
                </pt>
              </strCache>
            </strRef>
          </tx>
          <spPr>
            <a:ln xmlns:a="http://schemas.openxmlformats.org/drawingml/2006/main" w="28000">
              <a:solidFill>
                <a:srgbClr val="C00000"/>
              </a:solidFill>
              <a:prstDash val="solid"/>
            </a:ln>
          </spPr>
          <marker>
            <symbol val="none"/>
            <spPr>
              <a:ln xmlns:a="http://schemas.openxmlformats.org/drawingml/2006/main">
                <a:prstDash val="solid"/>
              </a:ln>
            </spPr>
          </marker>
          <cat>
            <strRef>
              <f>'Дорожная карта'!$B$6:$B$16</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'Дорожная карта'!$I$6:$I$16</f>
              <numCache>
                <formatCode>#\ ##0.0</formatCode>
                <ptCount val="11"/>
                <pt idx="0">
                  <v>17</v>
                </pt>
                <pt idx="1">
                  <v>21</v>
                </pt>
                <pt idx="2">
                  <v>0</v>
                </pt>
                <pt idx="3">
                  <v>0</v>
                </pt>
                <pt idx="4">
                  <v>0</v>
                </pt>
                <pt idx="5">
                  <v>0</v>
                </pt>
                <pt idx="6">
                  <v>0</v>
                </pt>
                <pt idx="7">
                  <v>0</v>
                </pt>
                <pt idx="8">
                  <v>0</v>
                </pt>
                <pt idx="9">
                  <v>0</v>
                </pt>
                <pt idx="10">
                  <v>0</v>
                </pt>
              </numCache>
            </numRef>
          </val>
          <smooth val="1"/>
        </ser>
        <dLbls>
          <showLegendKey val="0"/>
          <showVal val="0"/>
          <showCatName val="0"/>
          <showSerName val="0"/>
          <showPercent val="0"/>
          <showBubbleSize val="0"/>
        </dLbls>
        <smooth val="0"/>
        <axId val="10"/>
        <axId val="100"/>
      </lineChart>
      <catAx>
        <axId val="10"/>
        <scaling>
          <orientation val="minMax"/>
        </scaling>
        <delete val="0"/>
        <axPos val="b"/>
        <title>
          <tx>
            <rich>
              <a:bodyPr xmlns:a="http://schemas.openxmlformats.org/drawingml/2006/main"/>
              <a:lstStyle xmlns:a="http://schemas.openxmlformats.org/drawingml/2006/main"/>
              <a:p xmlns:a="http://schemas.openxmlformats.org/drawingml/2006/main">
                <a:pPr>
                  <a:defRPr/>
                </a:pPr>
                <a:r>
                  <a:rPr lang="ru-RU"/>
                  <a:t>Спринт</a:t>
                </a:r>
              </a:p>
            </rich>
          </tx>
          <overlay val="1"/>
        </title>
        <numFmt formatCode="General" sourceLinked="1"/>
        <majorTickMark val="none"/>
        <minorTickMark val="none"/>
        <tickLblPos val="nextTo"/>
        <spPr>
          <a:ln xmlns:a="http://schemas.openxmlformats.org/drawingml/2006/main">
            <a:solidFill>
              <a:srgbClr val="808080"/>
            </a:solidFill>
            <a:prstDash val="solid"/>
          </a:ln>
        </spPr>
        <crossAx val="100"/>
        <crosses val="autoZero"/>
        <auto val="1"/>
        <lblAlgn val="ctr"/>
        <lblOffset val="100"/>
        <noMultiLvlLbl val="1"/>
      </catAx>
      <valAx>
        <axId val="100"/>
        <scaling>
          <orientation val="minMax"/>
        </scaling>
        <delete val="0"/>
        <axPos val="l"/>
        <majorGridlines/>
        <title>
          <tx>
            <rich>
              <a:bodyPr xmlns:a="http://schemas.openxmlformats.org/drawingml/2006/main"/>
              <a:lstStyle xmlns:a="http://schemas.openxmlformats.org/drawingml/2006/main"/>
              <a:p xmlns:a="http://schemas.openxmlformats.org/drawingml/2006/main">
                <a:pPr>
                  <a:defRPr/>
                </a:pPr>
                <a:r>
                  <a:rPr lang="ru-RU"/>
                  <a:t>Человеко-дни</a:t>
                </a:r>
              </a:p>
            </rich>
          </tx>
          <overlay val="1"/>
        </title>
        <numFmt formatCode="#\ ##0.0" sourceLinked="1"/>
        <majorTickMark val="none"/>
        <minorTickMark val="none"/>
        <tickLblPos val="nextTo"/>
        <spPr>
          <a:ln xmlns:a="http://schemas.openxmlformats.org/drawingml/2006/main">
            <a:solidFill>
              <a:srgbClr val="808080"/>
            </a:solidFill>
            <a:prstDash val="solid"/>
          </a:ln>
        </spPr>
        <crossAx val="10"/>
        <crosses val="autoZero"/>
        <crossBetween val="between"/>
      </valAx>
    </plotArea>
    <legend>
      <legendPos val="r"/>
      <overlay val="0"/>
    </legend>
    <plotVisOnly val="1"/>
    <dispBlanksAs val="gap"/>
  </chart>
</chartSpace>
</file>

<file path=xl/charts/chart5.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 выполнения по спринтам (цвет по порогам, цель 100%)</a:t>
            </a:r>
          </a:p>
        </rich>
      </tx>
      <overlay val="0"/>
    </title>
    <plotArea>
      <layout/>
      <barChart>
        <barDir val="col"/>
        <grouping val="clustered"/>
        <varyColors val="1"/>
        <ser>
          <idx val="0"/>
          <order val="0"/>
          <tx>
            <strRef>
              <f>'Дорожная карта'!$AB$5</f>
              <strCache>
                <ptCount val="1"/>
                <pt idx="0">
                  <v>≥90%</v>
                </pt>
              </strCache>
            </strRef>
          </tx>
          <spPr>
            <a:solidFill xmlns:a="http://schemas.openxmlformats.org/drawingml/2006/main">
              <a:srgbClr val="70AD47"/>
            </a:solidFill>
            <a:ln xmlns:a="http://schemas.openxmlformats.org/drawingml/2006/main">
              <a:prstDash val="solid"/>
            </a:ln>
          </spPr>
          <invertIfNegative val="1"/>
          <cat>
            <strRef>
              <f>'Дорожная карта'!$B$6:$B$16</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'Дорожная карта'!$AB$6:$AB$16</f>
              <numCache>
                <formatCode>0%</formatCode>
                <ptCount val="11"/>
                <pt idx="0">
                  <v>#N/A</v>
                </pt>
                <pt idx="1">
                  <v>#N/A</v>
                </pt>
                <pt idx="2">
                  <v>#N/A</v>
                </pt>
                <pt idx="3">
                  <v>#N/A</v>
                </pt>
                <pt idx="4">
                  <v>#N/A</v>
                </pt>
                <pt idx="5">
                  <v>#N/A</v>
                </pt>
                <pt idx="6">
                  <v>#N/A</v>
                </pt>
                <pt idx="7">
                  <v>#N/A</v>
                </pt>
                <pt idx="8">
                  <v>#N/A</v>
                </pt>
                <pt idx="9">
                  <v>#N/A</v>
                </pt>
                <pt idx="10">
                  <v>#N/A</v>
                </pt>
              </numCache>
            </numRef>
          </val>
        </ser>
        <ser>
          <idx val="1"/>
          <order val="1"/>
          <tx>
            <strRef>
              <f>'Дорожная карта'!$AC$5</f>
              <strCache>
                <ptCount val="1"/>
                <pt idx="0">
                  <v>70–90%</v>
                </pt>
              </strCache>
            </strRef>
          </tx>
          <spPr>
            <a:solidFill xmlns:a="http://schemas.openxmlformats.org/drawingml/2006/main">
              <a:srgbClr val="FFC000"/>
            </a:solidFill>
            <a:ln xmlns:a="http://schemas.openxmlformats.org/drawingml/2006/main">
              <a:prstDash val="solid"/>
            </a:ln>
          </spPr>
          <invertIfNegative val="1"/>
          <cat>
            <strRef>
              <f>'Дорожная карта'!$B$6:$B$16</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'Дорожная карта'!$AC$6:$AC$16</f>
              <numCache>
                <formatCode>0%</formatCode>
                <ptCount val="11"/>
                <pt idx="0">
                  <v>0.7727272727272727</v>
                </pt>
                <pt idx="1">
                  <v>0.875</v>
                </pt>
                <pt idx="2">
                  <v>#N/A</v>
                </pt>
                <pt idx="3">
                  <v>#N/A</v>
                </pt>
                <pt idx="4">
                  <v>#N/A</v>
                </pt>
                <pt idx="5">
                  <v>#N/A</v>
                </pt>
                <pt idx="6">
                  <v>#N/A</v>
                </pt>
                <pt idx="7">
                  <v>#N/A</v>
                </pt>
                <pt idx="8">
                  <v>#N/A</v>
                </pt>
                <pt idx="9">
                  <v>#N/A</v>
                </pt>
                <pt idx="10">
                  <v>#N/A</v>
                </pt>
              </numCache>
            </numRef>
          </val>
        </ser>
        <ser>
          <idx val="2"/>
          <order val="2"/>
          <tx>
            <strRef>
              <f>'Дорожная карта'!$AD$5</f>
              <strCache>
                <ptCount val="1"/>
                <pt idx="0">
                  <v>&lt;70%</v>
                </pt>
              </strCache>
            </strRef>
          </tx>
          <spPr>
            <a:solidFill xmlns:a="http://schemas.openxmlformats.org/drawingml/2006/main">
              <a:srgbClr val="C00000"/>
            </a:solidFill>
            <a:ln xmlns:a="http://schemas.openxmlformats.org/drawingml/2006/main">
              <a:prstDash val="solid"/>
            </a:ln>
          </spPr>
          <invertIfNegative val="1"/>
          <cat>
            <strRef>
              <f>'Дорожная карта'!$B$6:$B$16</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'Дорожная карта'!$AD$6:$AD$16</f>
              <numCache>
                <formatCode>0%</formatCode>
                <ptCount val="11"/>
                <pt idx="0">
                  <v>#N/A</v>
                </pt>
                <pt idx="1">
                  <v>#N/A</v>
                </pt>
                <pt idx="2">
                  <v>#N/A</v>
                </pt>
                <pt idx="3">
                  <v>#N/A</v>
                </pt>
                <pt idx="4">
                  <v>#N/A</v>
                </pt>
                <pt idx="5">
                  <v>#N/A</v>
                </pt>
                <pt idx="6">
                  <v>#N/A</v>
                </pt>
                <pt idx="7">
                  <v>#N/A</v>
                </pt>
                <pt idx="8">
                  <v>#N/A</v>
                </pt>
                <pt idx="9">
                  <v>#N/A</v>
                </pt>
                <pt idx="10">
                  <v>#N/A</v>
                </pt>
              </numCache>
            </numRef>
          </val>
        </ser>
        <dLbls>
          <showLegendKey val="0"/>
          <showVal val="0"/>
          <showCatName val="0"/>
          <showSerName val="0"/>
          <showPercent val="0"/>
          <showBubbleSize val="0"/>
        </dLbls>
        <gapWidth val="60"/>
        <overlap val="100"/>
        <axId val="10"/>
        <axId val="100"/>
      </barChart>
      <lineChart>
        <grouping val="standard"/>
        <varyColors val="1"/>
        <ser>
          <idx val="3"/>
          <order val="3"/>
          <tx>
            <strRef>
              <f>'Дорожная карта'!$AE$5</f>
              <strCache>
                <ptCount val="1"/>
                <pt idx="0">
                  <v>Цель 100%</v>
                </pt>
              </strCache>
            </strRef>
          </tx>
          <spPr>
            <a:ln xmlns:a="http://schemas.openxmlformats.org/drawingml/2006/main" w="38100">
              <a:solidFill>
                <a:srgbClr val="404040"/>
              </a:solidFill>
              <a:prstDash val="dash"/>
            </a:ln>
          </spPr>
          <marker>
            <symbol val="none"/>
            <spPr>
              <a:ln xmlns:a="http://schemas.openxmlformats.org/drawingml/2006/main">
                <a:prstDash val="solid"/>
              </a:ln>
            </spPr>
          </marker>
          <cat>
            <strRef>
              <f>'Дорожная карта'!$B$6:$B$16</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'Дорожная карта'!$AE$6:$AE$16</f>
              <numCache>
                <formatCode>0%</formatCode>
                <ptCount val="11"/>
                <pt idx="0">
                  <v>1</v>
                </pt>
                <pt idx="1">
                  <v>1</v>
                </pt>
                <pt idx="2">
                  <v>1</v>
                </pt>
                <pt idx="3">
                  <v>1</v>
                </pt>
                <pt idx="4">
                  <v>1</v>
                </pt>
                <pt idx="5">
                  <v>1</v>
                </pt>
                <pt idx="6">
                  <v>1</v>
                </pt>
                <pt idx="7">
                  <v>1</v>
                </pt>
                <pt idx="8">
                  <v>1</v>
                </pt>
                <pt idx="9">
                  <v>1</v>
                </pt>
                <pt idx="10">
                  <v>1</v>
                </pt>
              </numCache>
            </numRef>
          </val>
          <smooth val="1"/>
        </ser>
        <dLbls>
          <showLegendKey val="0"/>
          <showVal val="0"/>
          <showCatName val="0"/>
          <showSerName val="0"/>
          <showPercent val="0"/>
          <showBubbleSize val="0"/>
        </dLbls>
        <marker val="1"/>
        <smooth val="0"/>
        <axId val="10"/>
        <axId val="100"/>
      </lineChart>
      <catAx>
        <axId val="10"/>
        <scaling>
          <orientation val="minMax"/>
        </scaling>
        <delete val="0"/>
        <axPos val="b"/>
        <title>
          <tx>
            <rich>
              <a:bodyPr xmlns:a="http://schemas.openxmlformats.org/drawingml/2006/main"/>
              <a:lstStyle xmlns:a="http://schemas.openxmlformats.org/drawingml/2006/main"/>
              <a:p xmlns:a="http://schemas.openxmlformats.org/drawingml/2006/main">
                <a:pPr>
                  <a:defRPr/>
                </a:pPr>
                <a:r>
                  <a:rPr lang="ru-RU"/>
                  <a:t>Спринт</a:t>
                </a:r>
              </a:p>
            </rich>
          </tx>
          <overlay val="1"/>
        </title>
        <numFmt formatCode="General" sourceLinked="1"/>
        <majorTickMark val="none"/>
        <minorTickMark val="none"/>
        <tickLblPos val="nextTo"/>
        <spPr>
          <a:ln xmlns:a="http://schemas.openxmlformats.org/drawingml/2006/main">
            <a:solidFill>
              <a:srgbClr val="808080"/>
            </a:solidFill>
            <a:prstDash val="solid"/>
          </a:ln>
        </spPr>
        <crossAx val="100"/>
        <crosses val="autoZero"/>
        <auto val="1"/>
        <lblAlgn val="ctr"/>
        <lblOffset val="100"/>
        <noMultiLvlLbl val="1"/>
      </catAx>
      <valAx>
        <axId val="100"/>
        <scaling>
          <orientation val="minMax"/>
          <max val="1.1"/>
          <min val="0"/>
        </scaling>
        <delete val="0"/>
        <axPos val="l"/>
        <majorGridlines/>
        <title>
          <tx>
            <rich>
              <a:bodyPr xmlns:a="http://schemas.openxmlformats.org/drawingml/2006/main"/>
              <a:lstStyle xmlns:a="http://schemas.openxmlformats.org/drawingml/2006/main"/>
              <a:p xmlns:a="http://schemas.openxmlformats.org/drawingml/2006/main">
                <a:pPr>
                  <a:defRPr/>
                </a:pPr>
                <a:r>
                  <a:rPr lang="ru-RU"/>
                  <a:t>% выполнения</a:t>
                </a:r>
              </a:p>
            </rich>
          </tx>
          <overlay val="1"/>
        </title>
        <numFmt formatCode="0%" sourceLinked="0"/>
        <majorTickMark val="none"/>
        <minorTickMark val="none"/>
        <tickLblPos val="nextTo"/>
        <spPr>
          <a:ln xmlns:a="http://schemas.openxmlformats.org/drawingml/2006/main">
            <a:solidFill>
              <a:srgbClr val="808080"/>
            </a:solidFill>
            <a:prstDash val="solid"/>
          </a:ln>
        </spPr>
        <crossAx val="10"/>
        <crosses val="autoZero"/>
        <crossBetween val="between"/>
      </valAx>
    </plotArea>
    <legend>
      <legendPos val="r"/>
      <overlay val="0"/>
    </legend>
    <plotVisOnly val="0"/>
    <dispBlanksAs val="gap"/>
  </chart>
</chartSpace>
</file>

<file path=xl/charts/chart6.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Ёмкость / План / Факт по кварталам</a:t>
            </a:r>
          </a:p>
        </rich>
      </tx>
      <overlay val="0"/>
    </title>
    <plotArea>
      <layout/>
      <barChart>
        <barDir val="col"/>
        <grouping val="clustered"/>
        <varyColors val="1"/>
        <ser>
          <idx val="0"/>
          <order val="0"/>
          <tx>
            <strRef>
              <f>Кварталы!$C$4</f>
              <strCache>
                <ptCount val="1"/>
                <pt idx="0">
                  <v>Трудомощность
(дн)</v>
                </pt>
              </strCache>
            </strRef>
          </tx>
          <spPr>
            <a:solidFill xmlns:a="http://schemas.openxmlformats.org/drawingml/2006/main">
              <a:srgbClr val="8EAADB"/>
            </a:solidFill>
            <a:ln xmlns:a="http://schemas.openxmlformats.org/drawingml/2006/main">
              <a:prstDash val="solid"/>
            </a:ln>
          </spPr>
          <invertIfNegative val="1"/>
          <cat>
            <strRef>
              <f>Кварталы!$A$5:$A$7</f>
              <strCache>
                <ptCount val="3"/>
                <pt idx="0">
                  <v>Q3 2026</v>
                </pt>
                <pt idx="1">
                  <v>Q4 2026</v>
                </pt>
                <pt idx="2">
                  <v>Q1 2027</v>
                </pt>
              </strCache>
            </strRef>
          </cat>
          <val>
            <numRef>
              <f>Кварталы!$C$5:$C$7</f>
              <numCache>
                <formatCode>#\ ##0.0</formatCode>
                <ptCount val="3"/>
                <pt idx="0">
                  <v>471.6</v>
                </pt>
                <pt idx="1">
                  <v>548.1600000000001</v>
                </pt>
                <pt idx="2">
                  <v>0</v>
                </pt>
              </numCache>
            </numRef>
          </val>
        </ser>
        <ser>
          <idx val="1"/>
          <order val="1"/>
          <tx>
            <strRef>
              <f>Кварталы!$D$4</f>
              <strCache>
                <ptCount val="1"/>
                <pt idx="0">
                  <v>План
(дн)</v>
                </pt>
              </strCache>
            </strRef>
          </tx>
          <spPr>
            <a:solidFill xmlns:a="http://schemas.openxmlformats.org/drawingml/2006/main">
              <a:srgbClr val="FFC000"/>
            </a:solidFill>
            <a:ln xmlns:a="http://schemas.openxmlformats.org/drawingml/2006/main">
              <a:prstDash val="solid"/>
            </a:ln>
          </spPr>
          <invertIfNegative val="1"/>
          <cat>
            <strRef>
              <f>Кварталы!$A$5:$A$7</f>
              <strCache>
                <ptCount val="3"/>
                <pt idx="0">
                  <v>Q3 2026</v>
                </pt>
                <pt idx="1">
                  <v>Q4 2026</v>
                </pt>
                <pt idx="2">
                  <v>Q1 2027</v>
                </pt>
              </strCache>
            </strRef>
          </cat>
          <val>
            <numRef>
              <f>Кварталы!$D$5:$D$7</f>
              <numCache>
                <formatCode>#\ ##0.0</formatCode>
                <ptCount val="3"/>
                <pt idx="0">
                  <v>107</v>
                </pt>
                <pt idx="1">
                  <v>0</v>
                </pt>
                <pt idx="2">
                  <v>0</v>
                </pt>
              </numCache>
            </numRef>
          </val>
        </ser>
        <ser>
          <idx val="2"/>
          <order val="2"/>
          <tx>
            <strRef>
              <f>Кварталы!$E$4</f>
              <strCache>
                <ptCount val="1"/>
                <pt idx="0">
                  <v>Velocity
(дн)</v>
                </pt>
              </strCache>
            </strRef>
          </tx>
          <spPr>
            <a:solidFill xmlns:a="http://schemas.openxmlformats.org/drawingml/2006/main">
              <a:srgbClr val="C00000"/>
            </a:solidFill>
            <a:ln xmlns:a="http://schemas.openxmlformats.org/drawingml/2006/main">
              <a:prstDash val="solid"/>
            </a:ln>
          </spPr>
          <invertIfNegative val="1"/>
          <cat>
            <strRef>
              <f>Кварталы!$A$5:$A$7</f>
              <strCache>
                <ptCount val="3"/>
                <pt idx="0">
                  <v>Q3 2026</v>
                </pt>
                <pt idx="1">
                  <v>Q4 2026</v>
                </pt>
                <pt idx="2">
                  <v>Q1 2027</v>
                </pt>
              </strCache>
            </strRef>
          </cat>
          <val>
            <numRef>
              <f>Кварталы!$E$5:$E$7</f>
              <numCache>
                <formatCode>#\ ##0.0</formatCode>
                <ptCount val="3"/>
                <pt idx="0">
                  <v>38</v>
                </pt>
                <pt idx="1">
                  <v>0</v>
                </pt>
                <pt idx="2">
                  <v>0</v>
                </pt>
              </numCache>
            </numRef>
          </val>
        </ser>
        <dLbls>
          <showLegendKey val="0"/>
          <showVal val="0"/>
          <showCatName val="0"/>
          <showSerName val="0"/>
          <showPercent val="0"/>
          <showBubbleSize val="0"/>
        </dLbls>
        <gapWidth val="150"/>
        <axId val="10"/>
        <axId val="100"/>
      </bar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 ##0.0" sourceLinked="1"/>
        <majorTickMark val="none"/>
        <minorTickMark val="none"/>
        <tickLblPos val="nextTo"/>
        <crossAx val="10"/>
        <crosses val="autoZero"/>
        <crossBetween val="between"/>
      </valAx>
    </plotArea>
    <legend>
      <legendPos val="b"/>
      <overlay val="0"/>
    </legend>
    <plotVisOnly val="1"/>
    <dispBlanksAs val="gap"/>
  </chart>
</chartSpace>
</file>

<file path=xl/charts/chart7.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 выполнения по кварталам</a:t>
            </a:r>
          </a:p>
        </rich>
      </tx>
      <overlay val="0"/>
    </title>
    <plotArea>
      <layout/>
      <barChart>
        <barDir val="col"/>
        <grouping val="clustered"/>
        <varyColors val="1"/>
        <ser>
          <idx val="0"/>
          <order val="0"/>
          <tx>
            <strRef>
              <f>Кварталы!$G$4</f>
              <strCache>
                <ptCount val="1"/>
                <pt idx="0">
                  <v>% выпол-
нения</v>
                </pt>
              </strCache>
            </strRef>
          </tx>
          <spPr>
            <a:solidFill xmlns:a="http://schemas.openxmlformats.org/drawingml/2006/main">
              <a:srgbClr val="70AD47"/>
            </a:solidFill>
            <a:ln xmlns:a="http://schemas.openxmlformats.org/drawingml/2006/main">
              <a:prstDash val="solid"/>
            </a:ln>
          </spPr>
          <invertIfNegative val="1"/>
          <cat>
            <strRef>
              <f>Кварталы!$A$5:$A$7</f>
              <strCache>
                <ptCount val="3"/>
                <pt idx="0">
                  <v>Q3 2026</v>
                </pt>
                <pt idx="1">
                  <v>Q4 2026</v>
                </pt>
                <pt idx="2">
                  <v>Q1 2027</v>
                </pt>
              </strCache>
            </strRef>
          </cat>
          <val>
            <numRef>
              <f>Кварталы!$G$5:$G$7</f>
              <numCache>
                <formatCode>0%</formatCode>
                <ptCount val="3"/>
                <pt idx="0">
                  <v>0.3551401869158878</v>
                </pt>
                <pt idx="1">
                  <v>0</v>
                </pt>
                <pt idx="2">
                  <v>0</v>
                </pt>
              </numCache>
            </numRef>
          </val>
        </ser>
        <dLbls>
          <showLegendKey val="0"/>
          <showVal val="0"/>
          <showCatName val="0"/>
          <showSerName val="0"/>
          <showPercent val="0"/>
          <showBubbleSize val="0"/>
        </dLbls>
        <gapWidth val="150"/>
        <axId val="10"/>
        <axId val="100"/>
      </bar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0%" sourceLinked="0"/>
        <majorTickMark val="none"/>
        <minorTickMark val="none"/>
        <tickLblPos val="nextTo"/>
        <crossAx val="10"/>
        <crosses val="autoZero"/>
        <crossBetween val="between"/>
      </valAx>
    </plotArea>
    <plotVisOnly val="1"/>
    <dispBlanksAs val="gap"/>
  </chart>
</chartSpace>
</file>

<file path=xl/charts/chart8.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 xml:space="preserve">Roadmap </a:t>
            </a:r>
            <a:r>
              <a:rPr lang="ru-RU"/>
              <a:t>спринтов по кварталам</a:t>
            </a:r>
          </a:p>
        </rich>
      </tx>
      <overlay val="0"/>
    </title>
    <plotArea>
      <layout/>
      <barChart>
        <barDir val="bar"/>
        <grouping val="stacked"/>
        <varyColors val="1"/>
        <ser>
          <idx val="0"/>
          <order val="0"/>
          <tx>
            <strRef>
              <f>'Квартальный roadmap'!$C$4</f>
              <strCache>
                <ptCount val="1"/>
                <pt idx="0">
                  <v>Начало</v>
                </pt>
              </strCache>
            </strRef>
          </tx>
          <spPr>
            <a:noFill xmlns:a="http://schemas.openxmlformats.org/drawingml/2006/main"/>
            <a:ln xmlns:a="http://schemas.openxmlformats.org/drawingml/2006/main">
              <a:noFill/>
              <a:prstDash val="solid"/>
            </a:ln>
          </spPr>
          <invertIfNegative val="1"/>
          <cat>
            <strRef>
              <f>'Квартальный roadmap'!$A$5:$A$15</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'Квартальный roadmap'!$C$5:$C$15</f>
              <numCache>
                <formatCode>dd\.mm\.yy</formatCode>
                <ptCount val="11"/>
                <pt idx="0">
                  <v>46237</v>
                </pt>
                <pt idx="1">
                  <v>46251</v>
                </pt>
                <pt idx="2">
                  <v>46265</v>
                </pt>
                <pt idx="3">
                  <v>46279</v>
                </pt>
                <pt idx="4">
                  <v>46293</v>
                </pt>
                <pt idx="5">
                  <v>46307</v>
                </pt>
                <pt idx="6">
                  <v>46321</v>
                </pt>
                <pt idx="7">
                  <v>46335</v>
                </pt>
                <pt idx="8">
                  <v>46349</v>
                </pt>
                <pt idx="9">
                  <v>46363</v>
                </pt>
                <pt idx="10">
                  <v>46377</v>
                </pt>
              </numCache>
            </numRef>
          </val>
        </ser>
        <ser>
          <idx val="1"/>
          <order val="1"/>
          <tx>
            <strRef>
              <f>'Квартальный roadmap'!$E$4</f>
              <strCache>
                <ptCount val="1"/>
                <pt idx="0">
                  <v>Длит. (дн)</v>
                </pt>
              </strCache>
            </strRef>
          </tx>
          <spPr>
            <a:solidFill xmlns:a="http://schemas.openxmlformats.org/drawingml/2006/main">
              <a:srgbClr val="4472C4"/>
            </a:solidFill>
            <a:ln xmlns:a="http://schemas.openxmlformats.org/drawingml/2006/main">
              <a:prstDash val="solid"/>
            </a:ln>
          </spPr>
          <invertIfNegative val="1"/>
          <dPt>
            <idx val="0"/>
            <invertIfNegative val="1"/>
            <bubble3D val="0"/>
            <spPr>
              <a:ln xmlns:a="http://schemas.openxmlformats.org/drawingml/2006/main">
                <a:prstDash val="solid"/>
              </a:ln>
            </spPr>
          </dPt>
          <dPt>
            <idx val="1"/>
            <invertIfNegative val="1"/>
            <bubble3D val="0"/>
            <spPr>
              <a:ln xmlns:a="http://schemas.openxmlformats.org/drawingml/2006/main">
                <a:prstDash val="solid"/>
              </a:ln>
            </spPr>
          </dPt>
          <dPt>
            <idx val="2"/>
            <invertIfNegative val="1"/>
            <bubble3D val="0"/>
            <spPr>
              <a:ln xmlns:a="http://schemas.openxmlformats.org/drawingml/2006/main">
                <a:prstDash val="solid"/>
              </a:ln>
            </spPr>
          </dPt>
          <dPt>
            <idx val="3"/>
            <invertIfNegative val="1"/>
            <bubble3D val="0"/>
            <spPr>
              <a:ln xmlns:a="http://schemas.openxmlformats.org/drawingml/2006/main">
                <a:prstDash val="solid"/>
              </a:ln>
            </spPr>
          </dPt>
          <dPt>
            <idx val="4"/>
            <invertIfNegative val="1"/>
            <bubble3D val="0"/>
            <spPr>
              <a:ln xmlns:a="http://schemas.openxmlformats.org/drawingml/2006/main">
                <a:prstDash val="solid"/>
              </a:ln>
            </spPr>
          </dPt>
          <dPt>
            <idx val="5"/>
            <invertIfNegative val="1"/>
            <bubble3D val="0"/>
            <spPr>
              <a:solidFill xmlns:a="http://schemas.openxmlformats.org/drawingml/2006/main">
                <a:srgbClr val="ED7D31"/>
              </a:solidFill>
              <a:ln xmlns:a="http://schemas.openxmlformats.org/drawingml/2006/main">
                <a:prstDash val="solid"/>
              </a:ln>
            </spPr>
          </dPt>
          <dPt>
            <idx val="6"/>
            <invertIfNegative val="1"/>
            <bubble3D val="0"/>
            <spPr>
              <a:solidFill xmlns:a="http://schemas.openxmlformats.org/drawingml/2006/main">
                <a:srgbClr val="ED7D31"/>
              </a:solidFill>
              <a:ln xmlns:a="http://schemas.openxmlformats.org/drawingml/2006/main">
                <a:prstDash val="solid"/>
              </a:ln>
            </spPr>
          </dPt>
          <dPt>
            <idx val="7"/>
            <invertIfNegative val="1"/>
            <bubble3D val="0"/>
            <spPr>
              <a:solidFill xmlns:a="http://schemas.openxmlformats.org/drawingml/2006/main">
                <a:srgbClr val="ED7D31"/>
              </a:solidFill>
              <a:ln xmlns:a="http://schemas.openxmlformats.org/drawingml/2006/main">
                <a:prstDash val="solid"/>
              </a:ln>
            </spPr>
          </dPt>
          <dPt>
            <idx val="8"/>
            <invertIfNegative val="1"/>
            <bubble3D val="0"/>
            <spPr>
              <a:solidFill xmlns:a="http://schemas.openxmlformats.org/drawingml/2006/main">
                <a:srgbClr val="ED7D31"/>
              </a:solidFill>
              <a:ln xmlns:a="http://schemas.openxmlformats.org/drawingml/2006/main">
                <a:prstDash val="solid"/>
              </a:ln>
            </spPr>
          </dPt>
          <dPt>
            <idx val="9"/>
            <invertIfNegative val="1"/>
            <bubble3D val="0"/>
            <spPr>
              <a:solidFill xmlns:a="http://schemas.openxmlformats.org/drawingml/2006/main">
                <a:srgbClr val="ED7D31"/>
              </a:solidFill>
              <a:ln xmlns:a="http://schemas.openxmlformats.org/drawingml/2006/main">
                <a:prstDash val="solid"/>
              </a:ln>
            </spPr>
          </dPt>
          <dPt>
            <idx val="10"/>
            <invertIfNegative val="1"/>
            <bubble3D val="0"/>
            <spPr>
              <a:solidFill xmlns:a="http://schemas.openxmlformats.org/drawingml/2006/main">
                <a:srgbClr val="ED7D31"/>
              </a:solidFill>
              <a:ln xmlns:a="http://schemas.openxmlformats.org/drawingml/2006/main">
                <a:prstDash val="solid"/>
              </a:ln>
            </spPr>
          </dPt>
          <cat>
            <strRef>
              <f>'Квартальный roadmap'!$A$5:$A$15</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'Квартальный roadmap'!$E$5:$E$15</f>
              <numCache>
                <formatCode>0</formatCode>
                <ptCount val="11"/>
                <pt idx="0">
                  <v>11</v>
                </pt>
                <pt idx="1">
                  <v>11</v>
                </pt>
                <pt idx="2">
                  <v>11</v>
                </pt>
                <pt idx="3">
                  <v>11</v>
                </pt>
                <pt idx="4">
                  <v>11</v>
                </pt>
                <pt idx="5">
                  <v>11</v>
                </pt>
                <pt idx="6">
                  <v>11</v>
                </pt>
                <pt idx="7">
                  <v>11</v>
                </pt>
                <pt idx="8">
                  <v>11</v>
                </pt>
                <pt idx="9">
                  <v>11</v>
                </pt>
                <pt idx="10">
                  <v>11</v>
                </pt>
              </numCache>
            </numRef>
          </val>
        </ser>
        <dLbls>
          <showLegendKey val="0"/>
          <showVal val="0"/>
          <showCatName val="0"/>
          <showSerName val="0"/>
          <showPercent val="0"/>
          <showBubbleSize val="0"/>
        </dLbls>
        <gapWidth val="150"/>
        <overlap val="100"/>
        <axId val="10"/>
        <axId val="100"/>
      </barChart>
      <catAx>
        <axId val="10"/>
        <scaling>
          <orientation val="maxMin"/>
        </scaling>
        <delete val="0"/>
        <axPos val="l"/>
        <numFmt formatCode="General" sourceLinked="1"/>
        <majorTickMark val="none"/>
        <minorTickMark val="none"/>
        <tickLblPos val="nextTo"/>
        <crossAx val="100"/>
        <crosses val="autoZero"/>
        <auto val="1"/>
        <lblAlgn val="ctr"/>
        <lblOffset val="100"/>
        <noMultiLvlLbl val="1"/>
      </catAx>
      <valAx>
        <axId val="100"/>
        <scaling>
          <orientation val="minMax"/>
          <max val="46397"/>
          <min val="46235"/>
        </scaling>
        <delete val="0"/>
        <axPos val="t"/>
        <numFmt formatCode="dd\.mm" sourceLinked="0"/>
        <majorTickMark val="none"/>
        <minorTickMark val="none"/>
        <tickLblPos val="nextTo"/>
        <crossAx val="10"/>
        <crosses val="autoZero"/>
        <crossBetween val="between"/>
      </valAx>
    </plotArea>
    <plotVisOnly val="1"/>
    <dispBlanksAs val="gap"/>
  </chart>
</chartSpace>
</file>

<file path=xl/charts/chart9.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Содержимое релизов (стори / задачи / дефекты)</a:t>
            </a:r>
          </a:p>
        </rich>
      </tx>
      <overlay val="0"/>
    </title>
    <plotArea>
      <layout/>
      <barChart>
        <barDir val="col"/>
        <grouping val="clustered"/>
        <varyColors val="1"/>
        <ser>
          <idx val="0"/>
          <order val="0"/>
          <tx>
            <strRef>
              <f>Релизы!$G$4</f>
              <strCache>
                <ptCount val="1"/>
                <pt idx="0">
                  <v>Стори</v>
                </pt>
              </strCache>
            </strRef>
          </tx>
          <spPr>
            <a:solidFill xmlns:a="http://schemas.openxmlformats.org/drawingml/2006/main">
              <a:srgbClr val="4472C4"/>
            </a:solidFill>
            <a:ln xmlns:a="http://schemas.openxmlformats.org/drawingml/2006/main">
              <a:prstDash val="solid"/>
            </a:ln>
          </spPr>
          <invertIfNegative val="1"/>
          <cat>
            <strRef>
              <f>Релизы!$B$5:$B$9</f>
              <strCache>
                <ptCount val="5"/>
                <pt idx="0">
                  <v>Внутренний релиз (MVP)</v>
                </pt>
                <pt idx="1">
                  <v>Бета для площадок</v>
                </pt>
                <pt idx="2">
                  <v>Публичный релиз 1.0</v>
                </pt>
                <pt idx="3">
                  <v>Релиз 1.1 — уведомления</v>
                </pt>
                <pt idx="4">
                  <v>GA / Стабилизация</v>
                </pt>
              </strCache>
            </strRef>
          </cat>
          <val>
            <numRef>
              <f>Релизы!$G$5:$G$9</f>
              <numCache>
                <formatCode>General</formatCode>
                <ptCount val="5"/>
                <pt idx="0">
                  <v>3</v>
                </pt>
                <pt idx="1">
                  <v>3</v>
                </pt>
                <pt idx="2">
                  <v>1</v>
                </pt>
                <pt idx="3">
                  <v>0</v>
                </pt>
                <pt idx="4">
                  <v>0</v>
                </pt>
              </numCache>
            </numRef>
          </val>
        </ser>
        <ser>
          <idx val="1"/>
          <order val="1"/>
          <tx>
            <strRef>
              <f>Релизы!$H$4</f>
              <strCache>
                <ptCount val="1"/>
                <pt idx="0">
                  <v>Задач</v>
                </pt>
              </strCache>
            </strRef>
          </tx>
          <spPr>
            <a:solidFill xmlns:a="http://schemas.openxmlformats.org/drawingml/2006/main">
              <a:srgbClr val="70AD47"/>
            </a:solidFill>
            <a:ln xmlns:a="http://schemas.openxmlformats.org/drawingml/2006/main">
              <a:prstDash val="solid"/>
            </a:ln>
          </spPr>
          <invertIfNegative val="1"/>
          <cat>
            <strRef>
              <f>Релизы!$B$5:$B$9</f>
              <strCache>
                <ptCount val="5"/>
                <pt idx="0">
                  <v>Внутренний релиз (MVP)</v>
                </pt>
                <pt idx="1">
                  <v>Бета для площадок</v>
                </pt>
                <pt idx="2">
                  <v>Публичный релиз 1.0</v>
                </pt>
                <pt idx="3">
                  <v>Релиз 1.1 — уведомления</v>
                </pt>
                <pt idx="4">
                  <v>GA / Стабилизация</v>
                </pt>
              </strCache>
            </strRef>
          </cat>
          <val>
            <numRef>
              <f>Релизы!$H$5:$H$9</f>
              <numCache>
                <formatCode>General</formatCode>
                <ptCount val="5"/>
                <pt idx="0">
                  <v>5</v>
                </pt>
                <pt idx="1">
                  <v>5</v>
                </pt>
                <pt idx="2">
                  <v>1</v>
                </pt>
                <pt idx="3">
                  <v>0</v>
                </pt>
                <pt idx="4">
                  <v>0</v>
                </pt>
              </numCache>
            </numRef>
          </val>
        </ser>
        <ser>
          <idx val="2"/>
          <order val="2"/>
          <tx>
            <strRef>
              <f>Релизы!$I$4</f>
              <strCache>
                <ptCount val="1"/>
                <pt idx="0">
                  <v>Дефектов</v>
                </pt>
              </strCache>
            </strRef>
          </tx>
          <spPr>
            <a:solidFill xmlns:a="http://schemas.openxmlformats.org/drawingml/2006/main">
              <a:srgbClr val="C00000"/>
            </a:solidFill>
            <a:ln xmlns:a="http://schemas.openxmlformats.org/drawingml/2006/main">
              <a:prstDash val="solid"/>
            </a:ln>
          </spPr>
          <invertIfNegative val="1"/>
          <cat>
            <strRef>
              <f>Релизы!$B$5:$B$9</f>
              <strCache>
                <ptCount val="5"/>
                <pt idx="0">
                  <v>Внутренний релиз (MVP)</v>
                </pt>
                <pt idx="1">
                  <v>Бета для площадок</v>
                </pt>
                <pt idx="2">
                  <v>Публичный релиз 1.0</v>
                </pt>
                <pt idx="3">
                  <v>Релиз 1.1 — уведомления</v>
                </pt>
                <pt idx="4">
                  <v>GA / Стабилизация</v>
                </pt>
              </strCache>
            </strRef>
          </cat>
          <val>
            <numRef>
              <f>Релизы!$I$5:$I$9</f>
              <numCache>
                <formatCode>General</formatCode>
                <ptCount val="5"/>
                <pt idx="0">
                  <v>11</v>
                </pt>
                <pt idx="1">
                  <v>2</v>
                </pt>
                <pt idx="2">
                  <v>0</v>
                </pt>
                <pt idx="3">
                  <v>0</v>
                </pt>
                <pt idx="4">
                  <v>0</v>
                </pt>
              </numCache>
            </numRef>
          </val>
        </ser>
        <dLbls>
          <showLegendKey val="0"/>
          <showVal val="0"/>
          <showCatName val="0"/>
          <showSerName val="0"/>
          <showPercent val="0"/>
          <showBubbleSize val="0"/>
        </dLbls>
        <gapWidth val="150"/>
        <axId val="10"/>
        <axId val="100"/>
      </bar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charts/chart10.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Вехи по статусу</a:t>
            </a:r>
          </a:p>
        </rich>
      </tx>
      <overlay val="0"/>
    </title>
    <plotArea>
      <layout/>
      <barChart>
        <barDir val="col"/>
        <grouping val="clustered"/>
        <varyColors val="1"/>
        <ser>
          <idx val="0"/>
          <order val="0"/>
          <spPr>
            <a:solidFill xmlns:a="http://schemas.openxmlformats.org/drawingml/2006/main">
              <a:srgbClr val="1F4E78"/>
            </a:solidFill>
            <a:ln xmlns:a="http://schemas.openxmlformats.org/drawingml/2006/main">
              <a:prstDash val="solid"/>
            </a:ln>
          </spPr>
          <invertIfNegative val="1"/>
          <cat>
            <strRef>
              <f>Вехи!$A$12:$A$15</f>
              <strCache>
                <ptCount val="4"/>
                <pt idx="0">
                  <v>Планируется</v>
                </pt>
                <pt idx="1">
                  <v>В работе</v>
                </pt>
                <pt idx="2">
                  <v>Готово</v>
                </pt>
                <pt idx="3">
                  <v>Задержка</v>
                </pt>
              </strCache>
            </strRef>
          </cat>
          <val>
            <numRef>
              <f>Вехи!$B$12:$B$15</f>
              <numCache>
                <formatCode>General</formatCode>
                <ptCount val="4"/>
                <pt idx="0">
                  <v>3</v>
                </pt>
                <pt idx="1">
                  <v>0</v>
                </pt>
                <pt idx="2">
                  <v>2</v>
                </pt>
                <pt idx="3">
                  <v>0</v>
                </pt>
              </numCache>
            </numRef>
          </val>
        </ser>
        <dLbls>
          <showLegendKey val="0"/>
          <showVal val="0"/>
          <showCatName val="0"/>
          <showSerName val="0"/>
          <showPercent val="0"/>
          <showBubbleSize val="0"/>
        </dLbls>
        <gapWidth val="150"/>
        <axId val="10"/>
        <axId val="100"/>
      </bar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General" sourceLinked="1"/>
        <majorTickMark val="none"/>
        <minorTickMark val="none"/>
        <tickLblPos val="nextTo"/>
        <crossAx val="10"/>
        <crosses val="autoZero"/>
        <crossBetween val="between"/>
      </valAx>
    </plotArea>
    <plotVisOnly val="1"/>
    <dispBlanksAs val="gap"/>
  </chart>
</chartSpace>
</file>

<file path=xl/charts/chart1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Техдолг: оценка (дн) по типу</a:t>
            </a:r>
          </a:p>
        </rich>
      </tx>
      <overlay val="0"/>
    </title>
    <plotArea>
      <layout/>
      <barChart>
        <barDir val="col"/>
        <grouping val="clustered"/>
        <varyColors val="1"/>
        <ser>
          <idx val="0"/>
          <order val="0"/>
          <tx>
            <strRef>
              <f>'Технический долг'!$B$13</f>
              <strCache>
                <ptCount val="1"/>
                <pt idx="0">
                  <v>Оценка (дн)</v>
                </pt>
              </strCache>
            </strRef>
          </tx>
          <spPr>
            <a:solidFill xmlns:a="http://schemas.openxmlformats.org/drawingml/2006/main">
              <a:srgbClr val="ED7D31"/>
            </a:solidFill>
            <a:ln xmlns:a="http://schemas.openxmlformats.org/drawingml/2006/main">
              <a:prstDash val="solid"/>
            </a:ln>
          </spPr>
          <invertIfNegative val="1"/>
          <cat>
            <strRef>
              <f>'Технический долг'!$A$14:$A$18</f>
              <strCache>
                <ptCount val="5"/>
                <pt idx="0">
                  <v>Архитектура</v>
                </pt>
                <pt idx="1">
                  <v>Код</v>
                </pt>
                <pt idx="2">
                  <v>Тесты</v>
                </pt>
                <pt idx="3">
                  <v>Инфраструктура</v>
                </pt>
                <pt idx="4">
                  <v>Документация</v>
                </pt>
              </strCache>
            </strRef>
          </cat>
          <val>
            <numRef>
              <f>'Технический долг'!$B$14:$B$18</f>
              <numCache>
                <formatCode>#\ ##0.0</formatCode>
                <ptCount val="5"/>
                <pt idx="0">
                  <v>2</v>
                </pt>
                <pt idx="1">
                  <v>6</v>
                </pt>
                <pt idx="2">
                  <v>2</v>
                </pt>
                <pt idx="3">
                  <v>2</v>
                </pt>
                <pt idx="4">
                  <v>1</v>
                </pt>
              </numCache>
            </numRef>
          </val>
        </ser>
        <dLbls>
          <showLegendKey val="0"/>
          <showVal val="0"/>
          <showCatName val="0"/>
          <showSerName val="0"/>
          <showPercent val="0"/>
          <showBubbleSize val="0"/>
        </dLbls>
        <gapWidth val="150"/>
        <axId val="10"/>
        <axId val="100"/>
      </bar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 ##0.0" sourceLinked="1"/>
        <majorTickMark val="none"/>
        <minorTickMark val="none"/>
        <tickLblPos val="nextTo"/>
        <crossAx val="10"/>
        <crosses val="autoZero"/>
        <crossBetween val="between"/>
      </valAx>
    </plotArea>
    <plotVisOnly val="1"/>
    <dispBlanksAs val="gap"/>
  </chart>
</chartSpace>
</file>

<file path=xl/charts/chart1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Техдолг по статусу</a:t>
            </a:r>
          </a:p>
        </rich>
      </tx>
      <overlay val="0"/>
    </title>
    <plotArea>
      <layout/>
      <barChart>
        <barDir val="col"/>
        <grouping val="clustered"/>
        <varyColors val="1"/>
        <ser>
          <idx val="0"/>
          <order val="0"/>
          <tx>
            <strRef>
              <f>'Технический долг'!$B$21</f>
              <strCache>
                <ptCount val="1"/>
                <pt idx="0">
                  <v>Кол-во</v>
                </pt>
              </strCache>
            </strRef>
          </tx>
          <spPr>
            <a:solidFill xmlns:a="http://schemas.openxmlformats.org/drawingml/2006/main">
              <a:srgbClr val="4472C4"/>
            </a:solidFill>
            <a:ln xmlns:a="http://schemas.openxmlformats.org/drawingml/2006/main">
              <a:prstDash val="solid"/>
            </a:ln>
          </spPr>
          <invertIfNegative val="1"/>
          <cat>
            <strRef>
              <f>'Технический долг'!$A$22:$A$24</f>
              <strCache>
                <ptCount val="3"/>
                <pt idx="0">
                  <v>Открыт</v>
                </pt>
                <pt idx="1">
                  <v>В работе</v>
                </pt>
                <pt idx="2">
                  <v>Закрыт</v>
                </pt>
              </strCache>
            </strRef>
          </cat>
          <val>
            <numRef>
              <f>'Технический долг'!$B$22:$B$24</f>
              <numCache>
                <formatCode>General</formatCode>
                <ptCount val="3"/>
                <pt idx="0">
                  <v>3</v>
                </pt>
                <pt idx="1">
                  <v>1</v>
                </pt>
                <pt idx="2">
                  <v>2</v>
                </pt>
              </numCache>
            </numRef>
          </val>
        </ser>
        <dLbls>
          <showLegendKey val="0"/>
          <showVal val="0"/>
          <showCatName val="0"/>
          <showSerName val="0"/>
          <showPercent val="0"/>
          <showBubbleSize val="0"/>
        </dLbls>
        <gapWidth val="150"/>
        <axId val="10"/>
        <axId val="100"/>
      </bar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General" sourceLinked="1"/>
        <majorTickMark val="none"/>
        <minorTickMark val="none"/>
        <tickLblPos val="nextTo"/>
        <crossAx val="10"/>
        <crosses val="autoZero"/>
        <crossBetween val="between"/>
      </valAx>
    </plotArea>
    <plotVisOnly val="1"/>
    <dispBlanksAs val="gap"/>
  </chart>
</chartSpace>
</file>

<file path=xl/charts/chart13.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Тренд техдолга: создано / погашено / открыто</a:t>
            </a:r>
          </a:p>
        </rich>
      </tx>
      <overlay val="0"/>
    </title>
    <plotArea>
      <layout/>
      <barChart>
        <barDir val="col"/>
        <grouping val="clustered"/>
        <varyColors val="1"/>
        <ser>
          <idx val="0"/>
          <order val="0"/>
          <tx>
            <strRef>
              <f>'Технический долг'!$B$28</f>
              <strCache>
                <ptCount val="1"/>
                <pt idx="0">
                  <v>Создано</v>
                </pt>
              </strCache>
            </strRef>
          </tx>
          <spPr>
            <a:solidFill xmlns:a="http://schemas.openxmlformats.org/drawingml/2006/main">
              <a:srgbClr val="C00000"/>
            </a:solidFill>
            <a:ln xmlns:a="http://schemas.openxmlformats.org/drawingml/2006/main">
              <a:prstDash val="solid"/>
            </a:ln>
          </spPr>
          <invertIfNegative val="1"/>
          <cat>
            <numRef>
              <f>'Технический долг'!$A$29:$A$39</f>
              <numCache>
                <formatCode>General</formatCode>
                <ptCount val="11"/>
                <pt idx="0">
                  <v>1</v>
                </pt>
                <pt idx="1">
                  <v>2</v>
                </pt>
                <pt idx="2">
                  <v>3</v>
                </pt>
                <pt idx="3">
                  <v>4</v>
                </pt>
                <pt idx="4">
                  <v>5</v>
                </pt>
                <pt idx="5">
                  <v>6</v>
                </pt>
                <pt idx="6">
                  <v>7</v>
                </pt>
                <pt idx="7">
                  <v>8</v>
                </pt>
                <pt idx="8">
                  <v>9</v>
                </pt>
                <pt idx="9">
                  <v>10</v>
                </pt>
                <pt idx="10">
                  <v>11</v>
                </pt>
              </numCache>
            </numRef>
          </cat>
          <val>
            <numRef>
              <f>'Технический долг'!$B$29:$B$39</f>
              <numCache>
                <formatCode>General</formatCode>
                <ptCount val="11"/>
                <pt idx="0">
                  <v>1</v>
                </pt>
                <pt idx="1">
                  <v>1</v>
                </pt>
                <pt idx="2">
                  <v>2</v>
                </pt>
                <pt idx="3">
                  <v>1</v>
                </pt>
                <pt idx="4">
                  <v>1</v>
                </pt>
                <pt idx="5">
                  <v>0</v>
                </pt>
                <pt idx="6">
                  <v>0</v>
                </pt>
                <pt idx="7">
                  <v>0</v>
                </pt>
                <pt idx="8">
                  <v>0</v>
                </pt>
                <pt idx="9">
                  <v>0</v>
                </pt>
                <pt idx="10">
                  <v>0</v>
                </pt>
              </numCache>
            </numRef>
          </val>
        </ser>
        <ser>
          <idx val="1"/>
          <order val="1"/>
          <tx>
            <strRef>
              <f>'Технический долг'!$C$28</f>
              <strCache>
                <ptCount val="1"/>
                <pt idx="0">
                  <v>Погашено</v>
                </pt>
              </strCache>
            </strRef>
          </tx>
          <spPr>
            <a:solidFill xmlns:a="http://schemas.openxmlformats.org/drawingml/2006/main">
              <a:srgbClr val="70AD47"/>
            </a:solidFill>
            <a:ln xmlns:a="http://schemas.openxmlformats.org/drawingml/2006/main">
              <a:prstDash val="solid"/>
            </a:ln>
          </spPr>
          <invertIfNegative val="1"/>
          <cat>
            <numRef>
              <f>'Технический долг'!$A$29:$A$39</f>
              <numCache>
                <formatCode>General</formatCode>
                <ptCount val="11"/>
                <pt idx="0">
                  <v>1</v>
                </pt>
                <pt idx="1">
                  <v>2</v>
                </pt>
                <pt idx="2">
                  <v>3</v>
                </pt>
                <pt idx="3">
                  <v>4</v>
                </pt>
                <pt idx="4">
                  <v>5</v>
                </pt>
                <pt idx="5">
                  <v>6</v>
                </pt>
                <pt idx="6">
                  <v>7</v>
                </pt>
                <pt idx="7">
                  <v>8</v>
                </pt>
                <pt idx="8">
                  <v>9</v>
                </pt>
                <pt idx="9">
                  <v>10</v>
                </pt>
                <pt idx="10">
                  <v>11</v>
                </pt>
              </numCache>
            </numRef>
          </cat>
          <val>
            <numRef>
              <f>'Технический долг'!$C$29:$C$39</f>
              <numCache>
                <formatCode>General</formatCode>
                <ptCount val="11"/>
                <pt idx="0">
                  <v>0</v>
                </pt>
                <pt idx="1">
                  <v>0</v>
                </pt>
                <pt idx="2">
                  <v>1</v>
                </pt>
                <pt idx="3">
                  <v>1</v>
                </pt>
                <pt idx="4">
                  <v>0</v>
                </pt>
                <pt idx="5">
                  <v>0</v>
                </pt>
                <pt idx="6">
                  <v>0</v>
                </pt>
                <pt idx="7">
                  <v>0</v>
                </pt>
                <pt idx="8">
                  <v>0</v>
                </pt>
                <pt idx="9">
                  <v>0</v>
                </pt>
                <pt idx="10">
                  <v>0</v>
                </pt>
              </numCache>
            </numRef>
          </val>
        </ser>
        <dLbls>
          <showLegendKey val="0"/>
          <showVal val="0"/>
          <showCatName val="0"/>
          <showSerName val="0"/>
          <showPercent val="0"/>
          <showBubbleSize val="0"/>
        </dLbls>
        <gapWidth val="150"/>
        <axId val="10"/>
        <axId val="100"/>
      </barChart>
      <lineChart>
        <grouping val="standard"/>
        <varyColors val="1"/>
        <ser>
          <idx val="2"/>
          <order val="2"/>
          <tx>
            <strRef>
              <f>'Технический долг'!$D$28</f>
              <strCache>
                <ptCount val="1"/>
                <pt idx="0">
                  <v>Открыто (накопит.)</v>
                </pt>
              </strCache>
            </strRef>
          </tx>
          <spPr>
            <a:ln xmlns:a="http://schemas.openxmlformats.org/drawingml/2006/main" w="28000">
              <a:solidFill>
                <a:srgbClr val="1F4E78"/>
              </a:solidFill>
              <a:prstDash val="solid"/>
            </a:ln>
          </spPr>
          <marker>
            <symbol val="none"/>
            <spPr>
              <a:ln xmlns:a="http://schemas.openxmlformats.org/drawingml/2006/main">
                <a:prstDash val="solid"/>
              </a:ln>
            </spPr>
          </marker>
          <cat>
            <numRef>
              <f>'Технический долг'!$A$29:$A$39</f>
              <numCache>
                <formatCode>General</formatCode>
                <ptCount val="11"/>
                <pt idx="0">
                  <v>1</v>
                </pt>
                <pt idx="1">
                  <v>2</v>
                </pt>
                <pt idx="2">
                  <v>3</v>
                </pt>
                <pt idx="3">
                  <v>4</v>
                </pt>
                <pt idx="4">
                  <v>5</v>
                </pt>
                <pt idx="5">
                  <v>6</v>
                </pt>
                <pt idx="6">
                  <v>7</v>
                </pt>
                <pt idx="7">
                  <v>8</v>
                </pt>
                <pt idx="8">
                  <v>9</v>
                </pt>
                <pt idx="9">
                  <v>10</v>
                </pt>
                <pt idx="10">
                  <v>11</v>
                </pt>
              </numCache>
            </numRef>
          </cat>
          <val>
            <numRef>
              <f>'Технический долг'!$D$29:$D$39</f>
              <numCache>
                <formatCode>General</formatCode>
                <ptCount val="11"/>
                <pt idx="0">
                  <v>1</v>
                </pt>
                <pt idx="1">
                  <v>2</v>
                </pt>
                <pt idx="2">
                  <v>3</v>
                </pt>
                <pt idx="3">
                  <v>3</v>
                </pt>
                <pt idx="4">
                  <v>4</v>
                </pt>
                <pt idx="5">
                  <v>4</v>
                </pt>
                <pt idx="6">
                  <v>4</v>
                </pt>
                <pt idx="7">
                  <v>4</v>
                </pt>
                <pt idx="8">
                  <v>4</v>
                </pt>
                <pt idx="9">
                  <v>4</v>
                </pt>
                <pt idx="10">
                  <v>4</v>
                </pt>
              </numCache>
            </numRef>
          </val>
          <smooth val="1"/>
        </ser>
        <dLbls>
          <showLegendKey val="0"/>
          <showVal val="0"/>
          <showCatName val="0"/>
          <showSerName val="0"/>
          <showPercent val="0"/>
          <showBubbleSize val="0"/>
        </dLbls>
        <marker val="1"/>
        <smooth val="0"/>
        <axId val="10"/>
        <axId val="100"/>
      </line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charts/chart14.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Расход бюджета (накопл.)</a:t>
            </a:r>
          </a:p>
        </rich>
      </tx>
      <overlay val="0"/>
    </title>
    <plotArea>
      <layout/>
      <lineChart>
        <grouping val="standard"/>
        <varyColors val="1"/>
        <ser>
          <idx val="0"/>
          <order val="0"/>
          <tx>
            <strRef>
              <f>Бюджет!$D$6</f>
              <strCache>
                <ptCount val="1"/>
                <pt idx="0">
                  <v>Накопл. стоимость (₽)</v>
                </pt>
              </strCache>
            </strRef>
          </tx>
          <spPr>
            <a:ln xmlns:a="http://schemas.openxmlformats.org/drawingml/2006/main" w="28000">
              <a:solidFill>
                <a:srgbClr val="C00000"/>
              </a:solidFill>
              <a:prstDash val="solid"/>
            </a:ln>
          </spPr>
          <marker>
            <symbol val="none"/>
            <spPr>
              <a:ln xmlns:a="http://schemas.openxmlformats.org/drawingml/2006/main">
                <a:prstDash val="solid"/>
              </a:ln>
            </spPr>
          </marker>
          <cat>
            <numRef>
              <f>Бюджет!$A$7:$A$17</f>
              <numCache>
                <formatCode>General</formatCode>
                <ptCount val="11"/>
                <pt idx="0">
                  <v>1</v>
                </pt>
                <pt idx="1">
                  <v>2</v>
                </pt>
                <pt idx="2">
                  <v>3</v>
                </pt>
                <pt idx="3">
                  <v>4</v>
                </pt>
                <pt idx="4">
                  <v>5</v>
                </pt>
                <pt idx="5">
                  <v>6</v>
                </pt>
                <pt idx="6">
                  <v>7</v>
                </pt>
                <pt idx="7">
                  <v>8</v>
                </pt>
                <pt idx="8">
                  <v>9</v>
                </pt>
                <pt idx="9">
                  <v>10</v>
                </pt>
                <pt idx="10">
                  <v>11</v>
                </pt>
              </numCache>
            </numRef>
          </cat>
          <val>
            <numRef>
              <f>Бюджет!$D$7:$D$17</f>
              <numCache>
                <formatCode>#,##0</formatCode>
                <ptCount val="11"/>
                <pt idx="0">
                  <v>742400.0000000001</v>
                </pt>
                <pt idx="1">
                  <v>1504000</v>
                </pt>
                <pt idx="2">
                  <v>2265600</v>
                </pt>
                <pt idx="3">
                  <v>3027200</v>
                </pt>
                <pt idx="4">
                  <v>3772800</v>
                </pt>
                <pt idx="5">
                  <v>4534400</v>
                </pt>
                <pt idx="6">
                  <v>5219840</v>
                </pt>
                <pt idx="7">
                  <v>5949440</v>
                </pt>
                <pt idx="8">
                  <v>6711040</v>
                </pt>
                <pt idx="9">
                  <v>7472640</v>
                </pt>
                <pt idx="10">
                  <v>8158080</v>
                </pt>
              </numCache>
            </numRef>
          </val>
          <smooth val="1"/>
        </ser>
        <dLbls>
          <showLegendKey val="0"/>
          <showVal val="0"/>
          <showCatName val="0"/>
          <showSerName val="0"/>
          <showPercent val="0"/>
          <showBubbleSize val="0"/>
        </dLbls>
        <smooth val="0"/>
        <axId val="10"/>
        <axId val="100"/>
      </line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0" sourceLinked="1"/>
        <majorTickMark val="none"/>
        <minorTickMark val="none"/>
        <tickLblPos val="nextTo"/>
        <crossAx val="10"/>
        <crosses val="autoZero"/>
        <crossBetween val="between"/>
      </valAx>
    </plotArea>
    <plotVisOnly val="1"/>
    <dispBlanksAs val="gap"/>
  </chart>
</chartSpace>
</file>

<file path=xl/charts/chart15.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 xml:space="preserve">Прогресс </a:t>
            </a:r>
            <a:r>
              <a:rPr lang="en-US"/>
              <a:t>Key Results</a:t>
            </a:r>
          </a:p>
        </rich>
      </tx>
      <overlay val="0"/>
    </title>
    <plotArea>
      <layout/>
      <barChart>
        <barDir val="bar"/>
        <grouping val="clustered"/>
        <varyColors val="1"/>
        <ser>
          <idx val="0"/>
          <order val="0"/>
          <tx>
            <strRef>
              <f>OKR!$F$4</f>
              <strCache>
                <ptCount val="1"/>
                <pt idx="0">
                  <v>Прогресс</v>
                </pt>
              </strCache>
            </strRef>
          </tx>
          <spPr>
            <a:solidFill xmlns:a="http://schemas.openxmlformats.org/drawingml/2006/main">
              <a:srgbClr val="70AD47"/>
            </a:solidFill>
            <a:ln xmlns:a="http://schemas.openxmlformats.org/drawingml/2006/main">
              <a:prstDash val="solid"/>
            </a:ln>
          </spPr>
          <invertIfNegative val="1"/>
          <cat>
            <strRef>
              <f>OKR!$C$5:$C$9</f>
              <strCache>
                <ptCount val="5"/>
                <pt idx="0">
                  <v>Готовность MVP чекаута, %</v>
                </pt>
                <pt idx="1">
                  <v>Интеграция оплаты, %</v>
                </pt>
                <pt idx="2">
                  <v>Покрытие автотестами ключевых сценариев, %</v>
                </pt>
                <pt idx="3">
                  <v>Подключённых площадок, шт</v>
                </pt>
                <pt idx="4">
                  <v>Уведомления и история заказов, %</v>
                </pt>
              </strCache>
            </strRef>
          </cat>
          <val>
            <numRef>
              <f>OKR!$F$5:$F$9</f>
              <numCache>
                <formatCode>0%</formatCode>
                <ptCount val="5"/>
                <pt idx="0">
                  <v>0.7</v>
                </pt>
                <pt idx="1">
                  <v>0.6</v>
                </pt>
                <pt idx="2">
                  <v>0.5625</v>
                </pt>
                <pt idx="3">
                  <v>0.3</v>
                </pt>
                <pt idx="4">
                  <v>0.2</v>
                </pt>
              </numCache>
            </numRef>
          </val>
        </ser>
        <dLbls>
          <showLegendKey val="0"/>
          <showVal val="0"/>
          <showCatName val="0"/>
          <showSerName val="0"/>
          <showPercent val="0"/>
          <showBubbleSize val="0"/>
        </dLbls>
        <gapWidth val="150"/>
        <axId val="10"/>
        <axId val="100"/>
      </barChart>
      <catAx>
        <axId val="10"/>
        <scaling>
          <orientation val="minMax"/>
        </scaling>
        <delete val="0"/>
        <axPos val="l"/>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b"/>
        <majorGridlines/>
        <numFmt formatCode="0%" sourceLinked="0"/>
        <majorTickMark val="none"/>
        <minorTickMark val="none"/>
        <tickLblPos val="nextTo"/>
        <crossAx val="10"/>
        <crosses val="autoZero"/>
        <crossBetween val="between"/>
      </valAx>
    </plotArea>
    <plotVisOnly val="1"/>
    <dispBlanksAs val="gap"/>
  </chart>
</chartSpace>
</file>

<file path=xl/charts/chart16.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 xml:space="preserve">Ёмкость </a:t>
            </a:r>
            <a:r>
              <a:rPr lang="en-US"/>
              <a:t xml:space="preserve">vs </a:t>
            </a:r>
            <a:r>
              <a:rPr lang="ru-RU"/>
              <a:t>Спрос по кварталам</a:t>
            </a:r>
          </a:p>
        </rich>
      </tx>
      <overlay val="0"/>
    </title>
    <plotArea>
      <layout/>
      <barChart>
        <barDir val="col"/>
        <grouping val="clustered"/>
        <varyColors val="1"/>
        <ser>
          <idx val="0"/>
          <order val="0"/>
          <tx>
            <strRef>
              <f>'Ёмкость на горизонт'!$B$5</f>
              <strCache>
                <ptCount val="1"/>
                <pt idx="0">
                  <v>Ёмкость (дн)</v>
                </pt>
              </strCache>
            </strRef>
          </tx>
          <spPr>
            <a:solidFill xmlns:a="http://schemas.openxmlformats.org/drawingml/2006/main">
              <a:srgbClr val="8EAADB"/>
            </a:solidFill>
            <a:ln xmlns:a="http://schemas.openxmlformats.org/drawingml/2006/main">
              <a:prstDash val="solid"/>
            </a:ln>
          </spPr>
          <invertIfNegative val="1"/>
          <cat>
            <strRef>
              <f>'Ёмкость на горизонт'!$A$6:$A$8</f>
              <strCache>
                <ptCount val="3"/>
                <pt idx="0">
                  <v>Q3 2026</v>
                </pt>
                <pt idx="1">
                  <v>Q4 2026</v>
                </pt>
                <pt idx="2">
                  <v>Q1 2027</v>
                </pt>
              </strCache>
            </strRef>
          </cat>
          <val>
            <numRef>
              <f>'Ёмкость на горизонт'!$B$6:$B$8</f>
              <numCache>
                <formatCode>#\ ##0.0</formatCode>
                <ptCount val="3"/>
                <pt idx="0">
                  <v>471.6</v>
                </pt>
                <pt idx="1">
                  <v>548.1600000000001</v>
                </pt>
                <pt idx="2">
                  <v>0</v>
                </pt>
              </numCache>
            </numRef>
          </val>
        </ser>
        <ser>
          <idx val="1"/>
          <order val="1"/>
          <tx>
            <strRef>
              <f>'Ёмкость на горизонт'!$C$5</f>
              <strCache>
                <ptCount val="1"/>
                <pt idx="0">
                  <v>Спрос (дн)</v>
                </pt>
              </strCache>
            </strRef>
          </tx>
          <spPr>
            <a:solidFill xmlns:a="http://schemas.openxmlformats.org/drawingml/2006/main">
              <a:srgbClr val="FFC000"/>
            </a:solidFill>
            <a:ln xmlns:a="http://schemas.openxmlformats.org/drawingml/2006/main">
              <a:prstDash val="solid"/>
            </a:ln>
          </spPr>
          <invertIfNegative val="1"/>
          <cat>
            <strRef>
              <f>'Ёмкость на горизонт'!$A$6:$A$8</f>
              <strCache>
                <ptCount val="3"/>
                <pt idx="0">
                  <v>Q3 2026</v>
                </pt>
                <pt idx="1">
                  <v>Q4 2026</v>
                </pt>
                <pt idx="2">
                  <v>Q1 2027</v>
                </pt>
              </strCache>
            </strRef>
          </cat>
          <val>
            <numRef>
              <f>'Ёмкость на горизонт'!$C$6:$C$8</f>
              <numCache>
                <formatCode>#\ ##0.0</formatCode>
                <ptCount val="3"/>
                <pt idx="0">
                  <v>107</v>
                </pt>
                <pt idx="1">
                  <v>0</v>
                </pt>
                <pt idx="2">
                  <v>0</v>
                </pt>
              </numCache>
            </numRef>
          </val>
        </ser>
        <dLbls>
          <showLegendKey val="0"/>
          <showVal val="0"/>
          <showCatName val="0"/>
          <showSerName val="0"/>
          <showPercent val="0"/>
          <showBubbleSize val="0"/>
        </dLbls>
        <gapWidth val="150"/>
        <axId val="10"/>
        <axId val="100"/>
      </bar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 ##0.0" sourceLinked="1"/>
        <majorTickMark val="none"/>
        <minorTickMark val="none"/>
        <tickLblPos val="nextTo"/>
        <crossAx val="10"/>
        <crosses val="autoZero"/>
        <crossBetween val="between"/>
      </valAx>
    </plotArea>
    <legend>
      <legendPos val="b"/>
      <overlay val="0"/>
    </legend>
    <plotVisOnly val="1"/>
    <dispBlanksAs val="gap"/>
  </chart>
</chartSpace>
</file>

<file path=xl/charts/chart17.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Диаграмма Ганта — задачи по спринтам (цвет = спринт)</a:t>
            </a:r>
          </a:p>
        </rich>
      </tx>
      <layout>
        <manualLayout>
          <xMode val="edge"/>
          <yMode val="edge"/>
          <wMode val="factor"/>
          <hMode val="factor"/>
          <x val="0.22"/>
          <y val="0.96"/>
        </manualLayout>
      </layout>
      <overlay val="0"/>
    </title>
    <plotArea>
      <layout/>
      <barChart>
        <barDir val="bar"/>
        <grouping val="stacked"/>
        <varyColors val="1"/>
        <ser>
          <idx val="0"/>
          <order val="0"/>
          <tx>
            <strRef>
              <f>Гант!$G$4</f>
              <strCache>
                <ptCount val="1"/>
                <pt idx="0">
                  <v>Начало</v>
                </pt>
              </strCache>
            </strRef>
          </tx>
          <spPr>
            <a:noFill xmlns:a="http://schemas.openxmlformats.org/drawingml/2006/main"/>
            <a:ln xmlns:a="http://schemas.openxmlformats.org/drawingml/2006/main">
              <a:noFill/>
              <a:prstDash val="solid"/>
            </a:ln>
          </spPr>
          <invertIfNegative val="1"/>
          <cat>
            <strRef>
              <f>Гант!$B$5:$B$44</f>
              <strCache>
                <ptCount val="20"/>
                <pt idx="0">
                  <v>Проектирование API заказов</v>
                </pt>
                <pt idx="1">
                  <v>Экран корзины (вёрстка)</v>
                </pt>
                <pt idx="2">
                  <v>Настройка CI/CD</v>
                </pt>
                <pt idx="3">
                  <v>Модель данных заказа</v>
                </pt>
                <pt idx="4">
                  <v>Интеграция платежей</v>
                </pt>
                <pt idx="5">
                  <v>Тест-кейсы оформления</v>
                </pt>
                <pt idx="6">
                  <v>Уведомления по e-mail</v>
                </pt>
                <pt idx="7">
                  <v>API промокодов</v>
                </pt>
                <pt idx="8">
                  <v>Логирование и метрики</v>
                </pt>
                <pt idx="9">
                  <v>Рефакторинг авторизации</v>
                </pt>
                <pt idx="10">
                  <v>Аналитика воронки</v>
                </pt>
                <pt idx="11">
                  <v>Регресс-тестирование релиза</v>
                </pt>
                <pt idx="12">
                  <v>Экран оплаты</v>
                </pt>
                <pt idx="13">
                  <v>Вебхуки платежей</v>
                </pt>
                <pt idx="14">
                  <v>История заказов</v>
                </pt>
                <pt idx="15">
                  <v>Личный кабинет</v>
                </pt>
                <pt idx="16">
                  <v>Фильтры каталога</v>
                </pt>
                <pt idx="17">
                  <v>Отзывы и рейтинги</v>
                </pt>
                <pt idx="18">
                  <v>Рекомендации</v>
                </pt>
                <pt idx="19">
                  <v>A/B тесты чекаута</v>
                </pt>
              </strCache>
            </strRef>
          </cat>
          <val>
            <numRef>
              <f>Гант!$G$5:$G$44</f>
              <numCache>
                <formatCode>dd\.mm\.yyyy</formatCode>
                <ptCount val="40"/>
                <pt idx="0">
                  <v>46237</v>
                </pt>
                <pt idx="1">
                  <v>46242</v>
                </pt>
                <pt idx="2">
                  <v>46237</v>
                </pt>
                <pt idx="3">
                  <v>46237</v>
                </pt>
                <pt idx="4">
                  <v>46251</v>
                </pt>
                <pt idx="5">
                  <v>46251</v>
                </pt>
                <pt idx="6">
                  <v>46251</v>
                </pt>
                <pt idx="7">
                  <v>46251</v>
                </pt>
                <pt idx="8">
                  <v>46251</v>
                </pt>
                <pt idx="9">
                  <v>46265</v>
                </pt>
                <pt idx="10">
                  <v>46265</v>
                </pt>
                <pt idx="11">
                  <v>46265</v>
                </pt>
                <pt idx="12">
                  <v>46265</v>
                </pt>
                <pt idx="13">
                  <v>46273</v>
                </pt>
                <pt idx="14">
                  <v>46265</v>
                </pt>
                <pt idx="15">
                  <v>46279</v>
                </pt>
                <pt idx="16">
                  <v>46287</v>
                </pt>
                <pt idx="17">
                  <v>46279</v>
                </pt>
                <pt idx="18">
                  <v>46293</v>
                </pt>
                <pt idx="19">
                  <v>46293</v>
                </pt>
                <pt idx="20">
                  <v>0</v>
                </pt>
                <pt idx="21">
                  <v>0</v>
                </pt>
                <pt idx="22">
                  <v>0</v>
                </pt>
                <pt idx="23">
                  <v>0</v>
                </pt>
                <pt idx="24">
                  <v>0</v>
                </pt>
                <pt idx="25">
                  <v>0</v>
                </pt>
                <pt idx="26">
                  <v>0</v>
                </pt>
                <pt idx="27">
                  <v>0</v>
                </pt>
                <pt idx="28">
                  <v>0</v>
                </pt>
                <pt idx="29">
                  <v>0</v>
                </pt>
                <pt idx="30">
                  <v>0</v>
                </pt>
                <pt idx="31">
                  <v>0</v>
                </pt>
                <pt idx="32">
                  <v>0</v>
                </pt>
                <pt idx="33">
                  <v>0</v>
                </pt>
                <pt idx="34">
                  <v>0</v>
                </pt>
                <pt idx="35">
                  <v>0</v>
                </pt>
                <pt idx="36">
                  <v>0</v>
                </pt>
                <pt idx="37">
                  <v>0</v>
                </pt>
                <pt idx="38">
                  <v>0</v>
                </pt>
                <pt idx="39">
                  <v>0</v>
                </pt>
              </numCache>
            </numRef>
          </val>
        </ser>
        <ser>
          <idx val="1"/>
          <order val="1"/>
          <tx>
            <strRef>
              <f>Гант!$I$4</f>
              <strCache>
                <ptCount val="1"/>
                <pt idx="0">
                  <v>Длит. (дн)</v>
                </pt>
              </strCache>
            </strRef>
          </tx>
          <spPr>
            <a:solidFill xmlns:a="http://schemas.openxmlformats.org/drawingml/2006/main">
              <a:srgbClr val="4472C4"/>
            </a:solidFill>
            <a:ln xmlns:a="http://schemas.openxmlformats.org/drawingml/2006/main">
              <a:prstDash val="solid"/>
            </a:ln>
          </spPr>
          <invertIfNegative val="1"/>
          <dPt>
            <idx val="0"/>
            <invertIfNegative val="1"/>
            <bubble3D val="0"/>
            <spPr>
              <a:solidFill xmlns:a="http://schemas.openxmlformats.org/drawingml/2006/main">
                <a:srgbClr val="4472C4"/>
              </a:solidFill>
              <a:ln xmlns:a="http://schemas.openxmlformats.org/drawingml/2006/main" w="34925">
                <a:solidFill>
                  <a:srgbClr val="C00000"/>
                </a:solidFill>
                <a:prstDash val="solid"/>
              </a:ln>
            </spPr>
          </dPt>
          <dPt>
            <idx val="1"/>
            <invertIfNegative val="1"/>
            <bubble3D val="0"/>
            <spPr>
              <a:ln xmlns:a="http://schemas.openxmlformats.org/drawingml/2006/main">
                <a:prstDash val="solid"/>
              </a:ln>
            </spPr>
          </dPt>
          <dPt>
            <idx val="2"/>
            <invertIfNegative val="1"/>
            <bubble3D val="0"/>
            <spPr>
              <a:ln xmlns:a="http://schemas.openxmlformats.org/drawingml/2006/main">
                <a:prstDash val="solid"/>
              </a:ln>
            </spPr>
          </dPt>
          <dPt>
            <idx val="3"/>
            <invertIfNegative val="1"/>
            <bubble3D val="0"/>
            <spPr>
              <a:ln xmlns:a="http://schemas.openxmlformats.org/drawingml/2006/main">
                <a:prstDash val="solid"/>
              </a:ln>
            </spPr>
          </dPt>
          <dPt>
            <idx val="4"/>
            <invertIfNegative val="1"/>
            <bubble3D val="0"/>
            <spPr>
              <a:solidFill xmlns:a="http://schemas.openxmlformats.org/drawingml/2006/main">
                <a:srgbClr val="ED7D31"/>
              </a:solidFill>
              <a:ln xmlns:a="http://schemas.openxmlformats.org/drawingml/2006/main" w="34925">
                <a:solidFill>
                  <a:srgbClr val="C00000"/>
                </a:solidFill>
                <a:prstDash val="solid"/>
              </a:ln>
            </spPr>
          </dPt>
          <dPt>
            <idx val="5"/>
            <invertIfNegative val="1"/>
            <bubble3D val="0"/>
            <spPr>
              <a:solidFill xmlns:a="http://schemas.openxmlformats.org/drawingml/2006/main">
                <a:srgbClr val="ED7D31"/>
              </a:solidFill>
              <a:ln xmlns:a="http://schemas.openxmlformats.org/drawingml/2006/main">
                <a:prstDash val="solid"/>
              </a:ln>
            </spPr>
          </dPt>
          <dPt>
            <idx val="6"/>
            <invertIfNegative val="1"/>
            <bubble3D val="0"/>
            <spPr>
              <a:solidFill xmlns:a="http://schemas.openxmlformats.org/drawingml/2006/main">
                <a:srgbClr val="ED7D31"/>
              </a:solidFill>
              <a:ln xmlns:a="http://schemas.openxmlformats.org/drawingml/2006/main">
                <a:prstDash val="solid"/>
              </a:ln>
            </spPr>
          </dPt>
          <dPt>
            <idx val="7"/>
            <invertIfNegative val="1"/>
            <bubble3D val="0"/>
            <spPr>
              <a:solidFill xmlns:a="http://schemas.openxmlformats.org/drawingml/2006/main">
                <a:srgbClr val="ED7D31"/>
              </a:solidFill>
              <a:ln xmlns:a="http://schemas.openxmlformats.org/drawingml/2006/main">
                <a:prstDash val="solid"/>
              </a:ln>
            </spPr>
          </dPt>
          <dPt>
            <idx val="8"/>
            <invertIfNegative val="1"/>
            <bubble3D val="0"/>
            <spPr>
              <a:solidFill xmlns:a="http://schemas.openxmlformats.org/drawingml/2006/main">
                <a:srgbClr val="ED7D31"/>
              </a:solidFill>
              <a:ln xmlns:a="http://schemas.openxmlformats.org/drawingml/2006/main">
                <a:prstDash val="solid"/>
              </a:ln>
            </spPr>
          </dPt>
          <dPt>
            <idx val="9"/>
            <invertIfNegative val="1"/>
            <bubble3D val="0"/>
            <spPr>
              <a:solidFill xmlns:a="http://schemas.openxmlformats.org/drawingml/2006/main">
                <a:srgbClr val="70AD47"/>
              </a:solidFill>
              <a:ln xmlns:a="http://schemas.openxmlformats.org/drawingml/2006/main">
                <a:prstDash val="solid"/>
              </a:ln>
            </spPr>
          </dPt>
          <dPt>
            <idx val="10"/>
            <invertIfNegative val="1"/>
            <bubble3D val="0"/>
            <spPr>
              <a:solidFill xmlns:a="http://schemas.openxmlformats.org/drawingml/2006/main">
                <a:srgbClr val="70AD47"/>
              </a:solidFill>
              <a:ln xmlns:a="http://schemas.openxmlformats.org/drawingml/2006/main">
                <a:prstDash val="solid"/>
              </a:ln>
            </spPr>
          </dPt>
          <dPt>
            <idx val="11"/>
            <invertIfNegative val="1"/>
            <bubble3D val="0"/>
            <spPr>
              <a:solidFill xmlns:a="http://schemas.openxmlformats.org/drawingml/2006/main">
                <a:srgbClr val="70AD47"/>
              </a:solidFill>
              <a:ln xmlns:a="http://schemas.openxmlformats.org/drawingml/2006/main">
                <a:prstDash val="solid"/>
              </a:ln>
            </spPr>
          </dPt>
          <dPt>
            <idx val="12"/>
            <invertIfNegative val="1"/>
            <bubble3D val="0"/>
            <spPr>
              <a:solidFill xmlns:a="http://schemas.openxmlformats.org/drawingml/2006/main">
                <a:srgbClr val="70AD47"/>
              </a:solidFill>
              <a:ln xmlns:a="http://schemas.openxmlformats.org/drawingml/2006/main" w="34925">
                <a:solidFill>
                  <a:srgbClr val="C00000"/>
                </a:solidFill>
                <a:prstDash val="solid"/>
              </a:ln>
            </spPr>
          </dPt>
          <dPt>
            <idx val="13"/>
            <invertIfNegative val="1"/>
            <bubble3D val="0"/>
            <spPr>
              <a:solidFill xmlns:a="http://schemas.openxmlformats.org/drawingml/2006/main">
                <a:srgbClr val="70AD47"/>
              </a:solidFill>
              <a:ln xmlns:a="http://schemas.openxmlformats.org/drawingml/2006/main" w="34925">
                <a:solidFill>
                  <a:srgbClr val="C00000"/>
                </a:solidFill>
                <a:prstDash val="solid"/>
              </a:ln>
            </spPr>
          </dPt>
          <dPt>
            <idx val="14"/>
            <invertIfNegative val="1"/>
            <bubble3D val="0"/>
            <spPr>
              <a:solidFill xmlns:a="http://schemas.openxmlformats.org/drawingml/2006/main">
                <a:srgbClr val="70AD47"/>
              </a:solidFill>
              <a:ln xmlns:a="http://schemas.openxmlformats.org/drawingml/2006/main">
                <a:prstDash val="solid"/>
              </a:ln>
            </spPr>
          </dPt>
          <dPt>
            <idx val="15"/>
            <invertIfNegative val="1"/>
            <bubble3D val="0"/>
            <spPr>
              <a:solidFill xmlns:a="http://schemas.openxmlformats.org/drawingml/2006/main">
                <a:srgbClr val="FFC000"/>
              </a:solidFill>
              <a:ln xmlns:a="http://schemas.openxmlformats.org/drawingml/2006/main">
                <a:prstDash val="solid"/>
              </a:ln>
            </spPr>
          </dPt>
          <dPt>
            <idx val="16"/>
            <invertIfNegative val="1"/>
            <bubble3D val="0"/>
            <spPr>
              <a:solidFill xmlns:a="http://schemas.openxmlformats.org/drawingml/2006/main">
                <a:srgbClr val="FFC000"/>
              </a:solidFill>
              <a:ln xmlns:a="http://schemas.openxmlformats.org/drawingml/2006/main">
                <a:prstDash val="solid"/>
              </a:ln>
            </spPr>
          </dPt>
          <dPt>
            <idx val="17"/>
            <invertIfNegative val="1"/>
            <bubble3D val="0"/>
            <spPr>
              <a:solidFill xmlns:a="http://schemas.openxmlformats.org/drawingml/2006/main">
                <a:srgbClr val="FFC000"/>
              </a:solidFill>
              <a:ln xmlns:a="http://schemas.openxmlformats.org/drawingml/2006/main">
                <a:prstDash val="solid"/>
              </a:ln>
            </spPr>
          </dPt>
          <dPt>
            <idx val="18"/>
            <invertIfNegative val="1"/>
            <bubble3D val="0"/>
            <spPr>
              <a:solidFill xmlns:a="http://schemas.openxmlformats.org/drawingml/2006/main">
                <a:srgbClr val="7030A0"/>
              </a:solidFill>
              <a:ln xmlns:a="http://schemas.openxmlformats.org/drawingml/2006/main">
                <a:prstDash val="solid"/>
              </a:ln>
            </spPr>
          </dPt>
          <dPt>
            <idx val="19"/>
            <invertIfNegative val="1"/>
            <bubble3D val="0"/>
            <spPr>
              <a:solidFill xmlns:a="http://schemas.openxmlformats.org/drawingml/2006/main">
                <a:srgbClr val="7030A0"/>
              </a:solidFill>
              <a:ln xmlns:a="http://schemas.openxmlformats.org/drawingml/2006/main">
                <a:prstDash val="solid"/>
              </a:ln>
            </spPr>
          </dPt>
          <cat>
            <strRef>
              <f>Гант!$B$5:$B$44</f>
              <strCache>
                <ptCount val="20"/>
                <pt idx="0">
                  <v>Проектирование API заказов</v>
                </pt>
                <pt idx="1">
                  <v>Экран корзины (вёрстка)</v>
                </pt>
                <pt idx="2">
                  <v>Настройка CI/CD</v>
                </pt>
                <pt idx="3">
                  <v>Модель данных заказа</v>
                </pt>
                <pt idx="4">
                  <v>Интеграция платежей</v>
                </pt>
                <pt idx="5">
                  <v>Тест-кейсы оформления</v>
                </pt>
                <pt idx="6">
                  <v>Уведомления по e-mail</v>
                </pt>
                <pt idx="7">
                  <v>API промокодов</v>
                </pt>
                <pt idx="8">
                  <v>Логирование и метрики</v>
                </pt>
                <pt idx="9">
                  <v>Рефакторинг авторизации</v>
                </pt>
                <pt idx="10">
                  <v>Аналитика воронки</v>
                </pt>
                <pt idx="11">
                  <v>Регресс-тестирование релиза</v>
                </pt>
                <pt idx="12">
                  <v>Экран оплаты</v>
                </pt>
                <pt idx="13">
                  <v>Вебхуки платежей</v>
                </pt>
                <pt idx="14">
                  <v>История заказов</v>
                </pt>
                <pt idx="15">
                  <v>Личный кабинет</v>
                </pt>
                <pt idx="16">
                  <v>Фильтры каталога</v>
                </pt>
                <pt idx="17">
                  <v>Отзывы и рейтинги</v>
                </pt>
                <pt idx="18">
                  <v>Рекомендации</v>
                </pt>
                <pt idx="19">
                  <v>A/B тесты чекаута</v>
                </pt>
              </strCache>
            </strRef>
          </cat>
          <val>
            <numRef>
              <f>Гант!$I$5:$I$44</f>
              <numCache>
                <formatCode>0</formatCode>
                <ptCount val="40"/>
                <pt idx="0">
                  <v>5</v>
                </pt>
                <pt idx="1">
                  <v>8</v>
                </pt>
                <pt idx="2">
                  <v>4</v>
                </pt>
                <pt idx="3">
                  <v>5</v>
                </pt>
                <pt idx="4">
                  <v>8</v>
                </pt>
                <pt idx="5">
                  <v>4</v>
                </pt>
                <pt idx="6">
                  <v>4</v>
                </pt>
                <pt idx="7">
                  <v>5</v>
                </pt>
                <pt idx="8">
                  <v>3</v>
                </pt>
                <pt idx="9">
                  <v>3</v>
                </pt>
                <pt idx="10">
                  <v>3</v>
                </pt>
                <pt idx="11">
                  <v>5</v>
                </pt>
                <pt idx="12">
                  <v>8</v>
                </pt>
                <pt idx="13">
                  <v>5</v>
                </pt>
                <pt idx="14">
                  <v>5</v>
                </pt>
                <pt idx="15">
                  <v>8</v>
                </pt>
                <pt idx="16">
                  <v>6</v>
                </pt>
                <pt idx="17">
                  <v>5</v>
                </pt>
                <pt idx="18">
                  <v>8</v>
                </pt>
                <pt idx="19">
                  <v>5</v>
                </pt>
                <pt idx="20">
                  <v>0</v>
                </pt>
                <pt idx="21">
                  <v>0</v>
                </pt>
                <pt idx="22">
                  <v>0</v>
                </pt>
                <pt idx="23">
                  <v>0</v>
                </pt>
                <pt idx="24">
                  <v>0</v>
                </pt>
                <pt idx="25">
                  <v>0</v>
                </pt>
                <pt idx="26">
                  <v>0</v>
                </pt>
                <pt idx="27">
                  <v>0</v>
                </pt>
                <pt idx="28">
                  <v>0</v>
                </pt>
                <pt idx="29">
                  <v>0</v>
                </pt>
                <pt idx="30">
                  <v>0</v>
                </pt>
                <pt idx="31">
                  <v>0</v>
                </pt>
                <pt idx="32">
                  <v>0</v>
                </pt>
                <pt idx="33">
                  <v>0</v>
                </pt>
                <pt idx="34">
                  <v>0</v>
                </pt>
                <pt idx="35">
                  <v>0</v>
                </pt>
                <pt idx="36">
                  <v>0</v>
                </pt>
                <pt idx="37">
                  <v>0</v>
                </pt>
                <pt idx="38">
                  <v>0</v>
                </pt>
                <pt idx="39">
                  <v>0</v>
                </pt>
              </numCache>
            </numRef>
          </val>
        </ser>
        <dLbls>
          <showLegendKey val="0"/>
          <showVal val="0"/>
          <showCatName val="0"/>
          <showSerName val="0"/>
          <showPercent val="0"/>
          <showBubbleSize val="0"/>
        </dLbls>
        <gapWidth val="150"/>
        <overlap val="100"/>
        <axId val="10"/>
        <axId val="100"/>
      </barChart>
      <catAx>
        <axId val="10"/>
        <scaling>
          <orientation val="maxMin"/>
        </scaling>
        <delete val="0"/>
        <axPos val="l"/>
        <numFmt formatCode="General" sourceLinked="1"/>
        <majorTickMark val="none"/>
        <minorTickMark val="none"/>
        <tickLblPos val="nextTo"/>
        <crossAx val="100"/>
        <crosses val="autoZero"/>
        <auto val="1"/>
        <lblAlgn val="ctr"/>
        <lblOffset val="100"/>
        <noMultiLvlLbl val="1"/>
      </catAx>
      <valAx>
        <axId val="100"/>
        <scaling>
          <orientation val="minMax"/>
          <max val="46332"/>
          <min val="46237"/>
        </scaling>
        <delete val="0"/>
        <axPos val="t"/>
        <numFmt formatCode="dd\.mm" sourceLinked="0"/>
        <majorTickMark val="none"/>
        <minorTickMark val="none"/>
        <tickLblPos val="nextTo"/>
        <crossAx val="10"/>
        <crosses val="autoZero"/>
        <crossBetween val="between"/>
      </valAx>
    </plotArea>
    <plotVisOnly val="1"/>
    <dispBlanksAs val="gap"/>
  </chart>
</chartSpace>
</file>

<file path=xl/charts/chart18.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 xml:space="preserve">Капасити </a:t>
            </a:r>
            <a:r>
              <a:rPr lang="en-US"/>
              <a:t xml:space="preserve">vs </a:t>
            </a:r>
            <a:r>
              <a:rPr lang="ru-RU"/>
              <a:t>Спрос по ролям (текущий спринт)</a:t>
            </a:r>
          </a:p>
        </rich>
      </tx>
      <overlay val="0"/>
    </title>
    <plotArea>
      <layout/>
      <barChart>
        <barDir val="col"/>
        <grouping val="clustered"/>
        <varyColors val="1"/>
        <ser>
          <idx val="0"/>
          <order val="0"/>
          <tx>
            <strRef>
              <f>'Загрузка по ролям'!$B$5</f>
              <strCache>
                <ptCount val="1"/>
                <pt idx="0">
                  <v>Капасити (дн)</v>
                </pt>
              </strCache>
            </strRef>
          </tx>
          <spPr>
            <a:solidFill xmlns:a="http://schemas.openxmlformats.org/drawingml/2006/main">
              <a:srgbClr val="8EAADB"/>
            </a:solidFill>
            <a:ln xmlns:a="http://schemas.openxmlformats.org/drawingml/2006/main">
              <a:prstDash val="solid"/>
            </a:ln>
          </spPr>
          <invertIfNegative val="1"/>
          <cat>
            <strRef>
              <f>'Загрузка по ролям'!$A$6:$A$11</f>
              <strCache>
                <ptCount val="6"/>
                <pt idx="0">
                  <v>Backend</v>
                </pt>
                <pt idx="1">
                  <v>Frontend</v>
                </pt>
                <pt idx="2">
                  <v>QA</v>
                </pt>
                <pt idx="3">
                  <v>DevOps</v>
                </pt>
                <pt idx="4">
                  <v>Analyst</v>
                </pt>
                <pt idx="5">
                  <v>Designer</v>
                </pt>
              </strCache>
            </strRef>
          </cat>
          <val>
            <numRef>
              <f>'Загрузка по ролям'!$B$6:$B$11</f>
              <numCache>
                <formatCode>#\ ##0.0</formatCode>
                <ptCount val="6"/>
                <pt idx="0">
                  <v>32</v>
                </pt>
                <pt idx="1">
                  <v>24</v>
                </pt>
                <pt idx="2">
                  <v>14.4</v>
                </pt>
                <pt idx="3">
                  <v>6.4</v>
                </pt>
                <pt idx="4">
                  <v>12</v>
                </pt>
                <pt idx="5">
                  <v>6.4</v>
                </pt>
              </numCache>
            </numRef>
          </val>
        </ser>
        <ser>
          <idx val="1"/>
          <order val="1"/>
          <tx>
            <strRef>
              <f>'Загрузка по ролям'!$C$5</f>
              <strCache>
                <ptCount val="1"/>
                <pt idx="0">
                  <v>Спрос / План (дн)</v>
                </pt>
              </strCache>
            </strRef>
          </tx>
          <spPr>
            <a:solidFill xmlns:a="http://schemas.openxmlformats.org/drawingml/2006/main">
              <a:srgbClr val="C00000"/>
            </a:solidFill>
            <a:ln xmlns:a="http://schemas.openxmlformats.org/drawingml/2006/main">
              <a:prstDash val="solid"/>
            </a:ln>
          </spPr>
          <invertIfNegative val="1"/>
          <cat>
            <strRef>
              <f>'Загрузка по ролям'!$A$6:$A$11</f>
              <strCache>
                <ptCount val="6"/>
                <pt idx="0">
                  <v>Backend</v>
                </pt>
                <pt idx="1">
                  <v>Frontend</v>
                </pt>
                <pt idx="2">
                  <v>QA</v>
                </pt>
                <pt idx="3">
                  <v>DevOps</v>
                </pt>
                <pt idx="4">
                  <v>Analyst</v>
                </pt>
                <pt idx="5">
                  <v>Designer</v>
                </pt>
              </strCache>
            </strRef>
          </cat>
          <val>
            <numRef>
              <f>'Загрузка по ролям'!$C$6:$C$11</f>
              <numCache>
                <formatCode>#\ ##0.0</formatCode>
                <ptCount val="6"/>
                <pt idx="0">
                  <v>8</v>
                </pt>
                <pt idx="1">
                  <v>13</v>
                </pt>
                <pt idx="2">
                  <v>5</v>
                </pt>
                <pt idx="3">
                  <v>0</v>
                </pt>
                <pt idx="4">
                  <v>3</v>
                </pt>
                <pt idx="5">
                  <v>0</v>
                </pt>
              </numCache>
            </numRef>
          </val>
        </ser>
        <dLbls>
          <showLegendKey val="0"/>
          <showVal val="0"/>
          <showCatName val="0"/>
          <showSerName val="0"/>
          <showPercent val="0"/>
          <showBubbleSize val="0"/>
        </dLbls>
        <gapWidth val="150"/>
        <axId val="10"/>
        <axId val="100"/>
      </barChart>
      <catAx>
        <axId val="10"/>
        <scaling>
          <orientation val="minMax"/>
        </scaling>
        <delete val="0"/>
        <axPos val="b"/>
        <title>
          <tx>
            <rich>
              <a:bodyPr xmlns:a="http://schemas.openxmlformats.org/drawingml/2006/main"/>
              <a:lstStyle xmlns:a="http://schemas.openxmlformats.org/drawingml/2006/main"/>
              <a:p xmlns:a="http://schemas.openxmlformats.org/drawingml/2006/main">
                <a:pPr>
                  <a:defRPr/>
                </a:pPr>
                <a:r>
                  <a:rPr lang="ru-RU"/>
                  <a:t>Роль</a:t>
                </a:r>
              </a:p>
            </rich>
          </tx>
          <overlay val="1"/>
        </title>
        <numFmt formatCode="General" sourceLinked="1"/>
        <majorTickMark val="none"/>
        <minorTickMark val="none"/>
        <tickLblPos val="nextTo"/>
        <spPr>
          <a:ln xmlns:a="http://schemas.openxmlformats.org/drawingml/2006/main">
            <a:solidFill>
              <a:srgbClr val="808080"/>
            </a:solidFill>
            <a:prstDash val="solid"/>
          </a:ln>
        </spPr>
        <crossAx val="100"/>
        <crosses val="autoZero"/>
        <auto val="1"/>
        <lblAlgn val="ctr"/>
        <lblOffset val="100"/>
        <noMultiLvlLbl val="1"/>
      </catAx>
      <valAx>
        <axId val="100"/>
        <scaling>
          <orientation val="minMax"/>
        </scaling>
        <delete val="0"/>
        <axPos val="l"/>
        <majorGridlines/>
        <title>
          <tx>
            <rich>
              <a:bodyPr xmlns:a="http://schemas.openxmlformats.org/drawingml/2006/main"/>
              <a:lstStyle xmlns:a="http://schemas.openxmlformats.org/drawingml/2006/main"/>
              <a:p xmlns:a="http://schemas.openxmlformats.org/drawingml/2006/main">
                <a:pPr>
                  <a:defRPr/>
                </a:pPr>
                <a:r>
                  <a:rPr lang="ru-RU"/>
                  <a:t>Человеко-дни</a:t>
                </a:r>
              </a:p>
            </rich>
          </tx>
          <overlay val="1"/>
        </title>
        <numFmt formatCode="#\ ##0.0" sourceLinked="1"/>
        <majorTickMark val="none"/>
        <minorTickMark val="none"/>
        <tickLblPos val="nextTo"/>
        <spPr>
          <a:ln xmlns:a="http://schemas.openxmlformats.org/drawingml/2006/main">
            <a:solidFill>
              <a:srgbClr val="808080"/>
            </a:solidFill>
            <a:prstDash val="solid"/>
          </a:ln>
        </spPr>
        <crossAx val="10"/>
        <crosses val="autoZero"/>
        <crossBetween val="between"/>
      </valAx>
    </plotArea>
    <legend>
      <legendPos val="r"/>
      <overlay val="0"/>
    </legend>
    <plotVisOnly val="1"/>
    <dispBlanksAs val="gap"/>
  </chart>
</chartSpace>
</file>

<file path=xl/charts/chart19.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 xml:space="preserve">Burndown — </a:t>
            </a:r>
            <a:r>
              <a:rPr lang="ru-RU"/>
              <a:t>сгорание задач (дни)</a:t>
            </a:r>
          </a:p>
        </rich>
      </tx>
      <overlay val="0"/>
    </title>
    <plotArea>
      <layout/>
      <lineChart>
        <grouping val="standard"/>
        <varyColors val="1"/>
        <ser>
          <idx val="0"/>
          <order val="0"/>
          <tx>
            <strRef>
              <f>Сгорание!$C$6</f>
              <strCache>
                <ptCount val="1"/>
                <pt idx="0">
                  <v>Идеальный остаток (дн)</v>
                </pt>
              </strCache>
            </strRef>
          </tx>
          <spPr>
            <a:ln xmlns:a="http://schemas.openxmlformats.org/drawingml/2006/main">
              <a:solidFill>
                <a:srgbClr val="808080"/>
              </a:solidFill>
              <a:prstDash val="dash"/>
            </a:ln>
          </spPr>
          <marker>
            <symbol val="circle"/>
            <size val="6"/>
            <spPr>
              <a:ln xmlns:a="http://schemas.openxmlformats.org/drawingml/2006/main">
                <a:prstDash val="solid"/>
              </a:ln>
            </spPr>
          </marker>
          <cat>
            <numRef>
              <f>Сгорание!$A$7:$A$17</f>
              <numCache>
                <formatCode>General</formatCode>
                <ptCount val="11"/>
                <pt idx="0">
                  <v>0</v>
                </pt>
                <pt idx="1">
                  <v>1</v>
                </pt>
                <pt idx="2">
                  <v>2</v>
                </pt>
                <pt idx="3">
                  <v>3</v>
                </pt>
                <pt idx="4">
                  <v>4</v>
                </pt>
                <pt idx="5">
                  <v>5</v>
                </pt>
                <pt idx="6">
                  <v>6</v>
                </pt>
                <pt idx="7">
                  <v>7</v>
                </pt>
                <pt idx="8">
                  <v>8</v>
                </pt>
                <pt idx="9">
                  <v>9</v>
                </pt>
                <pt idx="10">
                  <v>10</v>
                </pt>
              </numCache>
            </numRef>
          </cat>
          <val>
            <numRef>
              <f>Сгорание!$C$7:$C$17</f>
              <numCache>
                <formatCode>#\ ##0.0</formatCode>
                <ptCount val="11"/>
                <pt idx="0">
                  <v>29</v>
                </pt>
                <pt idx="1">
                  <v>26.1</v>
                </pt>
                <pt idx="2">
                  <v>23.2</v>
                </pt>
                <pt idx="3">
                  <v>20.3</v>
                </pt>
                <pt idx="4">
                  <v>17.4</v>
                </pt>
                <pt idx="5">
                  <v>14.5</v>
                </pt>
                <pt idx="6">
                  <v>11.6</v>
                </pt>
                <pt idx="7">
                  <v>8.699999999999999</v>
                </pt>
                <pt idx="8">
                  <v>5.8</v>
                </pt>
                <pt idx="9">
                  <v>2.9</v>
                </pt>
                <pt idx="10">
                  <v>0</v>
                </pt>
              </numCache>
            </numRef>
          </val>
          <smooth val="0"/>
        </ser>
        <ser>
          <idx val="1"/>
          <order val="1"/>
          <tx>
            <strRef>
              <f>Сгорание!$D$6</f>
              <strCache>
                <ptCount val="1"/>
                <pt idx="0">
                  <v>Факт. остаток (дн)</v>
                </pt>
              </strCache>
            </strRef>
          </tx>
          <spPr>
            <a:ln xmlns:a="http://schemas.openxmlformats.org/drawingml/2006/main" w="28000">
              <a:solidFill>
                <a:srgbClr val="C00000"/>
              </a:solidFill>
              <a:prstDash val="solid"/>
            </a:ln>
          </spPr>
          <marker>
            <symbol val="circle"/>
            <size val="6"/>
            <spPr>
              <a:ln xmlns:a="http://schemas.openxmlformats.org/drawingml/2006/main">
                <a:prstDash val="solid"/>
              </a:ln>
            </spPr>
          </marker>
          <cat>
            <numRef>
              <f>Сгорание!$A$7:$A$17</f>
              <numCache>
                <formatCode>General</formatCode>
                <ptCount val="11"/>
                <pt idx="0">
                  <v>0</v>
                </pt>
                <pt idx="1">
                  <v>1</v>
                </pt>
                <pt idx="2">
                  <v>2</v>
                </pt>
                <pt idx="3">
                  <v>3</v>
                </pt>
                <pt idx="4">
                  <v>4</v>
                </pt>
                <pt idx="5">
                  <v>5</v>
                </pt>
                <pt idx="6">
                  <v>6</v>
                </pt>
                <pt idx="7">
                  <v>7</v>
                </pt>
                <pt idx="8">
                  <v>8</v>
                </pt>
                <pt idx="9">
                  <v>9</v>
                </pt>
                <pt idx="10">
                  <v>10</v>
                </pt>
              </numCache>
            </numRef>
          </cat>
          <val>
            <numRef>
              <f>Сгорание!$D$7:$D$17</f>
              <numCache>
                <formatCode>#\ ##0.0</formatCode>
                <ptCount val="11"/>
                <pt idx="0">
                  <v>29</v>
                </pt>
                <pt idx="1">
                  <v>28.4</v>
                </pt>
                <pt idx="2">
                  <v>26.1</v>
                </pt>
                <pt idx="3">
                  <v>24.9</v>
                </pt>
                <pt idx="4">
                  <v>20.9</v>
                </pt>
                <pt idx="5">
                  <v>17.4</v>
                </pt>
                <pt idx="6">
                  <v>16</v>
                </pt>
                <pt idx="7">
                  <v>11.6</v>
                </pt>
                <pt idx="8">
                  <v>8.1</v>
                </pt>
                <pt idx="9">
                  <v>3.5</v>
                </pt>
                <pt idx="10">
                  <v>0</v>
                </pt>
              </numCache>
            </numRef>
          </val>
          <smooth val="0"/>
        </ser>
        <dLbls>
          <showLegendKey val="0"/>
          <showVal val="0"/>
          <showCatName val="0"/>
          <showSerName val="0"/>
          <showPercent val="0"/>
          <showBubbleSize val="0"/>
        </dLbls>
        <marker val="1"/>
        <smooth val="0"/>
        <axId val="10"/>
        <axId val="100"/>
      </lineChart>
      <catAx>
        <axId val="10"/>
        <scaling>
          <orientation val="minMax"/>
        </scaling>
        <delete val="0"/>
        <axPos val="b"/>
        <title>
          <tx>
            <rich>
              <a:bodyPr xmlns:a="http://schemas.openxmlformats.org/drawingml/2006/main"/>
              <a:lstStyle xmlns:a="http://schemas.openxmlformats.org/drawingml/2006/main"/>
              <a:p xmlns:a="http://schemas.openxmlformats.org/drawingml/2006/main">
                <a:pPr>
                  <a:defRPr/>
                </a:pPr>
                <a:r>
                  <a:rPr lang="ru-RU"/>
                  <a:t>День спринта</a:t>
                </a:r>
              </a:p>
            </rich>
          </tx>
          <overlay val="1"/>
        </title>
        <numFmt formatCode="General" sourceLinked="1"/>
        <majorTickMark val="none"/>
        <minorTickMark val="none"/>
        <tickLblPos val="nextTo"/>
        <spPr>
          <a:ln xmlns:a="http://schemas.openxmlformats.org/drawingml/2006/main">
            <a:solidFill>
              <a:srgbClr val="808080"/>
            </a:solidFill>
            <a:prstDash val="solid"/>
          </a:ln>
        </spPr>
        <crossAx val="100"/>
        <crosses val="autoZero"/>
        <auto val="1"/>
        <lblAlgn val="ctr"/>
        <lblOffset val="100"/>
        <noMultiLvlLbl val="1"/>
      </catAx>
      <valAx>
        <axId val="100"/>
        <scaling>
          <orientation val="minMax"/>
        </scaling>
        <delete val="0"/>
        <axPos val="l"/>
        <majorGridlines/>
        <title>
          <tx>
            <rich>
              <a:bodyPr xmlns:a="http://schemas.openxmlformats.org/drawingml/2006/main"/>
              <a:lstStyle xmlns:a="http://schemas.openxmlformats.org/drawingml/2006/main"/>
              <a:p xmlns:a="http://schemas.openxmlformats.org/drawingml/2006/main">
                <a:pPr>
                  <a:defRPr/>
                </a:pPr>
                <a:r>
                  <a:rPr lang="ru-RU"/>
                  <a:t>Остаток (дни)</a:t>
                </a:r>
              </a:p>
            </rich>
          </tx>
          <overlay val="1"/>
        </title>
        <numFmt formatCode="#\ ##0.0" sourceLinked="1"/>
        <majorTickMark val="none"/>
        <minorTickMark val="none"/>
        <tickLblPos val="nextTo"/>
        <spPr>
          <a:ln xmlns:a="http://schemas.openxmlformats.org/drawingml/2006/main">
            <a:solidFill>
              <a:srgbClr val="808080"/>
            </a:solidFill>
            <a:prstDash val="solid"/>
          </a:ln>
        </spPr>
        <crossAx val="10"/>
        <crosses val="autoZero"/>
        <crossBetween val="between"/>
      </valAx>
    </plotArea>
    <legend>
      <legendPos val="r"/>
      <overlay val="0"/>
    </legend>
    <plotVisOnly val="1"/>
    <dispBlanksAs val="gap"/>
  </chart>
</chartSpace>
</file>

<file path=xl/charts/chart20.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 xml:space="preserve">Burn-up: </a:t>
            </a:r>
            <a:r>
              <a:rPr lang="ru-RU"/>
              <a:t xml:space="preserve">объём </a:t>
            </a:r>
            <a:r>
              <a:rPr lang="en-US"/>
              <a:t xml:space="preserve">vs </a:t>
            </a:r>
            <a:r>
              <a:rPr lang="ru-RU"/>
              <a:t>сделано</a:t>
            </a:r>
          </a:p>
        </rich>
      </tx>
      <overlay val="0"/>
    </title>
    <plotArea>
      <layout/>
      <lineChart>
        <grouping val="standard"/>
        <varyColors val="1"/>
        <ser>
          <idx val="0"/>
          <order val="0"/>
          <tx>
            <strRef>
              <f>Сгорание!$B$21</f>
              <strCache>
                <ptCount val="1"/>
                <pt idx="0">
                  <v>Накопл.
сделано (дн)</v>
                </pt>
              </strCache>
            </strRef>
          </tx>
          <spPr>
            <a:ln xmlns:a="http://schemas.openxmlformats.org/drawingml/2006/main" w="28000">
              <a:solidFill>
                <a:srgbClr val="70AD47"/>
              </a:solidFill>
              <a:prstDash val="solid"/>
            </a:ln>
          </spPr>
          <marker>
            <symbol val="circle"/>
            <size val="6"/>
            <spPr>
              <a:ln xmlns:a="http://schemas.openxmlformats.org/drawingml/2006/main">
                <a:prstDash val="solid"/>
              </a:ln>
            </spPr>
          </marker>
          <cat>
            <numRef>
              <f>Сгорание!$A$22:$A$32</f>
              <numCache>
                <formatCode>General</formatCode>
                <ptCount val="11"/>
                <pt idx="0">
                  <v>1</v>
                </pt>
                <pt idx="1">
                  <v>2</v>
                </pt>
                <pt idx="2">
                  <v>3</v>
                </pt>
                <pt idx="3">
                  <v>4</v>
                </pt>
                <pt idx="4">
                  <v>5</v>
                </pt>
                <pt idx="5">
                  <v>6</v>
                </pt>
                <pt idx="6">
                  <v>7</v>
                </pt>
                <pt idx="7">
                  <v>8</v>
                </pt>
                <pt idx="8">
                  <v>9</v>
                </pt>
                <pt idx="9">
                  <v>10</v>
                </pt>
                <pt idx="10">
                  <v>11</v>
                </pt>
              </numCache>
            </numRef>
          </cat>
          <val>
            <numRef>
              <f>Сгорание!$B$22:$B$32</f>
              <numCache>
                <formatCode>#\ ##0.0</formatCode>
                <ptCount val="11"/>
                <pt idx="0">
                  <v>17</v>
                </pt>
                <pt idx="1">
                  <v>38</v>
                </pt>
                <pt idx="2">
                  <v>38</v>
                </pt>
                <pt idx="3">
                  <v>38</v>
                </pt>
                <pt idx="4">
                  <v>38</v>
                </pt>
                <pt idx="5">
                  <v>38</v>
                </pt>
                <pt idx="6">
                  <v>38</v>
                </pt>
                <pt idx="7">
                  <v>38</v>
                </pt>
                <pt idx="8">
                  <v>38</v>
                </pt>
                <pt idx="9">
                  <v>38</v>
                </pt>
                <pt idx="10">
                  <v>38</v>
                </pt>
              </numCache>
            </numRef>
          </val>
          <smooth val="0"/>
        </ser>
        <ser>
          <idx val="1"/>
          <order val="1"/>
          <tx>
            <strRef>
              <f>Сгорание!$C$21</f>
              <strCache>
                <ptCount val="1"/>
                <pt idx="0">
                  <v>Общий
объём (дн)</v>
                </pt>
              </strCache>
            </strRef>
          </tx>
          <spPr>
            <a:ln xmlns:a="http://schemas.openxmlformats.org/drawingml/2006/main">
              <a:solidFill>
                <a:srgbClr val="C00000"/>
              </a:solidFill>
              <a:prstDash val="dash"/>
            </a:ln>
          </spPr>
          <marker>
            <symbol val="circle"/>
            <size val="6"/>
            <spPr>
              <a:ln xmlns:a="http://schemas.openxmlformats.org/drawingml/2006/main">
                <a:prstDash val="solid"/>
              </a:ln>
            </spPr>
          </marker>
          <cat>
            <numRef>
              <f>Сгорание!$A$22:$A$32</f>
              <numCache>
                <formatCode>General</formatCode>
                <ptCount val="11"/>
                <pt idx="0">
                  <v>1</v>
                </pt>
                <pt idx="1">
                  <v>2</v>
                </pt>
                <pt idx="2">
                  <v>3</v>
                </pt>
                <pt idx="3">
                  <v>4</v>
                </pt>
                <pt idx="4">
                  <v>5</v>
                </pt>
                <pt idx="5">
                  <v>6</v>
                </pt>
                <pt idx="6">
                  <v>7</v>
                </pt>
                <pt idx="7">
                  <v>8</v>
                </pt>
                <pt idx="8">
                  <v>9</v>
                </pt>
                <pt idx="9">
                  <v>10</v>
                </pt>
                <pt idx="10">
                  <v>11</v>
                </pt>
              </numCache>
            </numRef>
          </cat>
          <val>
            <numRef>
              <f>Сгорание!$C$22:$C$32</f>
              <numCache>
                <formatCode>#\ ##0.0</formatCode>
                <ptCount val="11"/>
                <pt idx="0">
                  <v>107</v>
                </pt>
                <pt idx="1">
                  <v>107</v>
                </pt>
                <pt idx="2">
                  <v>107</v>
                </pt>
                <pt idx="3">
                  <v>107</v>
                </pt>
                <pt idx="4">
                  <v>107</v>
                </pt>
                <pt idx="5">
                  <v>107</v>
                </pt>
                <pt idx="6">
                  <v>107</v>
                </pt>
                <pt idx="7">
                  <v>107</v>
                </pt>
                <pt idx="8">
                  <v>107</v>
                </pt>
                <pt idx="9">
                  <v>107</v>
                </pt>
                <pt idx="10">
                  <v>107</v>
                </pt>
              </numCache>
            </numRef>
          </val>
          <smooth val="0"/>
        </ser>
        <dLbls>
          <showLegendKey val="0"/>
          <showVal val="0"/>
          <showCatName val="0"/>
          <showSerName val="0"/>
          <showPercent val="0"/>
          <showBubbleSize val="0"/>
        </dLbls>
        <marker val="1"/>
        <smooth val="0"/>
        <axId val="10"/>
        <axId val="100"/>
      </lineChart>
      <catAx>
        <axId val="10"/>
        <scaling>
          <orientation val="minMax"/>
        </scaling>
        <delete val="0"/>
        <axPos val="b"/>
        <title>
          <tx>
            <rich>
              <a:bodyPr xmlns:a="http://schemas.openxmlformats.org/drawingml/2006/main"/>
              <a:lstStyle xmlns:a="http://schemas.openxmlformats.org/drawingml/2006/main"/>
              <a:p xmlns:a="http://schemas.openxmlformats.org/drawingml/2006/main">
                <a:pPr>
                  <a:defRPr/>
                </a:pPr>
                <a:r>
                  <a:rPr lang="ru-RU"/>
                  <a:t>Спринт</a:t>
                </a:r>
              </a:p>
            </rich>
          </tx>
          <overlay val="1"/>
        </title>
        <numFmt formatCode="General" sourceLinked="1"/>
        <majorTickMark val="none"/>
        <minorTickMark val="none"/>
        <tickLblPos val="nextTo"/>
        <spPr>
          <a:ln xmlns:a="http://schemas.openxmlformats.org/drawingml/2006/main">
            <a:solidFill>
              <a:srgbClr val="808080"/>
            </a:solidFill>
            <a:prstDash val="solid"/>
          </a:ln>
        </spPr>
        <crossAx val="100"/>
        <crosses val="autoZero"/>
        <auto val="1"/>
        <lblAlgn val="ctr"/>
        <lblOffset val="100"/>
        <noMultiLvlLbl val="1"/>
      </catAx>
      <valAx>
        <axId val="100"/>
        <scaling>
          <orientation val="minMax"/>
        </scaling>
        <delete val="0"/>
        <axPos val="l"/>
        <majorGridlines/>
        <title>
          <tx>
            <rich>
              <a:bodyPr xmlns:a="http://schemas.openxmlformats.org/drawingml/2006/main"/>
              <a:lstStyle xmlns:a="http://schemas.openxmlformats.org/drawingml/2006/main"/>
              <a:p xmlns:a="http://schemas.openxmlformats.org/drawingml/2006/main">
                <a:pPr>
                  <a:defRPr/>
                </a:pPr>
                <a:r>
                  <a:rPr lang="ru-RU"/>
                  <a:t>Человеко-дни</a:t>
                </a:r>
              </a:p>
            </rich>
          </tx>
          <overlay val="1"/>
        </title>
        <numFmt formatCode="#\ ##0.0" sourceLinked="1"/>
        <majorTickMark val="none"/>
        <minorTickMark val="none"/>
        <tickLblPos val="nextTo"/>
        <spPr>
          <a:ln xmlns:a="http://schemas.openxmlformats.org/drawingml/2006/main">
            <a:solidFill>
              <a:srgbClr val="808080"/>
            </a:solidFill>
            <a:prstDash val="solid"/>
          </a:ln>
        </spPr>
        <crossAx val="10"/>
        <crosses val="autoZero"/>
        <crossBetween val="between"/>
      </valAx>
    </plotArea>
    <legend>
      <legendPos val="r"/>
      <overlay val="0"/>
    </legend>
    <plotVisOnly val="1"/>
    <dispBlanksAs val="gap"/>
  </chart>
</chartSpace>
</file>

<file path=xl/charts/chart2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 xml:space="preserve">Дефекты: найдено </a:t>
            </a:r>
            <a:r>
              <a:rPr lang="en-US"/>
              <a:t xml:space="preserve">vs </a:t>
            </a:r>
            <a:r>
              <a:rPr lang="ru-RU"/>
              <a:t>закрыто</a:t>
            </a:r>
          </a:p>
        </rich>
      </tx>
      <overlay val="0"/>
    </title>
    <plotArea>
      <layout/>
      <barChart>
        <barDir val="col"/>
        <grouping val="clustered"/>
        <varyColors val="1"/>
        <ser>
          <idx val="0"/>
          <order val="0"/>
          <tx>
            <strRef>
              <f>Качество!$B$4</f>
              <strCache>
                <ptCount val="1"/>
                <pt idx="0">
                  <v>Найдено</v>
                </pt>
              </strCache>
            </strRef>
          </tx>
          <spPr>
            <a:solidFill xmlns:a="http://schemas.openxmlformats.org/drawingml/2006/main">
              <a:srgbClr val="ED7D31"/>
            </a:solidFill>
            <a:ln xmlns:a="http://schemas.openxmlformats.org/drawingml/2006/main">
              <a:prstDash val="solid"/>
            </a:ln>
          </spPr>
          <invertIfNegative val="1"/>
          <cat>
            <strRef>
              <f>Качество!$A$5:$A$15</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Качество!$B$5:$B$15</f>
              <numCache>
                <formatCode>General</formatCode>
                <ptCount val="11"/>
                <pt idx="0">
                  <v>5</v>
                </pt>
                <pt idx="1">
                  <v>6</v>
                </pt>
                <pt idx="2">
                  <v>2</v>
                </pt>
                <pt idx="3">
                  <v>0</v>
                </pt>
                <pt idx="4">
                  <v>0</v>
                </pt>
                <pt idx="5">
                  <v>0</v>
                </pt>
                <pt idx="6">
                  <v>0</v>
                </pt>
                <pt idx="7">
                  <v>0</v>
                </pt>
                <pt idx="8">
                  <v>0</v>
                </pt>
                <pt idx="9">
                  <v>0</v>
                </pt>
                <pt idx="10">
                  <v>0</v>
                </pt>
              </numCache>
            </numRef>
          </val>
        </ser>
        <ser>
          <idx val="1"/>
          <order val="1"/>
          <tx>
            <strRef>
              <f>Качество!$C$4</f>
              <strCache>
                <ptCount val="1"/>
                <pt idx="0">
                  <v>Закрыто</v>
                </pt>
              </strCache>
            </strRef>
          </tx>
          <spPr>
            <a:solidFill xmlns:a="http://schemas.openxmlformats.org/drawingml/2006/main">
              <a:srgbClr val="70AD47"/>
            </a:solidFill>
            <a:ln xmlns:a="http://schemas.openxmlformats.org/drawingml/2006/main">
              <a:prstDash val="solid"/>
            </a:ln>
          </spPr>
          <invertIfNegative val="1"/>
          <cat>
            <strRef>
              <f>Качество!$A$5:$A$15</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Качество!$C$5:$C$15</f>
              <numCache>
                <formatCode>General</formatCode>
                <ptCount val="11"/>
                <pt idx="0">
                  <v>4</v>
                </pt>
                <pt idx="1">
                  <v>6</v>
                </pt>
                <pt idx="2">
                  <v>0</v>
                </pt>
                <pt idx="3">
                  <v>0</v>
                </pt>
                <pt idx="4">
                  <v>0</v>
                </pt>
                <pt idx="5">
                  <v>0</v>
                </pt>
                <pt idx="6">
                  <v>0</v>
                </pt>
                <pt idx="7">
                  <v>0</v>
                </pt>
                <pt idx="8">
                  <v>0</v>
                </pt>
                <pt idx="9">
                  <v>0</v>
                </pt>
                <pt idx="10">
                  <v>0</v>
                </pt>
              </numCache>
            </numRef>
          </val>
        </ser>
        <dLbls>
          <showLegendKey val="0"/>
          <showVal val="0"/>
          <showCatName val="0"/>
          <showSerName val="0"/>
          <showPercent val="0"/>
          <showBubbleSize val="0"/>
        </dLbls>
        <gapWidth val="150"/>
        <axId val="10"/>
        <axId val="100"/>
      </barChart>
      <catAx>
        <axId val="10"/>
        <scaling>
          <orientation val="minMax"/>
        </scaling>
        <delete val="0"/>
        <axPos val="b"/>
        <title>
          <tx>
            <rich>
              <a:bodyPr xmlns:a="http://schemas.openxmlformats.org/drawingml/2006/main"/>
              <a:lstStyle xmlns:a="http://schemas.openxmlformats.org/drawingml/2006/main"/>
              <a:p xmlns:a="http://schemas.openxmlformats.org/drawingml/2006/main">
                <a:pPr>
                  <a:defRPr/>
                </a:pPr>
                <a:r>
                  <a:rPr lang="ru-RU"/>
                  <a:t>Спринт</a:t>
                </a:r>
              </a:p>
            </rich>
          </tx>
          <overlay val="1"/>
        </title>
        <numFmt formatCode="General" sourceLinked="1"/>
        <majorTickMark val="none"/>
        <minorTickMark val="none"/>
        <tickLblPos val="nextTo"/>
        <spPr>
          <a:ln xmlns:a="http://schemas.openxmlformats.org/drawingml/2006/main">
            <a:solidFill>
              <a:srgbClr val="808080"/>
            </a:solidFill>
            <a:prstDash val="solid"/>
          </a:ln>
        </spPr>
        <crossAx val="100"/>
        <crosses val="autoZero"/>
        <auto val="1"/>
        <lblAlgn val="ctr"/>
        <lblOffset val="100"/>
        <noMultiLvlLbl val="1"/>
      </catAx>
      <valAx>
        <axId val="100"/>
        <scaling>
          <orientation val="minMax"/>
        </scaling>
        <delete val="0"/>
        <axPos val="l"/>
        <majorGridlines/>
        <title>
          <tx>
            <rich>
              <a:bodyPr xmlns:a="http://schemas.openxmlformats.org/drawingml/2006/main"/>
              <a:lstStyle xmlns:a="http://schemas.openxmlformats.org/drawingml/2006/main"/>
              <a:p xmlns:a="http://schemas.openxmlformats.org/drawingml/2006/main">
                <a:pPr>
                  <a:defRPr/>
                </a:pPr>
                <a:r>
                  <a:rPr lang="ru-RU"/>
                  <a:t>Багов</a:t>
                </a:r>
              </a:p>
            </rich>
          </tx>
          <overlay val="1"/>
        </title>
        <numFmt formatCode="General" sourceLinked="1"/>
        <majorTickMark val="none"/>
        <minorTickMark val="none"/>
        <tickLblPos val="nextTo"/>
        <spPr>
          <a:ln xmlns:a="http://schemas.openxmlformats.org/drawingml/2006/main">
            <a:solidFill>
              <a:srgbClr val="808080"/>
            </a:solidFill>
            <a:prstDash val="solid"/>
          </a:ln>
        </spPr>
        <crossAx val="10"/>
        <crosses val="autoZero"/>
        <crossBetween val="between"/>
      </valAx>
    </plotArea>
    <legend>
      <legendPos val="r"/>
      <overlay val="0"/>
    </legend>
    <plotVisOnly val="1"/>
    <dispBlanksAs val="gap"/>
  </chart>
</chartSpace>
</file>

<file path=xl/charts/chart2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Баги по спринтам (кол-во)</a:t>
            </a:r>
          </a:p>
        </rich>
      </tx>
      <overlay val="1"/>
    </title>
    <plotArea>
      <layout/>
      <barChart>
        <barDir val="col"/>
        <grouping val="stacked"/>
        <varyColors val="1"/>
        <ser>
          <idx val="0"/>
          <order val="0"/>
          <tx>
            <strRef>
              <f>Баги!$L$5</f>
              <strCache>
                <ptCount val="1"/>
                <pt idx="0">
                  <v>Закрыто</v>
                </pt>
              </strCache>
            </strRef>
          </tx>
          <spPr>
            <a:solidFill xmlns:a="http://schemas.openxmlformats.org/drawingml/2006/main">
              <a:srgbClr val="70AD47"/>
            </a:solidFill>
            <a:ln xmlns:a="http://schemas.openxmlformats.org/drawingml/2006/main">
              <a:prstDash val="solid"/>
            </a:ln>
          </spPr>
          <invertIfNegative val="1"/>
          <cat>
            <numRef>
              <f>Баги!$J$6:$J$16</f>
              <numCache>
                <formatCode>General</formatCode>
                <ptCount val="11"/>
                <pt idx="0">
                  <v>1</v>
                </pt>
                <pt idx="1">
                  <v>2</v>
                </pt>
                <pt idx="2">
                  <v>3</v>
                </pt>
                <pt idx="3">
                  <v>4</v>
                </pt>
                <pt idx="4">
                  <v>5</v>
                </pt>
                <pt idx="5">
                  <v>6</v>
                </pt>
                <pt idx="6">
                  <v>7</v>
                </pt>
                <pt idx="7">
                  <v>8</v>
                </pt>
                <pt idx="8">
                  <v>9</v>
                </pt>
                <pt idx="9">
                  <v>10</v>
                </pt>
                <pt idx="10">
                  <v>11</v>
                </pt>
              </numCache>
            </numRef>
          </cat>
          <val>
            <numRef>
              <f>Баги!$L$6:$L$16</f>
              <numCache>
                <formatCode>General</formatCode>
                <ptCount val="11"/>
                <pt idx="0">
                  <v>4</v>
                </pt>
                <pt idx="1">
                  <v>6</v>
                </pt>
                <pt idx="2">
                  <v>0</v>
                </pt>
                <pt idx="3">
                  <v>0</v>
                </pt>
                <pt idx="4">
                  <v>0</v>
                </pt>
                <pt idx="5">
                  <v>0</v>
                </pt>
                <pt idx="6">
                  <v>0</v>
                </pt>
                <pt idx="7">
                  <v>0</v>
                </pt>
                <pt idx="8">
                  <v>0</v>
                </pt>
                <pt idx="9">
                  <v>0</v>
                </pt>
                <pt idx="10">
                  <v>0</v>
                </pt>
              </numCache>
            </numRef>
          </val>
        </ser>
        <ser>
          <idx val="1"/>
          <order val="1"/>
          <tx>
            <strRef>
              <f>Баги!$M$5</f>
              <strCache>
                <ptCount val="1"/>
                <pt idx="0">
                  <v>Открыто</v>
                </pt>
              </strCache>
            </strRef>
          </tx>
          <spPr>
            <a:solidFill xmlns:a="http://schemas.openxmlformats.org/drawingml/2006/main">
              <a:srgbClr val="C00000"/>
            </a:solidFill>
            <a:ln xmlns:a="http://schemas.openxmlformats.org/drawingml/2006/main">
              <a:prstDash val="solid"/>
            </a:ln>
          </spPr>
          <invertIfNegative val="1"/>
          <cat>
            <numRef>
              <f>Баги!$J$6:$J$16</f>
              <numCache>
                <formatCode>General</formatCode>
                <ptCount val="11"/>
                <pt idx="0">
                  <v>1</v>
                </pt>
                <pt idx="1">
                  <v>2</v>
                </pt>
                <pt idx="2">
                  <v>3</v>
                </pt>
                <pt idx="3">
                  <v>4</v>
                </pt>
                <pt idx="4">
                  <v>5</v>
                </pt>
                <pt idx="5">
                  <v>6</v>
                </pt>
                <pt idx="6">
                  <v>7</v>
                </pt>
                <pt idx="7">
                  <v>8</v>
                </pt>
                <pt idx="8">
                  <v>9</v>
                </pt>
                <pt idx="9">
                  <v>10</v>
                </pt>
                <pt idx="10">
                  <v>11</v>
                </pt>
              </numCache>
            </numRef>
          </cat>
          <val>
            <numRef>
              <f>Баги!$M$6:$M$16</f>
              <numCache>
                <formatCode>General</formatCode>
                <ptCount val="11"/>
                <pt idx="0">
                  <v>1</v>
                </pt>
                <pt idx="1">
                  <v>0</v>
                </pt>
                <pt idx="2">
                  <v>2</v>
                </pt>
                <pt idx="3">
                  <v>0</v>
                </pt>
                <pt idx="4">
                  <v>0</v>
                </pt>
                <pt idx="5">
                  <v>0</v>
                </pt>
                <pt idx="6">
                  <v>0</v>
                </pt>
                <pt idx="7">
                  <v>0</v>
                </pt>
                <pt idx="8">
                  <v>0</v>
                </pt>
                <pt idx="9">
                  <v>0</v>
                </pt>
                <pt idx="10">
                  <v>0</v>
                </pt>
              </numCache>
            </numRef>
          </val>
        </ser>
        <dLbls>
          <showLegendKey val="0"/>
          <showVal val="0"/>
          <showCatName val="0"/>
          <showSerName val="0"/>
          <showPercent val="0"/>
          <showBubbleSize val="0"/>
        </dLbls>
        <gapWidth val="150"/>
        <overlap val="100"/>
        <axId val="10"/>
        <axId val="100"/>
      </bar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charts/chart23.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 закрытых по спринтам</a:t>
            </a:r>
          </a:p>
        </rich>
      </tx>
      <overlay val="1"/>
    </title>
    <plotArea>
      <layout/>
      <barChart>
        <barDir val="col"/>
        <grouping val="clustered"/>
        <varyColors val="1"/>
        <ser>
          <idx val="0"/>
          <order val="0"/>
          <tx>
            <strRef>
              <f>Баги!$N$5</f>
              <strCache>
                <ptCount val="1"/>
                <pt idx="0">
                  <v>% закрытых</v>
                </pt>
              </strCache>
            </strRef>
          </tx>
          <spPr>
            <a:solidFill xmlns:a="http://schemas.openxmlformats.org/drawingml/2006/main">
              <a:srgbClr val="4472C4"/>
            </a:solidFill>
            <a:ln xmlns:a="http://schemas.openxmlformats.org/drawingml/2006/main">
              <a:prstDash val="solid"/>
            </a:ln>
          </spPr>
          <invertIfNegative val="1"/>
          <cat>
            <numRef>
              <f>Баги!$J$6:$J$16</f>
              <numCache>
                <formatCode>General</formatCode>
                <ptCount val="11"/>
                <pt idx="0">
                  <v>1</v>
                </pt>
                <pt idx="1">
                  <v>2</v>
                </pt>
                <pt idx="2">
                  <v>3</v>
                </pt>
                <pt idx="3">
                  <v>4</v>
                </pt>
                <pt idx="4">
                  <v>5</v>
                </pt>
                <pt idx="5">
                  <v>6</v>
                </pt>
                <pt idx="6">
                  <v>7</v>
                </pt>
                <pt idx="7">
                  <v>8</v>
                </pt>
                <pt idx="8">
                  <v>9</v>
                </pt>
                <pt idx="9">
                  <v>10</v>
                </pt>
                <pt idx="10">
                  <v>11</v>
                </pt>
              </numCache>
            </numRef>
          </cat>
          <val>
            <numRef>
              <f>Баги!$N$6:$N$16</f>
              <numCache>
                <formatCode>0%</formatCode>
                <ptCount val="11"/>
                <pt idx="0">
                  <v>0.8</v>
                </pt>
                <pt idx="1">
                  <v>1</v>
                </pt>
                <pt idx="2">
                  <v>0</v>
                </pt>
                <pt idx="3">
                  <v>0</v>
                </pt>
                <pt idx="4">
                  <v>0</v>
                </pt>
                <pt idx="5">
                  <v>0</v>
                </pt>
                <pt idx="6">
                  <v>0</v>
                </pt>
                <pt idx="7">
                  <v>0</v>
                </pt>
                <pt idx="8">
                  <v>0</v>
                </pt>
                <pt idx="9">
                  <v>0</v>
                </pt>
                <pt idx="10">
                  <v>0</v>
                </pt>
              </numCache>
            </numRef>
          </val>
        </ser>
        <dLbls>
          <showLegendKey val="0"/>
          <showVal val="0"/>
          <showCatName val="0"/>
          <showSerName val="0"/>
          <showPercent val="0"/>
          <showBubbleSize val="0"/>
        </dLbls>
        <gapWidth val="150"/>
        <axId val="10"/>
        <axId val="100"/>
      </bar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0%" sourceLinked="0"/>
        <majorTickMark val="none"/>
        <minorTickMark val="none"/>
        <tickLblPos val="nextTo"/>
        <crossAx val="10"/>
        <crosses val="autoZero"/>
        <crossBetween val="between"/>
      </valAx>
    </plotArea>
    <plotVisOnly val="1"/>
    <dispBlanksAs val="gap"/>
  </chart>
</chartSpace>
</file>

<file path=xl/charts/chart24.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Доля багов по спринтам</a:t>
            </a:r>
          </a:p>
        </rich>
      </tx>
      <overlay val="1"/>
    </title>
    <plotArea>
      <layout/>
      <pieChart>
        <varyColors val="1"/>
        <ser>
          <idx val="0"/>
          <order val="0"/>
          <spPr>
            <a:ln xmlns:a="http://schemas.openxmlformats.org/drawingml/2006/main">
              <a:prstDash val="solid"/>
            </a:ln>
          </spPr>
          <dLbls>
            <spPr>
              <a:noFill xmlns:a="http://schemas.openxmlformats.org/drawingml/2006/main"/>
              <a:ln xmlns:a="http://schemas.openxmlformats.org/drawingml/2006/main">
                <a:noFill/>
                <a:prstDash val="solid"/>
              </a:ln>
            </spPr>
            <showLegendKey val="0"/>
            <showVal val="0"/>
            <showCatName val="0"/>
            <showSerName val="0"/>
            <showPercent val="1"/>
            <showBubbleSize val="1"/>
            <showLeaderLines val="1"/>
          </dLbls>
          <cat>
            <numRef>
              <f>Баги!$J$6:$J$16</f>
              <numCache>
                <formatCode>General</formatCode>
                <ptCount val="11"/>
                <pt idx="0">
                  <v>1</v>
                </pt>
                <pt idx="1">
                  <v>2</v>
                </pt>
                <pt idx="2">
                  <v>3</v>
                </pt>
                <pt idx="3">
                  <v>4</v>
                </pt>
                <pt idx="4">
                  <v>5</v>
                </pt>
                <pt idx="5">
                  <v>6</v>
                </pt>
                <pt idx="6">
                  <v>7</v>
                </pt>
                <pt idx="7">
                  <v>8</v>
                </pt>
                <pt idx="8">
                  <v>9</v>
                </pt>
                <pt idx="9">
                  <v>10</v>
                </pt>
                <pt idx="10">
                  <v>11</v>
                </pt>
              </numCache>
            </numRef>
          </cat>
          <val>
            <numRef>
              <f>Баги!$P$6:$P$16</f>
              <numCache>
                <formatCode>General</formatCode>
                <ptCount val="11"/>
                <pt idx="0">
                  <v>5</v>
                </pt>
                <pt idx="1">
                  <v>6</v>
                </pt>
                <pt idx="2">
                  <v>2</v>
                </pt>
                <pt idx="3">
                  <v>#N/A</v>
                </pt>
                <pt idx="4">
                  <v>#N/A</v>
                </pt>
                <pt idx="5">
                  <v>#N/A</v>
                </pt>
                <pt idx="6">
                  <v>#N/A</v>
                </pt>
                <pt idx="7">
                  <v>#N/A</v>
                </pt>
                <pt idx="8">
                  <v>#N/A</v>
                </pt>
                <pt idx="9">
                  <v>#N/A</v>
                </pt>
                <pt idx="10">
                  <v>#N/A</v>
                </pt>
              </numCache>
            </numRef>
          </val>
        </ser>
        <dLbls>
          <showLegendKey val="0"/>
          <showVal val="0"/>
          <showCatName val="0"/>
          <showSerName val="0"/>
          <showPercent val="1"/>
          <showBubbleSize val="1"/>
          <showLeaderLines val="1"/>
        </dLbls>
        <firstSliceAng val="0"/>
      </pieChart>
    </plotArea>
    <legend>
      <legendPos val="r"/>
      <overlay val="0"/>
    </legend>
    <plotVisOnly val="0"/>
    <dispBlanksAs val="gap"/>
  </chart>
</chartSpace>
</file>

<file path=xl/charts/chart25.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Cumulative Flow Diagram</a:t>
            </a:r>
          </a:p>
        </rich>
      </tx>
      <overlay val="0"/>
    </title>
    <plotArea>
      <layout/>
      <barChart>
        <barDir val="col"/>
        <grouping val="stacked"/>
        <varyColors val="1"/>
        <ser>
          <idx val="0"/>
          <order val="0"/>
          <tx>
            <strRef>
              <f>CFD!$B$4</f>
              <strCache>
                <ptCount val="1"/>
                <pt idx="0">
                  <v>To Do</v>
                </pt>
              </strCache>
            </strRef>
          </tx>
          <spPr>
            <a:solidFill xmlns:a="http://schemas.openxmlformats.org/drawingml/2006/main">
              <a:srgbClr val="BFBFBF"/>
            </a:solidFill>
            <a:ln xmlns:a="http://schemas.openxmlformats.org/drawingml/2006/main">
              <a:prstDash val="solid"/>
            </a:ln>
          </spPr>
          <invertIfNegative val="1"/>
          <cat>
            <numRef>
              <f>CFD!$A$5:$A$15</f>
              <numCache>
                <formatCode>General</formatCode>
                <ptCount val="11"/>
                <pt idx="0">
                  <v>0</v>
                </pt>
                <pt idx="1">
                  <v>1</v>
                </pt>
                <pt idx="2">
                  <v>2</v>
                </pt>
                <pt idx="3">
                  <v>3</v>
                </pt>
                <pt idx="4">
                  <v>4</v>
                </pt>
                <pt idx="5">
                  <v>5</v>
                </pt>
                <pt idx="6">
                  <v>6</v>
                </pt>
                <pt idx="7">
                  <v>7</v>
                </pt>
                <pt idx="8">
                  <v>8</v>
                </pt>
                <pt idx="9">
                  <v>9</v>
                </pt>
                <pt idx="10">
                  <v>10</v>
                </pt>
              </numCache>
            </numRef>
          </cat>
          <val>
            <numRef>
              <f>CFD!$B$5:$B$15</f>
              <numCache>
                <formatCode>General</formatCode>
                <ptCount val="11"/>
                <pt idx="0">
                  <v>8</v>
                </pt>
                <pt idx="1">
                  <v>7</v>
                </pt>
                <pt idx="2">
                  <v>6</v>
                </pt>
                <pt idx="3">
                  <v>5</v>
                </pt>
                <pt idx="4">
                  <v>4</v>
                </pt>
                <pt idx="5">
                  <v>3</v>
                </pt>
                <pt idx="6">
                  <v>3</v>
                </pt>
                <pt idx="7">
                  <v>2</v>
                </pt>
                <pt idx="8">
                  <v>1</v>
                </pt>
                <pt idx="9">
                  <v>1</v>
                </pt>
                <pt idx="10">
                  <v>0</v>
                </pt>
              </numCache>
            </numRef>
          </val>
        </ser>
        <ser>
          <idx val="1"/>
          <order val="1"/>
          <tx>
            <strRef>
              <f>CFD!$C$4</f>
              <strCache>
                <ptCount val="1"/>
                <pt idx="0">
                  <v>В работе</v>
                </pt>
              </strCache>
            </strRef>
          </tx>
          <spPr>
            <a:solidFill xmlns:a="http://schemas.openxmlformats.org/drawingml/2006/main">
              <a:srgbClr val="FFC000"/>
            </a:solidFill>
            <a:ln xmlns:a="http://schemas.openxmlformats.org/drawingml/2006/main">
              <a:prstDash val="solid"/>
            </a:ln>
          </spPr>
          <invertIfNegative val="1"/>
          <cat>
            <numRef>
              <f>CFD!$A$5:$A$15</f>
              <numCache>
                <formatCode>General</formatCode>
                <ptCount val="11"/>
                <pt idx="0">
                  <v>0</v>
                </pt>
                <pt idx="1">
                  <v>1</v>
                </pt>
                <pt idx="2">
                  <v>2</v>
                </pt>
                <pt idx="3">
                  <v>3</v>
                </pt>
                <pt idx="4">
                  <v>4</v>
                </pt>
                <pt idx="5">
                  <v>5</v>
                </pt>
                <pt idx="6">
                  <v>6</v>
                </pt>
                <pt idx="7">
                  <v>7</v>
                </pt>
                <pt idx="8">
                  <v>8</v>
                </pt>
                <pt idx="9">
                  <v>9</v>
                </pt>
                <pt idx="10">
                  <v>10</v>
                </pt>
              </numCache>
            </numRef>
          </cat>
          <val>
            <numRef>
              <f>CFD!$C$5:$C$15</f>
              <numCache>
                <formatCode>General</formatCode>
                <ptCount val="11"/>
                <pt idx="0">
                  <v>0</v>
                </pt>
                <pt idx="1">
                  <v>1</v>
                </pt>
                <pt idx="2">
                  <v>2</v>
                </pt>
                <pt idx="3">
                  <v>2</v>
                </pt>
                <pt idx="4">
                  <v>3</v>
                </pt>
                <pt idx="5">
                  <v>3</v>
                </pt>
                <pt idx="6">
                  <v>2</v>
                </pt>
                <pt idx="7">
                  <v>2</v>
                </pt>
                <pt idx="8">
                  <v>2</v>
                </pt>
                <pt idx="9">
                  <v>1</v>
                </pt>
                <pt idx="10">
                  <v>0</v>
                </pt>
              </numCache>
            </numRef>
          </val>
        </ser>
        <ser>
          <idx val="2"/>
          <order val="2"/>
          <tx>
            <strRef>
              <f>CFD!$D$4</f>
              <strCache>
                <ptCount val="1"/>
                <pt idx="0">
                  <v>Готово</v>
                </pt>
              </strCache>
            </strRef>
          </tx>
          <spPr>
            <a:solidFill xmlns:a="http://schemas.openxmlformats.org/drawingml/2006/main">
              <a:srgbClr val="70AD47"/>
            </a:solidFill>
            <a:ln xmlns:a="http://schemas.openxmlformats.org/drawingml/2006/main">
              <a:prstDash val="solid"/>
            </a:ln>
          </spPr>
          <invertIfNegative val="1"/>
          <cat>
            <numRef>
              <f>CFD!$A$5:$A$15</f>
              <numCache>
                <formatCode>General</formatCode>
                <ptCount val="11"/>
                <pt idx="0">
                  <v>0</v>
                </pt>
                <pt idx="1">
                  <v>1</v>
                </pt>
                <pt idx="2">
                  <v>2</v>
                </pt>
                <pt idx="3">
                  <v>3</v>
                </pt>
                <pt idx="4">
                  <v>4</v>
                </pt>
                <pt idx="5">
                  <v>5</v>
                </pt>
                <pt idx="6">
                  <v>6</v>
                </pt>
                <pt idx="7">
                  <v>7</v>
                </pt>
                <pt idx="8">
                  <v>8</v>
                </pt>
                <pt idx="9">
                  <v>9</v>
                </pt>
                <pt idx="10">
                  <v>10</v>
                </pt>
              </numCache>
            </numRef>
          </cat>
          <val>
            <numRef>
              <f>CFD!$D$5:$D$15</f>
              <numCache>
                <formatCode>General</formatCode>
                <ptCount val="11"/>
                <pt idx="0">
                  <v>0</v>
                </pt>
                <pt idx="1">
                  <v>0</v>
                </pt>
                <pt idx="2">
                  <v>0</v>
                </pt>
                <pt idx="3">
                  <v>1</v>
                </pt>
                <pt idx="4">
                  <v>1</v>
                </pt>
                <pt idx="5">
                  <v>2</v>
                </pt>
                <pt idx="6">
                  <v>3</v>
                </pt>
                <pt idx="7">
                  <v>4</v>
                </pt>
                <pt idx="8">
                  <v>5</v>
                </pt>
                <pt idx="9">
                  <v>6</v>
                </pt>
                <pt idx="10">
                  <v>8</v>
                </pt>
              </numCache>
            </numRef>
          </val>
        </ser>
        <dLbls>
          <showLegendKey val="0"/>
          <showVal val="0"/>
          <showCatName val="0"/>
          <showSerName val="0"/>
          <showPercent val="0"/>
          <showBubbleSize val="0"/>
        </dLbls>
        <gapWidth val="150"/>
        <overlap val="100"/>
        <axId val="10"/>
        <axId val="100"/>
      </barChart>
      <catAx>
        <axId val="10"/>
        <scaling>
          <orientation val="minMax"/>
        </scaling>
        <delete val="0"/>
        <axPos val="b"/>
        <title>
          <tx>
            <rich>
              <a:bodyPr xmlns:a="http://schemas.openxmlformats.org/drawingml/2006/main"/>
              <a:lstStyle xmlns:a="http://schemas.openxmlformats.org/drawingml/2006/main"/>
              <a:p xmlns:a="http://schemas.openxmlformats.org/drawingml/2006/main">
                <a:pPr>
                  <a:defRPr/>
                </a:pPr>
                <a:r>
                  <a:rPr lang="ru-RU"/>
                  <a:t>День спринта</a:t>
                </a:r>
              </a:p>
            </rich>
          </tx>
          <overlay val="1"/>
        </title>
        <numFmt formatCode="General" sourceLinked="1"/>
        <majorTickMark val="none"/>
        <minorTickMark val="none"/>
        <tickLblPos val="nextTo"/>
        <spPr>
          <a:ln xmlns:a="http://schemas.openxmlformats.org/drawingml/2006/main">
            <a:solidFill>
              <a:srgbClr val="808080"/>
            </a:solidFill>
            <a:prstDash val="solid"/>
          </a:ln>
        </spPr>
        <crossAx val="100"/>
        <crosses val="autoZero"/>
        <auto val="1"/>
        <lblAlgn val="ctr"/>
        <lblOffset val="100"/>
        <noMultiLvlLbl val="1"/>
      </catAx>
      <valAx>
        <axId val="100"/>
        <scaling>
          <orientation val="minMax"/>
        </scaling>
        <delete val="0"/>
        <axPos val="l"/>
        <majorGridlines/>
        <title>
          <tx>
            <rich>
              <a:bodyPr xmlns:a="http://schemas.openxmlformats.org/drawingml/2006/main"/>
              <a:lstStyle xmlns:a="http://schemas.openxmlformats.org/drawingml/2006/main"/>
              <a:p xmlns:a="http://schemas.openxmlformats.org/drawingml/2006/main">
                <a:pPr>
                  <a:defRPr/>
                </a:pPr>
                <a:r>
                  <a:rPr lang="ru-RU"/>
                  <a:t>Задач</a:t>
                </a:r>
              </a:p>
            </rich>
          </tx>
          <overlay val="1"/>
        </title>
        <numFmt formatCode="General" sourceLinked="1"/>
        <majorTickMark val="none"/>
        <minorTickMark val="none"/>
        <tickLblPos val="nextTo"/>
        <spPr>
          <a:ln xmlns:a="http://schemas.openxmlformats.org/drawingml/2006/main">
            <a:solidFill>
              <a:srgbClr val="808080"/>
            </a:solidFill>
            <a:prstDash val="solid"/>
          </a:ln>
        </spPr>
        <crossAx val="10"/>
        <crosses val="autoZero"/>
        <crossBetween val="between"/>
      </valAx>
    </plotArea>
    <legend>
      <legendPos val="r"/>
      <overlay val="0"/>
    </legend>
    <plotVisOnly val="1"/>
    <dispBlanksAs val="gap"/>
  </chart>
</chartSpace>
</file>

<file path=xl/charts/chart26.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 xml:space="preserve">Velocity: </a:t>
            </a:r>
            <a:r>
              <a:rPr lang="ru-RU"/>
              <a:t>тренд и прогноз</a:t>
            </a:r>
          </a:p>
        </rich>
      </tx>
      <overlay val="0"/>
    </title>
    <plotArea>
      <layout/>
      <lineChart>
        <grouping val="standard"/>
        <varyColors val="1"/>
        <ser>
          <idx val="0"/>
          <order val="0"/>
          <spPr>
            <a:ln xmlns:a="http://schemas.openxmlformats.org/drawingml/2006/main" w="26000">
              <a:solidFill>
                <a:srgbClr val="C00000"/>
              </a:solidFill>
              <a:prstDash val="solid"/>
            </a:ln>
          </spPr>
          <marker>
            <symbol val="none"/>
            <spPr>
              <a:ln xmlns:a="http://schemas.openxmlformats.org/drawingml/2006/main">
                <a:prstDash val="solid"/>
              </a:ln>
            </spPr>
          </marker>
          <trendline>
            <trendlineType val="linear"/>
            <forward val="3"/>
            <dispRSqr val="1"/>
            <dispEq val="0"/>
            <trendlineLbl>
              <numFmt formatCode="General" sourceLinked="0"/>
            </trendlineLbl>
          </trendline>
          <cat>
            <numRef>
              <f>'Метрики и прогноз'!$E$3:$E$13</f>
              <numCache>
                <formatCode>General</formatCode>
                <ptCount val="11"/>
                <pt idx="0">
                  <v>1</v>
                </pt>
                <pt idx="1">
                  <v>2</v>
                </pt>
                <pt idx="2">
                  <v>3</v>
                </pt>
                <pt idx="3">
                  <v>4</v>
                </pt>
                <pt idx="4">
                  <v>5</v>
                </pt>
                <pt idx="5">
                  <v>6</v>
                </pt>
                <pt idx="6">
                  <v>7</v>
                </pt>
                <pt idx="7">
                  <v>8</v>
                </pt>
                <pt idx="8">
                  <v>9</v>
                </pt>
                <pt idx="9">
                  <v>10</v>
                </pt>
                <pt idx="10">
                  <v>11</v>
                </pt>
              </numCache>
            </numRef>
          </cat>
          <val>
            <numRef>
              <f>'Метрики и прогноз'!$F$2:$F$13</f>
              <numCache>
                <formatCode>General</formatCode>
                <ptCount val="12"/>
                <pt idx="1">
                  <v>17</v>
                </pt>
                <pt idx="2">
                  <v>21</v>
                </pt>
                <pt idx="3">
                  <v>0</v>
                </pt>
                <pt idx="4">
                  <v>0</v>
                </pt>
                <pt idx="5">
                  <v>0</v>
                </pt>
                <pt idx="6">
                  <v>0</v>
                </pt>
                <pt idx="7">
                  <v>0</v>
                </pt>
                <pt idx="8">
                  <v>0</v>
                </pt>
                <pt idx="9">
                  <v>0</v>
                </pt>
                <pt idx="10">
                  <v>0</v>
                </pt>
                <pt idx="11">
                  <v>0</v>
                </pt>
              </numCache>
            </numRef>
          </val>
          <smooth val="1"/>
        </ser>
        <dLbls>
          <showLegendKey val="0"/>
          <showVal val="0"/>
          <showCatName val="0"/>
          <showSerName val="0"/>
          <showPercent val="0"/>
          <showBubbleSize val="0"/>
        </dLbls>
        <smooth val="0"/>
        <axId val="10"/>
        <axId val="100"/>
      </line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General" sourceLinked="1"/>
        <majorTickMark val="none"/>
        <minorTickMark val="none"/>
        <tickLblPos val="nextTo"/>
        <crossAx val="10"/>
        <crosses val="autoZero"/>
        <crossBetween val="between"/>
      </valAx>
    </plotArea>
    <plotVisOnly val="1"/>
    <dispBlanksAs val="gap"/>
  </chart>
</chartSpace>
</file>

<file path=xl/charts/chart27.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 xml:space="preserve">Throughput </a:t>
            </a:r>
            <a:r>
              <a:rPr lang="ru-RU"/>
              <a:t>по спринтам</a:t>
            </a:r>
          </a:p>
        </rich>
      </tx>
      <overlay val="0"/>
    </title>
    <plotArea>
      <layout/>
      <barChart>
        <barDir val="col"/>
        <grouping val="clustered"/>
        <varyColors val="1"/>
        <ser>
          <idx val="0"/>
          <order val="0"/>
          <tx>
            <strRef>
              <f>'Метрики и прогноз'!$B$11</f>
              <strCache>
                <ptCount val="1"/>
                <pt idx="0">
                  <v>Задач сделано</v>
                </pt>
              </strCache>
            </strRef>
          </tx>
          <spPr>
            <a:solidFill xmlns:a="http://schemas.openxmlformats.org/drawingml/2006/main">
              <a:srgbClr val="4472C4"/>
            </a:solidFill>
            <a:ln xmlns:a="http://schemas.openxmlformats.org/drawingml/2006/main">
              <a:prstDash val="solid"/>
            </a:ln>
          </spPr>
          <invertIfNegative val="1"/>
          <cat>
            <numRef>
              <f>'Метрики и прогноз'!$A$12:$A$22</f>
              <numCache>
                <formatCode>General</formatCode>
                <ptCount val="11"/>
                <pt idx="0">
                  <v>1</v>
                </pt>
                <pt idx="1">
                  <v>2</v>
                </pt>
                <pt idx="2">
                  <v>3</v>
                </pt>
                <pt idx="3">
                  <v>4</v>
                </pt>
                <pt idx="4">
                  <v>5</v>
                </pt>
                <pt idx="5">
                  <v>6</v>
                </pt>
                <pt idx="6">
                  <v>7</v>
                </pt>
                <pt idx="7">
                  <v>8</v>
                </pt>
                <pt idx="8">
                  <v>9</v>
                </pt>
                <pt idx="9">
                  <v>10</v>
                </pt>
                <pt idx="10">
                  <v>11</v>
                </pt>
              </numCache>
            </numRef>
          </cat>
          <val>
            <numRef>
              <f>'Метрики и прогноз'!$B$12:$B$22</f>
              <numCache>
                <formatCode>General</formatCode>
                <ptCount val="11"/>
                <pt idx="0">
                  <v>3</v>
                </pt>
                <pt idx="1">
                  <v>4</v>
                </pt>
                <pt idx="2">
                  <v>0</v>
                </pt>
                <pt idx="3">
                  <v>0</v>
                </pt>
                <pt idx="4">
                  <v>0</v>
                </pt>
                <pt idx="5">
                  <v>0</v>
                </pt>
                <pt idx="6">
                  <v>0</v>
                </pt>
                <pt idx="7">
                  <v>0</v>
                </pt>
                <pt idx="8">
                  <v>0</v>
                </pt>
                <pt idx="9">
                  <v>0</v>
                </pt>
                <pt idx="10">
                  <v>0</v>
                </pt>
              </numCache>
            </numRef>
          </val>
        </ser>
        <dLbls>
          <showLegendKey val="0"/>
          <showVal val="0"/>
          <showCatName val="0"/>
          <showSerName val="0"/>
          <showPercent val="0"/>
          <showBubbleSize val="0"/>
        </dLbls>
        <gapWidth val="150"/>
        <axId val="10"/>
        <axId val="100"/>
      </bar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General" sourceLinked="1"/>
        <majorTickMark val="none"/>
        <minorTickMark val="none"/>
        <tickLblPos val="nextTo"/>
        <crossAx val="10"/>
        <crosses val="autoZero"/>
        <crossBetween val="between"/>
      </valAx>
    </plotArea>
    <plotVisOnly val="1"/>
    <dispBlanksAs val="gap"/>
  </chart>
</chartSpace>
</file>

<file path=xl/charts/chart28.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Парето: причины багов</a:t>
            </a:r>
          </a:p>
        </rich>
      </tx>
      <overlay val="0"/>
    </title>
    <plotArea>
      <layout/>
      <barChart>
        <barDir val="col"/>
        <grouping val="clustered"/>
        <varyColors val="1"/>
        <ser>
          <idx val="0"/>
          <order val="0"/>
          <tx>
            <strRef>
              <f>'Метрики и прогноз'!$B$47</f>
              <strCache>
                <ptCount val="1"/>
                <pt idx="0">
                  <v>Кол-во</v>
                </pt>
              </strCache>
            </strRef>
          </tx>
          <spPr>
            <a:solidFill xmlns:a="http://schemas.openxmlformats.org/drawingml/2006/main">
              <a:srgbClr val="ED7D31"/>
            </a:solidFill>
            <a:ln xmlns:a="http://schemas.openxmlformats.org/drawingml/2006/main">
              <a:prstDash val="solid"/>
            </a:ln>
          </spPr>
          <invertIfNegative val="1"/>
          <cat>
            <strRef>
              <f>'Метрики и прогноз'!$A$48:$A$53</f>
              <strCache>
                <ptCount val="6"/>
                <pt idx="0">
                  <v>Интеграция</v>
                </pt>
                <pt idx="1">
                  <v>Код</v>
                </pt>
                <pt idx="2">
                  <v>Требования</v>
                </pt>
                <pt idx="3">
                  <v>Тестирование</v>
                </pt>
                <pt idx="4">
                  <v>Данные</v>
                </pt>
                <pt idx="5">
                  <v>Инфраструктура</v>
                </pt>
              </strCache>
            </strRef>
          </cat>
          <val>
            <numRef>
              <f>'Метрики и прогноз'!$B$48:$B$53</f>
              <numCache>
                <formatCode>General</formatCode>
                <ptCount val="6"/>
                <pt idx="0">
                  <v>4</v>
                </pt>
                <pt idx="1">
                  <v>3</v>
                </pt>
                <pt idx="2">
                  <v>3</v>
                </pt>
                <pt idx="3">
                  <v>2</v>
                </pt>
                <pt idx="4">
                  <v>1</v>
                </pt>
                <pt idx="5">
                  <v>0</v>
                </pt>
              </numCache>
            </numRef>
          </val>
        </ser>
        <dLbls>
          <showLegendKey val="0"/>
          <showVal val="0"/>
          <showCatName val="0"/>
          <showSerName val="0"/>
          <showPercent val="0"/>
          <showBubbleSize val="0"/>
        </dLbls>
        <gapWidth val="150"/>
        <axId val="10"/>
        <axId val="100"/>
      </barChart>
      <lineChart>
        <grouping val="standard"/>
        <varyColors val="1"/>
        <ser>
          <idx val="1"/>
          <order val="1"/>
          <tx>
            <strRef>
              <f>'Метрики и прогноз'!$C$47</f>
              <strCache>
                <ptCount val="1"/>
                <pt idx="0">
                  <v>Накопл. %</v>
                </pt>
              </strCache>
            </strRef>
          </tx>
          <spPr>
            <a:ln xmlns:a="http://schemas.openxmlformats.org/drawingml/2006/main">
              <a:solidFill>
                <a:srgbClr val="C00000"/>
              </a:solidFill>
              <a:prstDash val="solid"/>
            </a:ln>
          </spPr>
          <marker>
            <symbol val="none"/>
            <spPr>
              <a:ln xmlns:a="http://schemas.openxmlformats.org/drawingml/2006/main">
                <a:prstDash val="solid"/>
              </a:ln>
            </spPr>
          </marker>
          <val>
            <numRef>
              <f>'Метрики и прогноз'!$C$48:$C$53</f>
              <numCache>
                <formatCode>0%</formatCode>
                <ptCount val="6"/>
                <pt idx="0">
                  <v>0.3076923076923077</v>
                </pt>
                <pt idx="1">
                  <v>0.5384615384615384</v>
                </pt>
                <pt idx="2">
                  <v>0.7692307692307693</v>
                </pt>
                <pt idx="3">
                  <v>0.9230769230769231</v>
                </pt>
                <pt idx="4">
                  <v>1</v>
                </pt>
                <pt idx="5">
                  <v>1</v>
                </pt>
              </numCache>
            </numRef>
          </val>
          <smooth val="1"/>
        </ser>
        <dLbls>
          <showLegendKey val="0"/>
          <showVal val="0"/>
          <showCatName val="0"/>
          <showSerName val="0"/>
          <showPercent val="0"/>
          <showBubbleSize val="0"/>
        </dLbls>
        <marker val="1"/>
        <smooth val="0"/>
        <axId val="10"/>
        <axId val="200"/>
      </line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General" sourceLinked="1"/>
        <majorTickMark val="none"/>
        <minorTickMark val="none"/>
        <tickLblPos val="nextTo"/>
        <crossAx val="10"/>
        <crosses val="autoZero"/>
        <crossBetween val="between"/>
      </valAx>
      <valAx>
        <axId val="200"/>
        <scaling>
          <orientation val="minMax"/>
        </scaling>
        <delete val="1"/>
        <axPos val="r"/>
        <majorGridlines/>
        <numFmt formatCode="0%" sourceLinked="0"/>
        <majorTickMark val="none"/>
        <minorTickMark val="none"/>
        <tickLblPos val="nextTo"/>
        <crossAx val="10"/>
        <crosses val="max"/>
        <crossBetween val="between"/>
      </valAx>
    </plotArea>
    <legend>
      <legendPos val="r"/>
      <overlay val="1"/>
    </legend>
    <plotVisOnly val="1"/>
    <dispBlanksAs val="gap"/>
  </chart>
</chartSpace>
</file>

<file path=xl/charts/chart29.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 xml:space="preserve">Нагрузка по ролям: ёмкость </a:t>
            </a:r>
            <a:r>
              <a:rPr lang="en-US"/>
              <a:t xml:space="preserve">vs </a:t>
            </a:r>
            <a:r>
              <a:rPr lang="ru-RU"/>
              <a:t>спрос</a:t>
            </a:r>
          </a:p>
        </rich>
      </tx>
      <overlay val="0"/>
    </title>
    <plotArea>
      <layout/>
      <radarChart>
        <radarStyle val="filled"/>
        <varyColors val="1"/>
        <ser>
          <idx val="0"/>
          <order val="0"/>
          <tx>
            <strRef>
              <f>'Ёмкость на горизонт'!$B$11</f>
              <strCache>
                <ptCount val="1"/>
                <pt idx="0">
                  <v>Ёмкость (дн)</v>
                </pt>
              </strCache>
            </strRef>
          </tx>
          <spPr>
            <a:ln xmlns:a="http://schemas.openxmlformats.org/drawingml/2006/main">
              <a:prstDash val="solid"/>
            </a:ln>
          </spPr>
          <marker>
            <symbol val="none"/>
            <spPr>
              <a:ln xmlns:a="http://schemas.openxmlformats.org/drawingml/2006/main">
                <a:prstDash val="solid"/>
              </a:ln>
            </spPr>
          </marker>
          <cat>
            <strRef>
              <f>'Ёмкость на горизонт'!$A$12:$A$17</f>
              <strCache>
                <ptCount val="6"/>
                <pt idx="0">
                  <v>Backend</v>
                </pt>
                <pt idx="1">
                  <v>Frontend</v>
                </pt>
                <pt idx="2">
                  <v>QA</v>
                </pt>
                <pt idx="3">
                  <v>DevOps</v>
                </pt>
                <pt idx="4">
                  <v>Analyst</v>
                </pt>
                <pt idx="5">
                  <v>Designer</v>
                </pt>
              </strCache>
            </strRef>
          </cat>
          <val>
            <numRef>
              <f>'Ёмкость на горизонт'!$B$12:$B$17</f>
              <numCache>
                <formatCode>#\ ##0.0</formatCode>
                <ptCount val="6"/>
                <pt idx="0">
                  <v>339.9999999999999</v>
                </pt>
                <pt idx="1">
                  <v>258.3999999999999</v>
                </pt>
                <pt idx="2">
                  <v>155.52</v>
                </pt>
                <pt idx="3">
                  <v>69.11999999999999</v>
                </pt>
                <pt idx="4">
                  <v>127.6</v>
                </pt>
                <pt idx="5">
                  <v>69.11999999999999</v>
                </pt>
              </numCache>
            </numRef>
          </val>
        </ser>
        <ser>
          <idx val="1"/>
          <order val="1"/>
          <tx>
            <strRef>
              <f>'Ёмкость на горизонт'!$C$11</f>
              <strCache>
                <ptCount val="1"/>
                <pt idx="0">
                  <v>Спрос (дн)</v>
                </pt>
              </strCache>
            </strRef>
          </tx>
          <spPr>
            <a:ln xmlns:a="http://schemas.openxmlformats.org/drawingml/2006/main">
              <a:prstDash val="solid"/>
            </a:ln>
          </spPr>
          <marker>
            <symbol val="none"/>
            <spPr>
              <a:ln xmlns:a="http://schemas.openxmlformats.org/drawingml/2006/main">
                <a:prstDash val="solid"/>
              </a:ln>
            </spPr>
          </marker>
          <cat>
            <strRef>
              <f>'Ёмкость на горизонт'!$A$12:$A$17</f>
              <strCache>
                <ptCount val="6"/>
                <pt idx="0">
                  <v>Backend</v>
                </pt>
                <pt idx="1">
                  <v>Frontend</v>
                </pt>
                <pt idx="2">
                  <v>QA</v>
                </pt>
                <pt idx="3">
                  <v>DevOps</v>
                </pt>
                <pt idx="4">
                  <v>Analyst</v>
                </pt>
                <pt idx="5">
                  <v>Designer</v>
                </pt>
              </strCache>
            </strRef>
          </cat>
          <val>
            <numRef>
              <f>'Ёмкость на горизонт'!$C$12:$C$17</f>
              <numCache>
                <formatCode>#\ ##0.0</formatCode>
                <ptCount val="6"/>
                <pt idx="0">
                  <v>35</v>
                </pt>
                <pt idx="1">
                  <v>29</v>
                </pt>
                <pt idx="2">
                  <v>20</v>
                </pt>
                <pt idx="3">
                  <v>7</v>
                </pt>
                <pt idx="4">
                  <v>11</v>
                </pt>
                <pt idx="5">
                  <v>5</v>
                </pt>
              </numCache>
            </numRef>
          </val>
        </ser>
        <dLbls>
          <showLegendKey val="0"/>
          <showVal val="0"/>
          <showCatName val="0"/>
          <showSerName val="0"/>
          <showPercent val="0"/>
          <showBubbleSize val="0"/>
        </dLbls>
        <axId val="10"/>
        <axId val="100"/>
      </radarChart>
      <catAx>
        <axId val="10"/>
        <scaling>
          <orientation val="minMax"/>
        </scaling>
        <delete val="1"/>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1"/>
        <axPos val="l"/>
        <majorGridlines/>
        <numFmt formatCode="#\ ##0.0" sourceLinked="1"/>
        <majorTickMark val="none"/>
        <minorTickMark val="none"/>
        <tickLblPos val="nextTo"/>
        <crossAx val="10"/>
        <crosses val="autoZero"/>
        <crossBetween val="between"/>
      </valAx>
    </plotArea>
    <legend>
      <legendPos val="r"/>
      <overlay val="1"/>
    </legend>
    <plotVisOnly val="1"/>
    <dispBlanksAs val="gap"/>
  </chart>
</chartSpace>
</file>

<file path=xl/charts/chart30.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 xml:space="preserve">Burn-up </a:t>
            </a:r>
            <a:r>
              <a:rPr lang="ru-RU"/>
              <a:t>к релизу</a:t>
            </a:r>
          </a:p>
        </rich>
      </tx>
      <overlay val="0"/>
    </title>
    <plotArea>
      <layout/>
      <lineChart>
        <grouping val="standard"/>
        <varyColors val="1"/>
        <ser>
          <idx val="0"/>
          <order val="0"/>
          <tx>
            <strRef>
              <f>'Метрики и прогноз'!$F$18</f>
              <strCache>
                <ptCount val="1"/>
                <pt idx="0">
                  <v>Сделано (накопл.)</v>
                </pt>
              </strCache>
            </strRef>
          </tx>
          <spPr>
            <a:ln xmlns:a="http://schemas.openxmlformats.org/drawingml/2006/main" w="26000">
              <a:solidFill>
                <a:srgbClr val="70AD47"/>
              </a:solidFill>
              <a:prstDash val="solid"/>
            </a:ln>
          </spPr>
          <marker>
            <symbol val="none"/>
            <spPr>
              <a:ln xmlns:a="http://schemas.openxmlformats.org/drawingml/2006/main">
                <a:prstDash val="solid"/>
              </a:ln>
            </spPr>
          </marker>
          <cat>
            <numRef>
              <f>'Метрики и прогноз'!$E$19:$E$29</f>
              <numCache>
                <formatCode>#\ ##0.0</formatCode>
                <ptCount val="11"/>
                <pt idx="0">
                  <v>1</v>
                </pt>
                <pt idx="1">
                  <v>2</v>
                </pt>
                <pt idx="2">
                  <v>3</v>
                </pt>
                <pt idx="3">
                  <v>4</v>
                </pt>
                <pt idx="4">
                  <v>5</v>
                </pt>
                <pt idx="5">
                  <v>6</v>
                </pt>
                <pt idx="6">
                  <v>7</v>
                </pt>
                <pt idx="7">
                  <v>8</v>
                </pt>
                <pt idx="8">
                  <v>9</v>
                </pt>
                <pt idx="9">
                  <v>10</v>
                </pt>
                <pt idx="10">
                  <v>11</v>
                </pt>
              </numCache>
            </numRef>
          </cat>
          <val>
            <numRef>
              <f>'Метрики и прогноз'!$F$19:$F$29</f>
              <numCache>
                <formatCode>#\ ##0.0</formatCode>
                <ptCount val="11"/>
                <pt idx="0">
                  <v>17</v>
                </pt>
                <pt idx="1">
                  <v>38</v>
                </pt>
                <pt idx="2">
                  <v>38</v>
                </pt>
                <pt idx="3">
                  <v>38</v>
                </pt>
                <pt idx="4">
                  <v>38</v>
                </pt>
                <pt idx="5">
                  <v>38</v>
                </pt>
                <pt idx="6">
                  <v>38</v>
                </pt>
                <pt idx="7">
                  <v>38</v>
                </pt>
                <pt idx="8">
                  <v>38</v>
                </pt>
                <pt idx="9">
                  <v>38</v>
                </pt>
                <pt idx="10">
                  <v>38</v>
                </pt>
              </numCache>
            </numRef>
          </val>
          <smooth val="1"/>
        </ser>
        <ser>
          <idx val="1"/>
          <order val="1"/>
          <tx>
            <strRef>
              <f>'Метрики и прогноз'!$G$18</f>
              <strCache>
                <ptCount val="1"/>
                <pt idx="0">
                  <v>Объём (scope)</v>
                </pt>
              </strCache>
            </strRef>
          </tx>
          <spPr>
            <a:ln xmlns:a="http://schemas.openxmlformats.org/drawingml/2006/main">
              <a:solidFill>
                <a:srgbClr val="C00000"/>
              </a:solidFill>
              <a:prstDash val="dash"/>
            </a:ln>
          </spPr>
          <marker>
            <symbol val="none"/>
            <spPr>
              <a:ln xmlns:a="http://schemas.openxmlformats.org/drawingml/2006/main">
                <a:prstDash val="solid"/>
              </a:ln>
            </spPr>
          </marker>
          <cat>
            <numRef>
              <f>'Метрики и прогноз'!$E$19:$E$29</f>
              <numCache>
                <formatCode>#\ ##0.0</formatCode>
                <ptCount val="11"/>
                <pt idx="0">
                  <v>1</v>
                </pt>
                <pt idx="1">
                  <v>2</v>
                </pt>
                <pt idx="2">
                  <v>3</v>
                </pt>
                <pt idx="3">
                  <v>4</v>
                </pt>
                <pt idx="4">
                  <v>5</v>
                </pt>
                <pt idx="5">
                  <v>6</v>
                </pt>
                <pt idx="6">
                  <v>7</v>
                </pt>
                <pt idx="7">
                  <v>8</v>
                </pt>
                <pt idx="8">
                  <v>9</v>
                </pt>
                <pt idx="9">
                  <v>10</v>
                </pt>
                <pt idx="10">
                  <v>11</v>
                </pt>
              </numCache>
            </numRef>
          </cat>
          <val>
            <numRef>
              <f>'Метрики и прогноз'!$G$19:$G$29</f>
              <numCache>
                <formatCode>#\ ##0.0</formatCode>
                <ptCount val="11"/>
                <pt idx="0">
                  <v>107</v>
                </pt>
                <pt idx="1">
                  <v>107</v>
                </pt>
                <pt idx="2">
                  <v>107</v>
                </pt>
                <pt idx="3">
                  <v>107</v>
                </pt>
                <pt idx="4">
                  <v>107</v>
                </pt>
                <pt idx="5">
                  <v>107</v>
                </pt>
                <pt idx="6">
                  <v>107</v>
                </pt>
                <pt idx="7">
                  <v>107</v>
                </pt>
                <pt idx="8">
                  <v>107</v>
                </pt>
                <pt idx="9">
                  <v>107</v>
                </pt>
                <pt idx="10">
                  <v>107</v>
                </pt>
              </numCache>
            </numRef>
          </val>
          <smooth val="1"/>
        </ser>
        <dLbls>
          <showLegendKey val="0"/>
          <showVal val="0"/>
          <showCatName val="0"/>
          <showSerName val="0"/>
          <showPercent val="0"/>
          <showBubbleSize val="0"/>
        </dLbls>
        <smooth val="0"/>
        <axId val="10"/>
        <axId val="100"/>
      </lineChart>
      <catAx>
        <axId val="10"/>
        <scaling>
          <orientation val="minMax"/>
        </scaling>
        <delete val="0"/>
        <axPos val="b"/>
        <numFmt formatCode="#\ ##0.0"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 ##0.0" sourceLinked="1"/>
        <majorTickMark val="none"/>
        <minorTickMark val="none"/>
        <tickLblPos val="nextTo"/>
        <crossAx val="10"/>
        <crosses val="autoZero"/>
        <crossBetween val="between"/>
      </valAx>
    </plotArea>
    <legend>
      <legendPos val="b"/>
      <overlay val="0"/>
    </legend>
    <plotVisOnly val="1"/>
    <dispBlanksAs val="gap"/>
  </chart>
</chartSpace>
</file>

<file path=xl/charts/chart3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Cycle time (</a:t>
            </a:r>
            <a:r>
              <a:rPr lang="ru-RU"/>
              <a:t>контрольная карта)</a:t>
            </a:r>
          </a:p>
        </rich>
      </tx>
      <overlay val="0"/>
    </title>
    <plotArea>
      <layout/>
      <lineChart>
        <grouping val="standard"/>
        <varyColors val="1"/>
        <ser>
          <idx val="0"/>
          <order val="0"/>
          <tx>
            <strRef>
              <f>'Cycle time'!$G$9</f>
              <strCache>
                <ptCount val="1"/>
                <pt idx="0">
                  <v>Cycle (дн)</v>
                </pt>
              </strCache>
            </strRef>
          </tx>
          <spPr>
            <a:ln xmlns:a="http://schemas.openxmlformats.org/drawingml/2006/main" w="20000">
              <a:solidFill>
                <a:srgbClr val="4472C4"/>
              </a:solidFill>
              <a:prstDash val="solid"/>
            </a:ln>
          </spPr>
          <marker>
            <symbol val="circle"/>
            <size val="7"/>
            <spPr>
              <a:ln xmlns:a="http://schemas.openxmlformats.org/drawingml/2006/main">
                <a:prstDash val="solid"/>
              </a:ln>
            </spPr>
          </marker>
          <cat>
            <strRef>
              <f>'Cycle time'!$A$10:$A$29</f>
              <strCache>
                <ptCount val="20"/>
                <pt idx="0">
                  <v>T-01</v>
                </pt>
                <pt idx="1">
                  <v>T-02</v>
                </pt>
                <pt idx="2">
                  <v>T-09</v>
                </pt>
                <pt idx="3">
                  <v>T-10</v>
                </pt>
                <pt idx="4">
                  <v>T-03</v>
                </pt>
                <pt idx="5">
                  <v>T-04</v>
                </pt>
                <pt idx="6">
                  <v>T-08</v>
                </pt>
                <pt idx="7">
                  <v>T-11</v>
                </pt>
                <pt idx="8">
                  <v>T-12</v>
                </pt>
                <pt idx="9">
                  <v>T-05</v>
                </pt>
                <pt idx="10">
                  <v>T-06</v>
                </pt>
                <pt idx="11">
                  <v>T-07</v>
                </pt>
                <pt idx="12">
                  <v>T-13</v>
                </pt>
                <pt idx="13">
                  <v>T-14</v>
                </pt>
                <pt idx="14">
                  <v>T-15</v>
                </pt>
                <pt idx="15">
                  <v>T-16</v>
                </pt>
                <pt idx="16">
                  <v>T-17</v>
                </pt>
                <pt idx="17">
                  <v>T-18</v>
                </pt>
                <pt idx="18">
                  <v>T-19</v>
                </pt>
                <pt idx="19">
                  <v>T-20</v>
                </pt>
              </strCache>
            </strRef>
          </cat>
          <val>
            <numRef>
              <f>'Cycle time'!$G$10:$G$29</f>
              <numCache>
                <formatCode>General</formatCode>
                <ptCount val="20"/>
                <pt idx="0">
                  <v>3</v>
                </pt>
                <pt idx="1">
                  <v>8</v>
                </pt>
                <pt idx="2">
                  <v>2</v>
                </pt>
                <pt idx="3">
                  <v>#N/A</v>
                </pt>
                <pt idx="4">
                  <v>7</v>
                </pt>
                <pt idx="5">
                  <v>2</v>
                </pt>
                <pt idx="6">
                  <v>7</v>
                </pt>
                <pt idx="7">
                  <v>8</v>
                </pt>
                <pt idx="8">
                  <v>#N/A</v>
                </pt>
                <pt idx="9">
                  <v>#N/A</v>
                </pt>
                <pt idx="10">
                  <v>#N/A</v>
                </pt>
                <pt idx="11">
                  <v>#N/A</v>
                </pt>
                <pt idx="12">
                  <v>#N/A</v>
                </pt>
                <pt idx="13">
                  <v>#N/A</v>
                </pt>
                <pt idx="14">
                  <v>#N/A</v>
                </pt>
                <pt idx="15">
                  <v>#N/A</v>
                </pt>
                <pt idx="16">
                  <v>#N/A</v>
                </pt>
                <pt idx="17">
                  <v>#N/A</v>
                </pt>
                <pt idx="18">
                  <v>#N/A</v>
                </pt>
                <pt idx="19">
                  <v>#N/A</v>
                </pt>
              </numCache>
            </numRef>
          </val>
          <smooth val="1"/>
        </ser>
        <ser>
          <idx val="1"/>
          <order val="1"/>
          <tx>
            <strRef>
              <f>'Cycle time'!$C$9</f>
              <strCache>
                <ptCount val="1"/>
                <pt idx="0">
                  <v>CL</v>
                </pt>
              </strCache>
            </strRef>
          </tx>
          <spPr>
            <a:ln xmlns:a="http://schemas.openxmlformats.org/drawingml/2006/main" w="18000">
              <a:solidFill>
                <a:srgbClr val="000000"/>
              </a:solidFill>
              <a:prstDash val="solid"/>
            </a:ln>
          </spPr>
          <marker>
            <symbol val="none"/>
            <spPr>
              <a:ln xmlns:a="http://schemas.openxmlformats.org/drawingml/2006/main">
                <a:prstDash val="solid"/>
              </a:ln>
            </spPr>
          </marker>
          <cat>
            <strRef>
              <f>'Cycle time'!$A$10:$A$29</f>
              <strCache>
                <ptCount val="20"/>
                <pt idx="0">
                  <v>T-01</v>
                </pt>
                <pt idx="1">
                  <v>T-02</v>
                </pt>
                <pt idx="2">
                  <v>T-09</v>
                </pt>
                <pt idx="3">
                  <v>T-10</v>
                </pt>
                <pt idx="4">
                  <v>T-03</v>
                </pt>
                <pt idx="5">
                  <v>T-04</v>
                </pt>
                <pt idx="6">
                  <v>T-08</v>
                </pt>
                <pt idx="7">
                  <v>T-11</v>
                </pt>
                <pt idx="8">
                  <v>T-12</v>
                </pt>
                <pt idx="9">
                  <v>T-05</v>
                </pt>
                <pt idx="10">
                  <v>T-06</v>
                </pt>
                <pt idx="11">
                  <v>T-07</v>
                </pt>
                <pt idx="12">
                  <v>T-13</v>
                </pt>
                <pt idx="13">
                  <v>T-14</v>
                </pt>
                <pt idx="14">
                  <v>T-15</v>
                </pt>
                <pt idx="15">
                  <v>T-16</v>
                </pt>
                <pt idx="16">
                  <v>T-17</v>
                </pt>
                <pt idx="17">
                  <v>T-18</v>
                </pt>
                <pt idx="18">
                  <v>T-19</v>
                </pt>
                <pt idx="19">
                  <v>T-20</v>
                </pt>
              </strCache>
            </strRef>
          </cat>
          <val>
            <numRef>
              <f>'Cycle time'!$C$10:$C$29</f>
              <numCache>
                <formatCode>General</formatCode>
                <ptCount val="20"/>
                <pt idx="0">
                  <v>5.285714285714286</v>
                </pt>
                <pt idx="1">
                  <v>5.285714285714286</v>
                </pt>
                <pt idx="2">
                  <v>5.285714285714286</v>
                </pt>
                <pt idx="3">
                  <v>5.285714285714286</v>
                </pt>
                <pt idx="4">
                  <v>5.285714285714286</v>
                </pt>
                <pt idx="5">
                  <v>5.285714285714286</v>
                </pt>
                <pt idx="6">
                  <v>5.285714285714286</v>
                </pt>
                <pt idx="7">
                  <v>5.285714285714286</v>
                </pt>
                <pt idx="8">
                  <v>5.285714285714286</v>
                </pt>
                <pt idx="9">
                  <v>5.285714285714286</v>
                </pt>
                <pt idx="10">
                  <v>5.285714285714286</v>
                </pt>
                <pt idx="11">
                  <v>5.285714285714286</v>
                </pt>
                <pt idx="12">
                  <v>5.285714285714286</v>
                </pt>
                <pt idx="13">
                  <v>5.285714285714286</v>
                </pt>
                <pt idx="14">
                  <v>5.285714285714286</v>
                </pt>
                <pt idx="15">
                  <v>5.285714285714286</v>
                </pt>
                <pt idx="16">
                  <v>5.285714285714286</v>
                </pt>
                <pt idx="17">
                  <v>5.285714285714286</v>
                </pt>
                <pt idx="18">
                  <v>5.285714285714286</v>
                </pt>
                <pt idx="19">
                  <v>5.285714285714286</v>
                </pt>
              </numCache>
            </numRef>
          </val>
          <smooth val="1"/>
        </ser>
        <ser>
          <idx val="2"/>
          <order val="2"/>
          <tx>
            <strRef>
              <f>'Cycle time'!$D$9</f>
              <strCache>
                <ptCount val="1"/>
                <pt idx="0">
                  <v>UCL</v>
                </pt>
              </strCache>
            </strRef>
          </tx>
          <spPr>
            <a:ln xmlns:a="http://schemas.openxmlformats.org/drawingml/2006/main">
              <a:solidFill>
                <a:srgbClr val="C00000"/>
              </a:solidFill>
              <a:prstDash val="dash"/>
            </a:ln>
          </spPr>
          <marker>
            <symbol val="none"/>
            <spPr>
              <a:ln xmlns:a="http://schemas.openxmlformats.org/drawingml/2006/main">
                <a:prstDash val="solid"/>
              </a:ln>
            </spPr>
          </marker>
          <cat>
            <strRef>
              <f>'Cycle time'!$A$10:$A$29</f>
              <strCache>
                <ptCount val="20"/>
                <pt idx="0">
                  <v>T-01</v>
                </pt>
                <pt idx="1">
                  <v>T-02</v>
                </pt>
                <pt idx="2">
                  <v>T-09</v>
                </pt>
                <pt idx="3">
                  <v>T-10</v>
                </pt>
                <pt idx="4">
                  <v>T-03</v>
                </pt>
                <pt idx="5">
                  <v>T-04</v>
                </pt>
                <pt idx="6">
                  <v>T-08</v>
                </pt>
                <pt idx="7">
                  <v>T-11</v>
                </pt>
                <pt idx="8">
                  <v>T-12</v>
                </pt>
                <pt idx="9">
                  <v>T-05</v>
                </pt>
                <pt idx="10">
                  <v>T-06</v>
                </pt>
                <pt idx="11">
                  <v>T-07</v>
                </pt>
                <pt idx="12">
                  <v>T-13</v>
                </pt>
                <pt idx="13">
                  <v>T-14</v>
                </pt>
                <pt idx="14">
                  <v>T-15</v>
                </pt>
                <pt idx="15">
                  <v>T-16</v>
                </pt>
                <pt idx="16">
                  <v>T-17</v>
                </pt>
                <pt idx="17">
                  <v>T-18</v>
                </pt>
                <pt idx="18">
                  <v>T-19</v>
                </pt>
                <pt idx="19">
                  <v>T-20</v>
                </pt>
              </strCache>
            </strRef>
          </cat>
          <val>
            <numRef>
              <f>'Cycle time'!$D$10:$D$29</f>
              <numCache>
                <formatCode>General</formatCode>
                <ptCount val="20"/>
                <pt idx="0">
                  <v>13.72033681092886</v>
                </pt>
                <pt idx="1">
                  <v>13.72033681092886</v>
                </pt>
                <pt idx="2">
                  <v>13.72033681092886</v>
                </pt>
                <pt idx="3">
                  <v>13.72033681092886</v>
                </pt>
                <pt idx="4">
                  <v>13.72033681092886</v>
                </pt>
                <pt idx="5">
                  <v>13.72033681092886</v>
                </pt>
                <pt idx="6">
                  <v>13.72033681092886</v>
                </pt>
                <pt idx="7">
                  <v>13.72033681092886</v>
                </pt>
                <pt idx="8">
                  <v>13.72033681092886</v>
                </pt>
                <pt idx="9">
                  <v>13.72033681092886</v>
                </pt>
                <pt idx="10">
                  <v>13.72033681092886</v>
                </pt>
                <pt idx="11">
                  <v>13.72033681092886</v>
                </pt>
                <pt idx="12">
                  <v>13.72033681092886</v>
                </pt>
                <pt idx="13">
                  <v>13.72033681092886</v>
                </pt>
                <pt idx="14">
                  <v>13.72033681092886</v>
                </pt>
                <pt idx="15">
                  <v>13.72033681092886</v>
                </pt>
                <pt idx="16">
                  <v>13.72033681092886</v>
                </pt>
                <pt idx="17">
                  <v>13.72033681092886</v>
                </pt>
                <pt idx="18">
                  <v>13.72033681092886</v>
                </pt>
                <pt idx="19">
                  <v>13.72033681092886</v>
                </pt>
              </numCache>
            </numRef>
          </val>
          <smooth val="1"/>
        </ser>
        <ser>
          <idx val="3"/>
          <order val="3"/>
          <tx>
            <strRef>
              <f>'Cycle time'!$E$9</f>
              <strCache>
                <ptCount val="1"/>
                <pt idx="0">
                  <v>LCL</v>
                </pt>
              </strCache>
            </strRef>
          </tx>
          <spPr>
            <a:ln xmlns:a="http://schemas.openxmlformats.org/drawingml/2006/main">
              <a:solidFill>
                <a:srgbClr val="C00000"/>
              </a:solidFill>
              <a:prstDash val="dash"/>
            </a:ln>
          </spPr>
          <marker>
            <symbol val="none"/>
            <spPr>
              <a:ln xmlns:a="http://schemas.openxmlformats.org/drawingml/2006/main">
                <a:prstDash val="solid"/>
              </a:ln>
            </spPr>
          </marker>
          <cat>
            <strRef>
              <f>'Cycle time'!$A$10:$A$29</f>
              <strCache>
                <ptCount val="20"/>
                <pt idx="0">
                  <v>T-01</v>
                </pt>
                <pt idx="1">
                  <v>T-02</v>
                </pt>
                <pt idx="2">
                  <v>T-09</v>
                </pt>
                <pt idx="3">
                  <v>T-10</v>
                </pt>
                <pt idx="4">
                  <v>T-03</v>
                </pt>
                <pt idx="5">
                  <v>T-04</v>
                </pt>
                <pt idx="6">
                  <v>T-08</v>
                </pt>
                <pt idx="7">
                  <v>T-11</v>
                </pt>
                <pt idx="8">
                  <v>T-12</v>
                </pt>
                <pt idx="9">
                  <v>T-05</v>
                </pt>
                <pt idx="10">
                  <v>T-06</v>
                </pt>
                <pt idx="11">
                  <v>T-07</v>
                </pt>
                <pt idx="12">
                  <v>T-13</v>
                </pt>
                <pt idx="13">
                  <v>T-14</v>
                </pt>
                <pt idx="14">
                  <v>T-15</v>
                </pt>
                <pt idx="15">
                  <v>T-16</v>
                </pt>
                <pt idx="16">
                  <v>T-17</v>
                </pt>
                <pt idx="17">
                  <v>T-18</v>
                </pt>
                <pt idx="18">
                  <v>T-19</v>
                </pt>
                <pt idx="19">
                  <v>T-20</v>
                </pt>
              </strCache>
            </strRef>
          </cat>
          <val>
            <numRef>
              <f>'Cycle time'!$E$10:$E$29</f>
              <numCache>
                <formatCode>General</formatCode>
                <ptCount val="20"/>
                <pt idx="0">
                  <v>0</v>
                </pt>
                <pt idx="1">
                  <v>0</v>
                </pt>
                <pt idx="2">
                  <v>0</v>
                </pt>
                <pt idx="3">
                  <v>0</v>
                </pt>
                <pt idx="4">
                  <v>0</v>
                </pt>
                <pt idx="5">
                  <v>0</v>
                </pt>
                <pt idx="6">
                  <v>0</v>
                </pt>
                <pt idx="7">
                  <v>0</v>
                </pt>
                <pt idx="8">
                  <v>0</v>
                </pt>
                <pt idx="9">
                  <v>0</v>
                </pt>
                <pt idx="10">
                  <v>0</v>
                </pt>
                <pt idx="11">
                  <v>0</v>
                </pt>
                <pt idx="12">
                  <v>0</v>
                </pt>
                <pt idx="13">
                  <v>0</v>
                </pt>
                <pt idx="14">
                  <v>0</v>
                </pt>
                <pt idx="15">
                  <v>0</v>
                </pt>
                <pt idx="16">
                  <v>0</v>
                </pt>
                <pt idx="17">
                  <v>0</v>
                </pt>
                <pt idx="18">
                  <v>0</v>
                </pt>
                <pt idx="19">
                  <v>0</v>
                </pt>
              </numCache>
            </numRef>
          </val>
          <smooth val="1"/>
        </ser>
        <dLbls>
          <showLegendKey val="0"/>
          <showVal val="0"/>
          <showCatName val="0"/>
          <showSerName val="0"/>
          <showPercent val="0"/>
          <showBubbleSize val="0"/>
        </dLbls>
        <marker val="1"/>
        <smooth val="0"/>
        <axId val="10"/>
        <axId val="100"/>
      </line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General" sourceLinked="1"/>
        <majorTickMark val="none"/>
        <minorTickMark val="none"/>
        <tickLblPos val="nextTo"/>
        <crossAx val="10"/>
        <crosses val="autoZero"/>
        <crossBetween val="between"/>
      </valAx>
    </plotArea>
    <legend>
      <legendPos val="b"/>
      <overlay val="0"/>
    </legend>
    <plotVisOnly val="0"/>
    <dispBlanksAs val="gap"/>
  </chart>
</chartSpace>
</file>

<file path=xl/charts/chart3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Матрица рисков (Вероятность × Влияние)</a:t>
            </a:r>
          </a:p>
        </rich>
      </tx>
      <overlay val="0"/>
    </title>
    <plotArea>
      <layout/>
      <scatterChart>
        <scatterStyle val="lineMarker"/>
        <varyColors val="1"/>
        <ser>
          <idx val="0"/>
          <order val="0"/>
          <tx>
            <v>Риски</v>
          </tx>
          <spPr>
            <a:ln xmlns:a="http://schemas.openxmlformats.org/drawingml/2006/main">
              <a:noFill/>
              <a:prstDash val="solid"/>
            </a:ln>
          </spPr>
          <marker>
            <symbol val="circle"/>
            <size val="9"/>
            <spPr>
              <a:ln xmlns:a="http://schemas.openxmlformats.org/drawingml/2006/main">
                <a:prstDash val="solid"/>
              </a:ln>
            </spPr>
          </marker>
          <xVal>
            <numRef>
              <f>Риски!$C$5:$C$8</f>
              <numCache>
                <formatCode>General</formatCode>
                <ptCount val="4"/>
                <pt idx="0">
                  <v>4</v>
                </pt>
                <pt idx="1">
                  <v>5</v>
                </pt>
                <pt idx="2">
                  <v>3</v>
                </pt>
                <pt idx="3">
                  <v>2</v>
                </pt>
              </numCache>
            </numRef>
          </xVal>
          <yVal>
            <numRef>
              <f>Риски!$D$5:$D$8</f>
              <numCache>
                <formatCode>General</formatCode>
                <ptCount val="4"/>
                <pt idx="0">
                  <v>5</v>
                </pt>
                <pt idx="1">
                  <v>3</v>
                </pt>
                <pt idx="2">
                  <v>4</v>
                </pt>
                <pt idx="3">
                  <v>4</v>
                </pt>
              </numCache>
            </numRef>
          </yVal>
          <smooth val="1"/>
        </ser>
        <dLbls>
          <showLegendKey val="0"/>
          <showVal val="0"/>
          <showCatName val="0"/>
          <showSerName val="0"/>
          <showPercent val="0"/>
          <showBubbleSize val="0"/>
        </dLbls>
        <axId val="10"/>
        <axId val="20"/>
      </scatterChart>
      <valAx>
        <axId val="10"/>
        <scaling>
          <orientation val="minMax"/>
          <max val="5"/>
          <min val="0"/>
        </scaling>
        <delete val="0"/>
        <axPos val="b"/>
        <majorGridlines/>
        <title>
          <tx>
            <rich>
              <a:bodyPr xmlns:a="http://schemas.openxmlformats.org/drawingml/2006/main"/>
              <a:lstStyle xmlns:a="http://schemas.openxmlformats.org/drawingml/2006/main"/>
              <a:p xmlns:a="http://schemas.openxmlformats.org/drawingml/2006/main">
                <a:pPr>
                  <a:defRPr/>
                </a:pPr>
                <a:r>
                  <a:rPr lang="ru-RU"/>
                  <a:t>Вероятность</a:t>
                </a:r>
              </a:p>
            </rich>
          </tx>
          <overlay val="1"/>
        </title>
        <numFmt formatCode="General" sourceLinked="1"/>
        <majorTickMark val="none"/>
        <minorTickMark val="none"/>
        <tickLblPos val="nextTo"/>
        <spPr>
          <a:ln xmlns:a="http://schemas.openxmlformats.org/drawingml/2006/main">
            <a:solidFill>
              <a:srgbClr val="808080"/>
            </a:solidFill>
            <a:prstDash val="solid"/>
          </a:ln>
        </spPr>
        <crossAx val="20"/>
        <crosses val="autoZero"/>
        <crossBetween val="midCat"/>
      </valAx>
      <valAx>
        <axId val="20"/>
        <scaling>
          <orientation val="minMax"/>
          <max val="5"/>
          <min val="0"/>
        </scaling>
        <delete val="0"/>
        <axPos val="l"/>
        <majorGridlines/>
        <title>
          <tx>
            <rich>
              <a:bodyPr xmlns:a="http://schemas.openxmlformats.org/drawingml/2006/main"/>
              <a:lstStyle xmlns:a="http://schemas.openxmlformats.org/drawingml/2006/main"/>
              <a:p xmlns:a="http://schemas.openxmlformats.org/drawingml/2006/main">
                <a:pPr>
                  <a:defRPr/>
                </a:pPr>
                <a:r>
                  <a:rPr lang="ru-RU"/>
                  <a:t>Влияние</a:t>
                </a:r>
              </a:p>
            </rich>
          </tx>
          <overlay val="1"/>
        </title>
        <numFmt formatCode="General" sourceLinked="1"/>
        <majorTickMark val="none"/>
        <minorTickMark val="none"/>
        <tickLblPos val="nextTo"/>
        <spPr>
          <a:ln xmlns:a="http://schemas.openxmlformats.org/drawingml/2006/main">
            <a:solidFill>
              <a:srgbClr val="808080"/>
            </a:solidFill>
            <a:prstDash val="solid"/>
          </a:ln>
        </spPr>
        <crossAx val="10"/>
        <crosses val="autoZero"/>
        <crossBetween val="midCat"/>
      </valAx>
    </plotArea>
    <legend>
      <legendPos val="r"/>
      <overlay val="0"/>
    </legend>
    <plotVisOnly val="1"/>
    <dispBlanksAs val="gap"/>
  </chart>
</chartSpace>
</file>

<file path=xl/charts/chart33.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Риски по баллу (Вероятность × Влияние)</a:t>
            </a:r>
          </a:p>
        </rich>
      </tx>
      <overlay val="0"/>
    </title>
    <plotArea>
      <layout/>
      <barChart>
        <barDir val="bar"/>
        <grouping val="clustered"/>
        <varyColors val="1"/>
        <ser>
          <idx val="0"/>
          <order val="0"/>
          <tx>
            <strRef>
              <f>'Матрица рисков'!$E$4</f>
              <strCache>
                <ptCount val="1"/>
                <pt idx="0">
                  <v>Балл</v>
                </pt>
              </strCache>
            </strRef>
          </tx>
          <spPr>
            <a:solidFill xmlns:a="http://schemas.openxmlformats.org/drawingml/2006/main">
              <a:srgbClr val="C00000"/>
            </a:solidFill>
            <a:ln xmlns:a="http://schemas.openxmlformats.org/drawingml/2006/main">
              <a:prstDash val="solid"/>
            </a:ln>
          </spPr>
          <invertIfNegative val="1"/>
          <cat>
            <strRef>
              <f>'Матрица рисков'!$B$5:$B$8</f>
              <strCache>
                <ptCount val="4"/>
                <pt idx="0">
                  <v>Зависимость от внешнего API оплаты</v>
                </pt>
                <pt idx="1">
                  <v>Отпуска в декабре (Спринт 11)</v>
                </pt>
                <pt idx="2">
                  <v>Недооценка интеграции</v>
                </pt>
                <pt idx="3">
                  <v>Текучесть в QA</v>
                </pt>
              </strCache>
            </strRef>
          </cat>
          <val>
            <numRef>
              <f>'Матрица рисков'!$E$5:$E$8</f>
              <numCache>
                <formatCode>General</formatCode>
                <ptCount val="4"/>
                <pt idx="0">
                  <v>20</v>
                </pt>
                <pt idx="1">
                  <v>15</v>
                </pt>
                <pt idx="2">
                  <v>12</v>
                </pt>
                <pt idx="3">
                  <v>8</v>
                </pt>
              </numCache>
            </numRef>
          </val>
        </ser>
        <dLbls>
          <showLegendKey val="0"/>
          <showVal val="0"/>
          <showCatName val="0"/>
          <showSerName val="0"/>
          <showPercent val="0"/>
          <showBubbleSize val="0"/>
        </dLbls>
        <gapWidth val="150"/>
        <axId val="10"/>
        <axId val="100"/>
      </barChart>
      <catAx>
        <axId val="10"/>
        <scaling>
          <orientation val="minMax"/>
        </scaling>
        <delete val="0"/>
        <axPos val="l"/>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b"/>
        <majorGridlines/>
        <numFmt formatCode="General" sourceLinked="1"/>
        <majorTickMark val="none"/>
        <minorTickMark val="none"/>
        <tickLblPos val="nextTo"/>
        <crossAx val="10"/>
        <crosses val="autoZero"/>
        <crossBetween val="between"/>
      </valAx>
    </plotArea>
    <plotVisOnly val="1"/>
    <dispBlanksAs val="gap"/>
  </chart>
</chartSpace>
</file>

<file path=xl/charts/chart34.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Дней по исполнителям</a:t>
            </a:r>
          </a:p>
        </rich>
      </tx>
      <overlay val="0"/>
    </title>
    <plotArea>
      <layout/>
      <barChart>
        <barDir val="bar"/>
        <grouping val="clustered"/>
        <varyColors val="1"/>
        <ser>
          <idx val="0"/>
          <order val="0"/>
          <tx>
            <strRef>
              <f>Распределение!$C$4</f>
              <strCache>
                <ptCount val="1"/>
                <pt idx="0">
                  <v>Дней</v>
                </pt>
              </strCache>
            </strRef>
          </tx>
          <spPr>
            <a:solidFill xmlns:a="http://schemas.openxmlformats.org/drawingml/2006/main">
              <a:srgbClr val="8EAADB"/>
            </a:solidFill>
            <a:ln xmlns:a="http://schemas.openxmlformats.org/drawingml/2006/main">
              <a:prstDash val="solid"/>
            </a:ln>
          </spPr>
          <invertIfNegative val="1"/>
          <cat>
            <strRef>
              <f>Распределение!$A$5:$A$17</f>
              <strCache>
                <ptCount val="13"/>
                <pt idx="0">
                  <v>Иванов А.</v>
                </pt>
                <pt idx="1">
                  <v>Петрова М.</v>
                </pt>
                <pt idx="2">
                  <v>Сидоров К.</v>
                </pt>
                <pt idx="3">
                  <v>Кузнецов Д.</v>
                </pt>
                <pt idx="4">
                  <v>Орлова Е.</v>
                </pt>
                <pt idx="5">
                  <v>Смирнов П.</v>
                </pt>
                <pt idx="6">
                  <v>Волкова Н.</v>
                </pt>
                <pt idx="7">
                  <v>Морозов И.</v>
                </pt>
                <pt idx="8">
                  <v>Новиков А.</v>
                </pt>
                <pt idx="9">
                  <v>Фёдорова О.</v>
                </pt>
                <pt idx="10">
                  <v>Козлов В.</v>
                </pt>
                <pt idx="11">
                  <v>Лебедева Т.</v>
                </pt>
                <pt idx="12">
                  <v>Соколов Р.</v>
                </pt>
              </strCache>
            </strRef>
          </cat>
          <val>
            <numRef>
              <f>Распределение!$C$5:$C$17</f>
              <numCache>
                <formatCode>#\ ##0.0</formatCode>
                <ptCount val="13"/>
                <pt idx="0">
                  <v>5</v>
                </pt>
                <pt idx="1">
                  <v>0</v>
                </pt>
                <pt idx="2">
                  <v>5</v>
                </pt>
                <pt idx="3">
                  <v>3</v>
                </pt>
                <pt idx="4">
                  <v>3</v>
                </pt>
                <pt idx="5">
                  <v>0</v>
                </pt>
                <pt idx="6">
                  <v>8</v>
                </pt>
                <pt idx="7">
                  <v>0</v>
                </pt>
                <pt idx="8">
                  <v>0</v>
                </pt>
                <pt idx="9">
                  <v>0</v>
                </pt>
                <pt idx="10">
                  <v>0</v>
                </pt>
                <pt idx="11">
                  <v>0</v>
                </pt>
                <pt idx="12">
                  <v>5</v>
                </pt>
              </numCache>
            </numRef>
          </val>
        </ser>
        <dLbls>
          <showLegendKey val="0"/>
          <showVal val="0"/>
          <showCatName val="0"/>
          <showSerName val="0"/>
          <showPercent val="0"/>
          <showBubbleSize val="0"/>
        </dLbls>
        <gapWidth val="150"/>
        <axId val="10"/>
        <axId val="100"/>
      </barChart>
      <catAx>
        <axId val="10"/>
        <scaling>
          <orientation val="minMax"/>
        </scaling>
        <delete val="0"/>
        <axPos val="l"/>
        <numFmt formatCode="General" sourceLinked="1"/>
        <majorTickMark val="none"/>
        <minorTickMark val="none"/>
        <tickLblPos val="nextTo"/>
        <spPr>
          <a:ln xmlns:a="http://schemas.openxmlformats.org/drawingml/2006/main">
            <a:solidFill>
              <a:srgbClr val="808080"/>
            </a:solidFill>
            <a:prstDash val="solid"/>
          </a:ln>
        </spPr>
        <crossAx val="100"/>
        <crosses val="autoZero"/>
        <auto val="1"/>
        <lblAlgn val="ctr"/>
        <lblOffset val="100"/>
        <noMultiLvlLbl val="1"/>
      </catAx>
      <valAx>
        <axId val="100"/>
        <scaling>
          <orientation val="minMax"/>
        </scaling>
        <delete val="0"/>
        <axPos val="b"/>
        <majorGridlines/>
        <title>
          <tx>
            <rich>
              <a:bodyPr xmlns:a="http://schemas.openxmlformats.org/drawingml/2006/main"/>
              <a:lstStyle xmlns:a="http://schemas.openxmlformats.org/drawingml/2006/main"/>
              <a:p xmlns:a="http://schemas.openxmlformats.org/drawingml/2006/main">
                <a:pPr>
                  <a:defRPr/>
                </a:pPr>
                <a:r>
                  <a:rPr lang="ru-RU"/>
                  <a:t>Дней</a:t>
                </a:r>
              </a:p>
            </rich>
          </tx>
          <overlay val="1"/>
        </title>
        <numFmt formatCode="#\ ##0.0" sourceLinked="1"/>
        <majorTickMark val="none"/>
        <minorTickMark val="none"/>
        <tickLblPos val="nextTo"/>
        <spPr>
          <a:ln xmlns:a="http://schemas.openxmlformats.org/drawingml/2006/main">
            <a:solidFill>
              <a:srgbClr val="808080"/>
            </a:solidFill>
            <a:prstDash val="solid"/>
          </a:ln>
        </spPr>
        <crossAx val="10"/>
        <crosses val="autoZero"/>
        <crossBetween val="between"/>
      </valAx>
    </plotArea>
    <plotVisOnly val="1"/>
    <dispBlanksAs val="gap"/>
  </chart>
</chartSpace>
</file>

<file path=xl/charts/chart35.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t>Time to Market по задачам (цель 15 дн, линия тренда)</a:t>
            </a:r>
          </a:p>
        </rich>
      </tx>
      <overlay val="0"/>
    </title>
    <plotArea>
      <layout/>
      <lineChart>
        <grouping val="standard"/>
        <varyColors val="1"/>
        <ser>
          <idx val="0"/>
          <order val="0"/>
          <tx>
            <strRef>
              <f>'Time to Market'!$F$6</f>
              <strCache>
                <ptCount val="1"/>
                <pt idx="0">
                  <v>TTM (дн)</v>
                </pt>
              </strCache>
            </strRef>
          </tx>
          <spPr>
            <a:ln xmlns:a="http://schemas.openxmlformats.org/drawingml/2006/main" w="22000">
              <a:solidFill>
                <a:srgbClr val="4472C4"/>
              </a:solidFill>
              <a:prstDash val="solid"/>
            </a:ln>
          </spPr>
          <marker>
            <symbol val="circle"/>
            <size val="7"/>
            <spPr>
              <a:ln xmlns:a="http://schemas.openxmlformats.org/drawingml/2006/main">
                <a:prstDash val="solid"/>
              </a:ln>
            </spPr>
          </marker>
          <trendline>
            <trendlineType val="linear"/>
            <dispRSqr val="1"/>
            <dispEq val="1"/>
            <trendlineLbl>
              <numFmt formatCode="General" sourceLinked="0"/>
            </trendlineLbl>
          </trendline>
          <cat>
            <strRef>
              <f>'Time to Market'!$A$7:$A$26</f>
              <strCache>
                <ptCount val="20"/>
                <pt idx="0">
                  <v>T-01</v>
                </pt>
                <pt idx="1">
                  <v>T-02</v>
                </pt>
                <pt idx="2">
                  <v>T-09</v>
                </pt>
                <pt idx="3">
                  <v>T-10</v>
                </pt>
                <pt idx="4">
                  <v>T-03</v>
                </pt>
                <pt idx="5">
                  <v>T-04</v>
                </pt>
                <pt idx="6">
                  <v>T-08</v>
                </pt>
                <pt idx="7">
                  <v>T-11</v>
                </pt>
                <pt idx="8">
                  <v>T-12</v>
                </pt>
                <pt idx="9">
                  <v>T-05</v>
                </pt>
                <pt idx="10">
                  <v>T-06</v>
                </pt>
                <pt idx="11">
                  <v>T-07</v>
                </pt>
                <pt idx="12">
                  <v>T-13</v>
                </pt>
                <pt idx="13">
                  <v>T-14</v>
                </pt>
                <pt idx="14">
                  <v>T-15</v>
                </pt>
                <pt idx="15">
                  <v>T-16</v>
                </pt>
                <pt idx="16">
                  <v>T-17</v>
                </pt>
                <pt idx="17">
                  <v>T-18</v>
                </pt>
                <pt idx="18">
                  <v>T-19</v>
                </pt>
                <pt idx="19">
                  <v>T-20</v>
                </pt>
              </strCache>
            </strRef>
          </cat>
          <val>
            <numRef>
              <f>'Time to Market'!$F$7:$F$26</f>
              <numCache>
                <formatCode>General</formatCode>
                <ptCount val="20"/>
                <pt idx="0">
                  <v>25</v>
                </pt>
                <pt idx="1">
                  <v>24</v>
                </pt>
                <pt idx="2">
                  <v>25</v>
                </pt>
                <pt idx="3">
                  <v>23</v>
                </pt>
                <pt idx="4">
                  <v>11</v>
                </pt>
                <pt idx="5">
                  <v>10</v>
                </pt>
                <pt idx="6">
                  <v>9</v>
                </pt>
                <pt idx="7">
                  <v>11</v>
                </pt>
                <pt idx="8">
                  <v>#N/A</v>
                </pt>
                <pt idx="9">
                  <v>23</v>
                </pt>
                <pt idx="10">
                  <v>#N/A</v>
                </pt>
                <pt idx="11">
                  <v>#N/A</v>
                </pt>
                <pt idx="12">
                  <v>24</v>
                </pt>
                <pt idx="13">
                  <v>#N/A</v>
                </pt>
                <pt idx="14">
                  <v>#N/A</v>
                </pt>
                <pt idx="15">
                  <v>#N/A</v>
                </pt>
                <pt idx="16">
                  <v>#N/A</v>
                </pt>
                <pt idx="17">
                  <v>#N/A</v>
                </pt>
                <pt idx="18">
                  <v>#N/A</v>
                </pt>
                <pt idx="19">
                  <v>#N/A</v>
                </pt>
              </numCache>
            </numRef>
          </val>
          <smooth val="1"/>
        </ser>
        <ser>
          <idx val="1"/>
          <order val="1"/>
          <tx>
            <strRef>
              <f>'Time to Market'!$E$6</f>
              <strCache>
                <ptCount val="1"/>
                <pt idx="0">
                  <v>Цель (дн)</v>
                </pt>
              </strCache>
            </strRef>
          </tx>
          <spPr>
            <a:ln xmlns:a="http://schemas.openxmlformats.org/drawingml/2006/main" w="24000">
              <a:solidFill>
                <a:srgbClr val="C00000"/>
              </a:solidFill>
              <a:prstDash val="dash"/>
            </a:ln>
          </spPr>
          <marker>
            <symbol val="none"/>
            <spPr>
              <a:ln xmlns:a="http://schemas.openxmlformats.org/drawingml/2006/main">
                <a:prstDash val="solid"/>
              </a:ln>
            </spPr>
          </marker>
          <cat>
            <strRef>
              <f>'Time to Market'!$A$7:$A$26</f>
              <strCache>
                <ptCount val="20"/>
                <pt idx="0">
                  <v>T-01</v>
                </pt>
                <pt idx="1">
                  <v>T-02</v>
                </pt>
                <pt idx="2">
                  <v>T-09</v>
                </pt>
                <pt idx="3">
                  <v>T-10</v>
                </pt>
                <pt idx="4">
                  <v>T-03</v>
                </pt>
                <pt idx="5">
                  <v>T-04</v>
                </pt>
                <pt idx="6">
                  <v>T-08</v>
                </pt>
                <pt idx="7">
                  <v>T-11</v>
                </pt>
                <pt idx="8">
                  <v>T-12</v>
                </pt>
                <pt idx="9">
                  <v>T-05</v>
                </pt>
                <pt idx="10">
                  <v>T-06</v>
                </pt>
                <pt idx="11">
                  <v>T-07</v>
                </pt>
                <pt idx="12">
                  <v>T-13</v>
                </pt>
                <pt idx="13">
                  <v>T-14</v>
                </pt>
                <pt idx="14">
                  <v>T-15</v>
                </pt>
                <pt idx="15">
                  <v>T-16</v>
                </pt>
                <pt idx="16">
                  <v>T-17</v>
                </pt>
                <pt idx="17">
                  <v>T-18</v>
                </pt>
                <pt idx="18">
                  <v>T-19</v>
                </pt>
                <pt idx="19">
                  <v>T-20</v>
                </pt>
              </strCache>
            </strRef>
          </cat>
          <val>
            <numRef>
              <f>'Time to Market'!$E$7:$E$26</f>
              <numCache>
                <formatCode>0</formatCode>
                <ptCount val="20"/>
                <pt idx="0">
                  <v>21</v>
                </pt>
                <pt idx="1">
                  <v>21</v>
                </pt>
                <pt idx="2">
                  <v>21</v>
                </pt>
                <pt idx="3">
                  <v>21</v>
                </pt>
                <pt idx="4">
                  <v>21</v>
                </pt>
                <pt idx="5">
                  <v>21</v>
                </pt>
                <pt idx="6">
                  <v>21</v>
                </pt>
                <pt idx="7">
                  <v>21</v>
                </pt>
                <pt idx="8">
                  <v>21</v>
                </pt>
                <pt idx="9">
                  <v>21</v>
                </pt>
                <pt idx="10">
                  <v>21</v>
                </pt>
                <pt idx="11">
                  <v>21</v>
                </pt>
                <pt idx="12">
                  <v>21</v>
                </pt>
                <pt idx="13">
                  <v>21</v>
                </pt>
                <pt idx="14">
                  <v>21</v>
                </pt>
                <pt idx="15">
                  <v>21</v>
                </pt>
                <pt idx="16">
                  <v>21</v>
                </pt>
                <pt idx="17">
                  <v>21</v>
                </pt>
                <pt idx="18">
                  <v>21</v>
                </pt>
                <pt idx="19">
                  <v>21</v>
                </pt>
              </numCache>
            </numRef>
          </val>
          <smooth val="1"/>
        </ser>
        <dLbls>
          <showLegendKey val="0"/>
          <showVal val="0"/>
          <showCatName val="0"/>
          <showSerName val="0"/>
          <showPercent val="0"/>
          <showBubbleSize val="0"/>
        </dLbls>
        <marker val="1"/>
        <smooth val="0"/>
        <axId val="10"/>
        <axId val="100"/>
      </line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General" sourceLinked="1"/>
        <majorTickMark val="none"/>
        <minorTickMark val="none"/>
        <tickLblPos val="nextTo"/>
        <crossAx val="10"/>
        <crosses val="autoZero"/>
        <crossBetween val="between"/>
      </valAx>
    </plotArea>
    <legend>
      <legendPos val="b"/>
      <overlay val="0"/>
    </legend>
    <plotVisOnly val="0"/>
    <dispBlanksAs val="gap"/>
  </chart>
</chartSpace>
</file>

<file path=xl/charts/chart36.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 xml:space="preserve">План </a:t>
            </a:r>
            <a:r>
              <a:rPr lang="en-US"/>
              <a:t xml:space="preserve">vs </a:t>
            </a:r>
            <a:r>
              <a:rPr lang="ru-RU"/>
              <a:t>Факт (</a:t>
            </a:r>
            <a:r>
              <a:rPr lang="en-US"/>
              <a:t>velocity)</a:t>
            </a:r>
          </a:p>
        </rich>
      </tx>
      <overlay val="0"/>
    </title>
    <plotArea>
      <layout/>
      <lineChart>
        <grouping val="standard"/>
        <varyColors val="1"/>
        <ser>
          <idx val="0"/>
          <order val="0"/>
          <tx>
            <strRef>
              <f>'Дорожная карта'!$G$5</f>
              <strCache>
                <ptCount val="1"/>
                <pt idx="0">
                  <v>План трудо-
ёмкости (дн)</v>
                </pt>
              </strCache>
            </strRef>
          </tx>
          <spPr>
            <a:ln xmlns:a="http://schemas.openxmlformats.org/drawingml/2006/main">
              <a:solidFill>
                <a:srgbClr val="8EAADB"/>
              </a:solidFill>
              <a:prstDash val="dash"/>
            </a:ln>
          </spPr>
          <marker>
            <symbol val="none"/>
            <spPr>
              <a:ln xmlns:a="http://schemas.openxmlformats.org/drawingml/2006/main">
                <a:prstDash val="solid"/>
              </a:ln>
            </spPr>
          </marker>
          <cat>
            <strRef>
              <f>'Дорожная карта'!$B$6:$B$16</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'Дорожная карта'!$G$6:$G$16</f>
              <numCache>
                <formatCode>#\ ##0.0</formatCode>
                <ptCount val="11"/>
                <pt idx="0">
                  <v>22</v>
                </pt>
                <pt idx="1">
                  <v>24</v>
                </pt>
                <pt idx="2">
                  <v>29</v>
                </pt>
                <pt idx="3">
                  <v>19</v>
                </pt>
                <pt idx="4">
                  <v>13</v>
                </pt>
                <pt idx="5">
                  <v>0</v>
                </pt>
                <pt idx="6">
                  <v>0</v>
                </pt>
                <pt idx="7">
                  <v>0</v>
                </pt>
                <pt idx="8">
                  <v>0</v>
                </pt>
                <pt idx="9">
                  <v>0</v>
                </pt>
                <pt idx="10">
                  <v>0</v>
                </pt>
              </numCache>
            </numRef>
          </val>
          <smooth val="1"/>
        </ser>
        <ser>
          <idx val="1"/>
          <order val="1"/>
          <tx>
            <strRef>
              <f>'Дорожная карта'!$I$5</f>
              <strCache>
                <ptCount val="1"/>
                <pt idx="0">
                  <v>Факт /
Velocity (дн)</v>
                </pt>
              </strCache>
            </strRef>
          </tx>
          <spPr>
            <a:ln xmlns:a="http://schemas.openxmlformats.org/drawingml/2006/main" w="28000">
              <a:solidFill>
                <a:srgbClr val="C00000"/>
              </a:solidFill>
              <a:prstDash val="solid"/>
            </a:ln>
          </spPr>
          <marker>
            <symbol val="none"/>
            <spPr>
              <a:ln xmlns:a="http://schemas.openxmlformats.org/drawingml/2006/main">
                <a:prstDash val="solid"/>
              </a:ln>
            </spPr>
          </marker>
          <cat>
            <strRef>
              <f>'Дорожная карта'!$B$6:$B$16</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'Дорожная карта'!$I$6:$I$16</f>
              <numCache>
                <formatCode>#\ ##0.0</formatCode>
                <ptCount val="11"/>
                <pt idx="0">
                  <v>17</v>
                </pt>
                <pt idx="1">
                  <v>21</v>
                </pt>
                <pt idx="2">
                  <v>0</v>
                </pt>
                <pt idx="3">
                  <v>0</v>
                </pt>
                <pt idx="4">
                  <v>0</v>
                </pt>
                <pt idx="5">
                  <v>0</v>
                </pt>
                <pt idx="6">
                  <v>0</v>
                </pt>
                <pt idx="7">
                  <v>0</v>
                </pt>
                <pt idx="8">
                  <v>0</v>
                </pt>
                <pt idx="9">
                  <v>0</v>
                </pt>
                <pt idx="10">
                  <v>0</v>
                </pt>
              </numCache>
            </numRef>
          </val>
          <smooth val="1"/>
        </ser>
        <dLbls>
          <showLegendKey val="0"/>
          <showVal val="0"/>
          <showCatName val="0"/>
          <showSerName val="0"/>
          <showPercent val="0"/>
          <showBubbleSize val="0"/>
        </dLbls>
        <smooth val="0"/>
        <axId val="10"/>
        <axId val="100"/>
      </lineChart>
      <catAx>
        <axId val="10"/>
        <scaling>
          <orientation val="minMax"/>
        </scaling>
        <delete val="0"/>
        <axPos val="b"/>
        <title>
          <tx>
            <rich>
              <a:bodyPr xmlns:a="http://schemas.openxmlformats.org/drawingml/2006/main"/>
              <a:lstStyle xmlns:a="http://schemas.openxmlformats.org/drawingml/2006/main"/>
              <a:p xmlns:a="http://schemas.openxmlformats.org/drawingml/2006/main">
                <a:pPr>
                  <a:defRPr/>
                </a:pPr>
                <a:r>
                  <a:rPr lang="ru-RU"/>
                  <a:t>Спринт</a:t>
                </a:r>
              </a:p>
            </rich>
          </tx>
          <overlay val="1"/>
        </title>
        <numFmt formatCode="General" sourceLinked="1"/>
        <majorTickMark val="none"/>
        <minorTickMark val="none"/>
        <tickLblPos val="nextTo"/>
        <spPr>
          <a:ln xmlns:a="http://schemas.openxmlformats.org/drawingml/2006/main">
            <a:solidFill>
              <a:srgbClr val="808080"/>
            </a:solidFill>
            <a:prstDash val="solid"/>
          </a:ln>
        </spPr>
        <crossAx val="100"/>
        <crosses val="autoZero"/>
        <auto val="1"/>
        <lblAlgn val="ctr"/>
        <lblOffset val="100"/>
        <noMultiLvlLbl val="1"/>
      </catAx>
      <valAx>
        <axId val="100"/>
        <scaling>
          <orientation val="minMax"/>
        </scaling>
        <delete val="0"/>
        <axPos val="l"/>
        <majorGridlines/>
        <title>
          <tx>
            <rich>
              <a:bodyPr xmlns:a="http://schemas.openxmlformats.org/drawingml/2006/main"/>
              <a:lstStyle xmlns:a="http://schemas.openxmlformats.org/drawingml/2006/main"/>
              <a:p xmlns:a="http://schemas.openxmlformats.org/drawingml/2006/main">
                <a:pPr>
                  <a:defRPr/>
                </a:pPr>
                <a:r>
                  <a:rPr lang="ru-RU"/>
                  <a:t>Человеко-дни</a:t>
                </a:r>
              </a:p>
            </rich>
          </tx>
          <overlay val="1"/>
        </title>
        <numFmt formatCode="#\ ##0.0" sourceLinked="1"/>
        <majorTickMark val="none"/>
        <minorTickMark val="none"/>
        <tickLblPos val="nextTo"/>
        <spPr>
          <a:ln xmlns:a="http://schemas.openxmlformats.org/drawingml/2006/main">
            <a:solidFill>
              <a:srgbClr val="808080"/>
            </a:solidFill>
            <a:prstDash val="solid"/>
          </a:ln>
        </spPr>
        <crossAx val="10"/>
        <crosses val="autoZero"/>
        <crossBetween val="between"/>
      </valAx>
    </plotArea>
    <legend>
      <legendPos val="r"/>
      <overlay val="0"/>
    </legend>
    <plotVisOnly val="1"/>
    <dispBlanksAs val="gap"/>
  </chart>
</chartSpace>
</file>

<file path=xl/charts/chart37.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 xml:space="preserve">Трудомощность </a:t>
            </a:r>
            <a:r>
              <a:rPr lang="en-US"/>
              <a:t xml:space="preserve">vs </a:t>
            </a:r>
            <a:r>
              <a:rPr lang="ru-RU"/>
              <a:t>План (дн)</a:t>
            </a:r>
          </a:p>
        </rich>
      </tx>
      <overlay val="0"/>
    </title>
    <plotArea>
      <layout/>
      <barChart>
        <barDir val="col"/>
        <grouping val="clustered"/>
        <varyColors val="1"/>
        <ser>
          <idx val="0"/>
          <order val="0"/>
          <tx>
            <strRef>
              <f>'Дорожная карта'!$F$5</f>
              <strCache>
                <ptCount val="1"/>
                <pt idx="0">
                  <v>Трудомощность
(дн)</v>
                </pt>
              </strCache>
            </strRef>
          </tx>
          <spPr>
            <a:solidFill xmlns:a="http://schemas.openxmlformats.org/drawingml/2006/main">
              <a:srgbClr val="8EAADB"/>
            </a:solidFill>
            <a:ln xmlns:a="http://schemas.openxmlformats.org/drawingml/2006/main">
              <a:prstDash val="solid"/>
            </a:ln>
          </spPr>
          <invertIfNegative val="1"/>
          <cat>
            <strRef>
              <f>'Дорожная карта'!$B$6:$B$16</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'Дорожная карта'!$F$6:$F$16</f>
              <numCache>
                <formatCode>#\ ##0.0</formatCode>
                <ptCount val="11"/>
                <pt idx="0">
                  <v>92.80000000000001</v>
                </pt>
                <pt idx="1">
                  <v>95.2</v>
                </pt>
                <pt idx="2">
                  <v>95.2</v>
                </pt>
                <pt idx="3">
                  <v>95.2</v>
                </pt>
                <pt idx="4">
                  <v>93.2</v>
                </pt>
                <pt idx="5">
                  <v>95.2</v>
                </pt>
                <pt idx="6">
                  <v>85.68000000000002</v>
                </pt>
                <pt idx="7">
                  <v>91.2</v>
                </pt>
                <pt idx="8">
                  <v>95.2</v>
                </pt>
                <pt idx="9">
                  <v>95.2</v>
                </pt>
                <pt idx="10">
                  <v>85.68000000000002</v>
                </pt>
              </numCache>
            </numRef>
          </val>
        </ser>
        <ser>
          <idx val="1"/>
          <order val="1"/>
          <tx>
            <strRef>
              <f>'Дорожная карта'!$G$5</f>
              <strCache>
                <ptCount val="1"/>
                <pt idx="0">
                  <v>План трудо-
ёмкости (дн)</v>
                </pt>
              </strCache>
            </strRef>
          </tx>
          <spPr>
            <a:solidFill xmlns:a="http://schemas.openxmlformats.org/drawingml/2006/main">
              <a:srgbClr val="FFC000"/>
            </a:solidFill>
            <a:ln xmlns:a="http://schemas.openxmlformats.org/drawingml/2006/main">
              <a:prstDash val="solid"/>
            </a:ln>
          </spPr>
          <invertIfNegative val="1"/>
          <cat>
            <strRef>
              <f>'Дорожная карта'!$B$6:$B$16</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'Дорожная карта'!$G$6:$G$16</f>
              <numCache>
                <formatCode>#\ ##0.0</formatCode>
                <ptCount val="11"/>
                <pt idx="0">
                  <v>22</v>
                </pt>
                <pt idx="1">
                  <v>24</v>
                </pt>
                <pt idx="2">
                  <v>29</v>
                </pt>
                <pt idx="3">
                  <v>19</v>
                </pt>
                <pt idx="4">
                  <v>13</v>
                </pt>
                <pt idx="5">
                  <v>0</v>
                </pt>
                <pt idx="6">
                  <v>0</v>
                </pt>
                <pt idx="7">
                  <v>0</v>
                </pt>
                <pt idx="8">
                  <v>0</v>
                </pt>
                <pt idx="9">
                  <v>0</v>
                </pt>
                <pt idx="10">
                  <v>0</v>
                </pt>
              </numCache>
            </numRef>
          </val>
        </ser>
        <dLbls>
          <showLegendKey val="0"/>
          <showVal val="0"/>
          <showCatName val="0"/>
          <showSerName val="0"/>
          <showPercent val="0"/>
          <showBubbleSize val="0"/>
        </dLbls>
        <gapWidth val="150"/>
        <axId val="10"/>
        <axId val="100"/>
      </barChart>
      <catAx>
        <axId val="10"/>
        <scaling>
          <orientation val="minMax"/>
        </scaling>
        <delete val="0"/>
        <axPos val="b"/>
        <title>
          <tx>
            <rich>
              <a:bodyPr xmlns:a="http://schemas.openxmlformats.org/drawingml/2006/main"/>
              <a:lstStyle xmlns:a="http://schemas.openxmlformats.org/drawingml/2006/main"/>
              <a:p xmlns:a="http://schemas.openxmlformats.org/drawingml/2006/main">
                <a:pPr>
                  <a:defRPr/>
                </a:pPr>
                <a:r>
                  <a:rPr lang="ru-RU"/>
                  <a:t>Спринт</a:t>
                </a:r>
              </a:p>
            </rich>
          </tx>
          <overlay val="1"/>
        </title>
        <numFmt formatCode="General" sourceLinked="1"/>
        <majorTickMark val="none"/>
        <minorTickMark val="none"/>
        <tickLblPos val="nextTo"/>
        <spPr>
          <a:ln xmlns:a="http://schemas.openxmlformats.org/drawingml/2006/main">
            <a:solidFill>
              <a:srgbClr val="808080"/>
            </a:solidFill>
            <a:prstDash val="solid"/>
          </a:ln>
        </spPr>
        <crossAx val="100"/>
        <crosses val="autoZero"/>
        <auto val="1"/>
        <lblAlgn val="ctr"/>
        <lblOffset val="100"/>
        <noMultiLvlLbl val="1"/>
      </catAx>
      <valAx>
        <axId val="100"/>
        <scaling>
          <orientation val="minMax"/>
        </scaling>
        <delete val="0"/>
        <axPos val="l"/>
        <majorGridlines/>
        <title>
          <tx>
            <rich>
              <a:bodyPr xmlns:a="http://schemas.openxmlformats.org/drawingml/2006/main"/>
              <a:lstStyle xmlns:a="http://schemas.openxmlformats.org/drawingml/2006/main"/>
              <a:p xmlns:a="http://schemas.openxmlformats.org/drawingml/2006/main">
                <a:pPr>
                  <a:defRPr/>
                </a:pPr>
                <a:r>
                  <a:rPr lang="ru-RU"/>
                  <a:t>Человеко-дни</a:t>
                </a:r>
              </a:p>
            </rich>
          </tx>
          <overlay val="1"/>
        </title>
        <numFmt formatCode="#\ ##0.0" sourceLinked="1"/>
        <majorTickMark val="none"/>
        <minorTickMark val="none"/>
        <tickLblPos val="nextTo"/>
        <spPr>
          <a:ln xmlns:a="http://schemas.openxmlformats.org/drawingml/2006/main">
            <a:solidFill>
              <a:srgbClr val="808080"/>
            </a:solidFill>
            <a:prstDash val="solid"/>
          </a:ln>
        </spPr>
        <crossAx val="10"/>
        <crosses val="autoZero"/>
        <crossBetween val="between"/>
      </valAx>
    </plotArea>
    <legend>
      <legendPos val="r"/>
      <overlay val="0"/>
    </legend>
    <plotVisOnly val="1"/>
    <dispBlanksAs val="gap"/>
  </chart>
</chartSpace>
</file>

<file path=xl/charts/chart38.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 xml:space="preserve">Трудомощность </a:t>
            </a:r>
            <a:r>
              <a:rPr lang="en-US"/>
              <a:t xml:space="preserve">vs </a:t>
            </a:r>
            <a:r>
              <a:rPr lang="ru-RU"/>
              <a:t>План (дни)</a:t>
            </a:r>
          </a:p>
        </rich>
      </tx>
      <overlay val="0"/>
    </title>
    <plotArea>
      <layout/>
      <barChart>
        <barDir val="col"/>
        <grouping val="clustered"/>
        <varyColors val="1"/>
        <ser>
          <idx val="0"/>
          <order val="0"/>
          <tx>
            <strRef>
              <f>'Дорожная карта'!$F$5</f>
              <strCache>
                <ptCount val="1"/>
                <pt idx="0">
                  <v>Трудомощность
(дн)</v>
                </pt>
              </strCache>
            </strRef>
          </tx>
          <spPr>
            <a:solidFill xmlns:a="http://schemas.openxmlformats.org/drawingml/2006/main">
              <a:srgbClr val="8EAADB"/>
            </a:solidFill>
            <a:ln xmlns:a="http://schemas.openxmlformats.org/drawingml/2006/main">
              <a:prstDash val="solid"/>
            </a:ln>
          </spPr>
          <invertIfNegative val="1"/>
          <cat>
            <strRef>
              <f>'Дорожная карта'!$B$6:$B$16</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'Дорожная карта'!$F$6:$F$16</f>
              <numCache>
                <formatCode>#\ ##0.0</formatCode>
                <ptCount val="11"/>
                <pt idx="0">
                  <v>92.80000000000001</v>
                </pt>
                <pt idx="1">
                  <v>95.2</v>
                </pt>
                <pt idx="2">
                  <v>95.2</v>
                </pt>
                <pt idx="3">
                  <v>95.2</v>
                </pt>
                <pt idx="4">
                  <v>93.2</v>
                </pt>
                <pt idx="5">
                  <v>95.2</v>
                </pt>
                <pt idx="6">
                  <v>85.68000000000002</v>
                </pt>
                <pt idx="7">
                  <v>91.2</v>
                </pt>
                <pt idx="8">
                  <v>95.2</v>
                </pt>
                <pt idx="9">
                  <v>95.2</v>
                </pt>
                <pt idx="10">
                  <v>85.68000000000002</v>
                </pt>
              </numCache>
            </numRef>
          </val>
        </ser>
        <ser>
          <idx val="1"/>
          <order val="1"/>
          <tx>
            <strRef>
              <f>'Дорожная карта'!$G$5</f>
              <strCache>
                <ptCount val="1"/>
                <pt idx="0">
                  <v>План трудо-
ёмкости (дн)</v>
                </pt>
              </strCache>
            </strRef>
          </tx>
          <spPr>
            <a:solidFill xmlns:a="http://schemas.openxmlformats.org/drawingml/2006/main">
              <a:srgbClr val="FFC000"/>
            </a:solidFill>
            <a:ln xmlns:a="http://schemas.openxmlformats.org/drawingml/2006/main">
              <a:prstDash val="solid"/>
            </a:ln>
          </spPr>
          <invertIfNegative val="1"/>
          <cat>
            <strRef>
              <f>'Дорожная карта'!$B$6:$B$16</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'Дорожная карта'!$G$6:$G$16</f>
              <numCache>
                <formatCode>#\ ##0.0</formatCode>
                <ptCount val="11"/>
                <pt idx="0">
                  <v>22</v>
                </pt>
                <pt idx="1">
                  <v>24</v>
                </pt>
                <pt idx="2">
                  <v>29</v>
                </pt>
                <pt idx="3">
                  <v>19</v>
                </pt>
                <pt idx="4">
                  <v>13</v>
                </pt>
                <pt idx="5">
                  <v>0</v>
                </pt>
                <pt idx="6">
                  <v>0</v>
                </pt>
                <pt idx="7">
                  <v>0</v>
                </pt>
                <pt idx="8">
                  <v>0</v>
                </pt>
                <pt idx="9">
                  <v>0</v>
                </pt>
                <pt idx="10">
                  <v>0</v>
                </pt>
              </numCache>
            </numRef>
          </val>
        </ser>
        <dLbls>
          <showLegendKey val="0"/>
          <showVal val="0"/>
          <showCatName val="0"/>
          <showSerName val="0"/>
          <showPercent val="0"/>
          <showBubbleSize val="0"/>
        </dLbls>
        <gapWidth val="150"/>
        <axId val="10"/>
        <axId val="100"/>
      </barChart>
      <catAx>
        <axId val="10"/>
        <scaling>
          <orientation val="minMax"/>
        </scaling>
        <delete val="0"/>
        <axPos val="b"/>
        <title>
          <tx>
            <rich>
              <a:bodyPr xmlns:a="http://schemas.openxmlformats.org/drawingml/2006/main"/>
              <a:lstStyle xmlns:a="http://schemas.openxmlformats.org/drawingml/2006/main"/>
              <a:p xmlns:a="http://schemas.openxmlformats.org/drawingml/2006/main">
                <a:pPr>
                  <a:defRPr/>
                </a:pPr>
                <a:r>
                  <a:rPr lang="ru-RU"/>
                  <a:t>Спринт</a:t>
                </a:r>
              </a:p>
            </rich>
          </tx>
          <overlay val="1"/>
        </title>
        <numFmt formatCode="General" sourceLinked="1"/>
        <majorTickMark val="none"/>
        <minorTickMark val="none"/>
        <tickLblPos val="nextTo"/>
        <spPr>
          <a:ln xmlns:a="http://schemas.openxmlformats.org/drawingml/2006/main">
            <a:solidFill>
              <a:srgbClr val="808080"/>
            </a:solidFill>
            <a:prstDash val="solid"/>
          </a:ln>
        </spPr>
        <crossAx val="100"/>
        <crosses val="autoZero"/>
        <auto val="1"/>
        <lblAlgn val="ctr"/>
        <lblOffset val="100"/>
        <noMultiLvlLbl val="1"/>
      </catAx>
      <valAx>
        <axId val="100"/>
        <scaling>
          <orientation val="minMax"/>
        </scaling>
        <delete val="0"/>
        <axPos val="l"/>
        <majorGridlines/>
        <title>
          <tx>
            <rich>
              <a:bodyPr xmlns:a="http://schemas.openxmlformats.org/drawingml/2006/main"/>
              <a:lstStyle xmlns:a="http://schemas.openxmlformats.org/drawingml/2006/main"/>
              <a:p xmlns:a="http://schemas.openxmlformats.org/drawingml/2006/main">
                <a:pPr>
                  <a:defRPr/>
                </a:pPr>
                <a:r>
                  <a:rPr lang="ru-RU"/>
                  <a:t>Человеко-дни</a:t>
                </a:r>
              </a:p>
            </rich>
          </tx>
          <overlay val="1"/>
        </title>
        <numFmt formatCode="#\ ##0.0" sourceLinked="1"/>
        <majorTickMark val="none"/>
        <minorTickMark val="none"/>
        <tickLblPos val="nextTo"/>
        <spPr>
          <a:ln xmlns:a="http://schemas.openxmlformats.org/drawingml/2006/main">
            <a:solidFill>
              <a:srgbClr val="808080"/>
            </a:solidFill>
            <a:prstDash val="solid"/>
          </a:ln>
        </spPr>
        <crossAx val="10"/>
        <crosses val="autoZero"/>
        <crossBetween val="between"/>
      </valAx>
    </plotArea>
    <legend>
      <legendPos val="r"/>
      <overlay val="0"/>
    </legend>
    <plotVisOnly val="1"/>
    <dispBlanksAs val="gap"/>
  </chart>
</chartSpace>
</file>

<file path=xl/charts/chart39.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 xml:space="preserve">План </a:t>
            </a:r>
            <a:r>
              <a:rPr lang="en-US"/>
              <a:t xml:space="preserve">vs </a:t>
            </a:r>
            <a:r>
              <a:rPr lang="ru-RU"/>
              <a:t>Факт (</a:t>
            </a:r>
            <a:r>
              <a:rPr lang="en-US"/>
              <a:t xml:space="preserve">velocity) </a:t>
            </a:r>
            <a:r>
              <a:rPr lang="ru-RU"/>
              <a:t>по спринтам</a:t>
            </a:r>
          </a:p>
        </rich>
      </tx>
      <overlay val="0"/>
    </title>
    <plotArea>
      <layout/>
      <lineChart>
        <grouping val="standard"/>
        <varyColors val="1"/>
        <ser>
          <idx val="0"/>
          <order val="0"/>
          <tx>
            <strRef>
              <f>'Дорожная карта'!$G$5</f>
              <strCache>
                <ptCount val="1"/>
                <pt idx="0">
                  <v>План трудо-
ёмкости (дн)</v>
                </pt>
              </strCache>
            </strRef>
          </tx>
          <spPr>
            <a:ln xmlns:a="http://schemas.openxmlformats.org/drawingml/2006/main">
              <a:solidFill>
                <a:srgbClr val="8EAADB"/>
              </a:solidFill>
              <a:prstDash val="dash"/>
            </a:ln>
          </spPr>
          <marker>
            <symbol val="none"/>
            <spPr>
              <a:ln xmlns:a="http://schemas.openxmlformats.org/drawingml/2006/main">
                <a:prstDash val="solid"/>
              </a:ln>
            </spPr>
          </marker>
          <cat>
            <strRef>
              <f>'Дорожная карта'!$B$6:$B$16</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'Дорожная карта'!$G$6:$G$16</f>
              <numCache>
                <formatCode>#\ ##0.0</formatCode>
                <ptCount val="11"/>
                <pt idx="0">
                  <v>22</v>
                </pt>
                <pt idx="1">
                  <v>24</v>
                </pt>
                <pt idx="2">
                  <v>29</v>
                </pt>
                <pt idx="3">
                  <v>19</v>
                </pt>
                <pt idx="4">
                  <v>13</v>
                </pt>
                <pt idx="5">
                  <v>0</v>
                </pt>
                <pt idx="6">
                  <v>0</v>
                </pt>
                <pt idx="7">
                  <v>0</v>
                </pt>
                <pt idx="8">
                  <v>0</v>
                </pt>
                <pt idx="9">
                  <v>0</v>
                </pt>
                <pt idx="10">
                  <v>0</v>
                </pt>
              </numCache>
            </numRef>
          </val>
          <smooth val="1"/>
        </ser>
        <ser>
          <idx val="1"/>
          <order val="1"/>
          <tx>
            <strRef>
              <f>'Дорожная карта'!$I$5</f>
              <strCache>
                <ptCount val="1"/>
                <pt idx="0">
                  <v>Факт /
Velocity (дн)</v>
                </pt>
              </strCache>
            </strRef>
          </tx>
          <spPr>
            <a:ln xmlns:a="http://schemas.openxmlformats.org/drawingml/2006/main" w="28000">
              <a:solidFill>
                <a:srgbClr val="C00000"/>
              </a:solidFill>
              <a:prstDash val="solid"/>
            </a:ln>
          </spPr>
          <marker>
            <symbol val="none"/>
            <spPr>
              <a:ln xmlns:a="http://schemas.openxmlformats.org/drawingml/2006/main">
                <a:prstDash val="solid"/>
              </a:ln>
            </spPr>
          </marker>
          <cat>
            <strRef>
              <f>'Дорожная карта'!$B$6:$B$16</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'Дорожная карта'!$I$6:$I$16</f>
              <numCache>
                <formatCode>#\ ##0.0</formatCode>
                <ptCount val="11"/>
                <pt idx="0">
                  <v>17</v>
                </pt>
                <pt idx="1">
                  <v>21</v>
                </pt>
                <pt idx="2">
                  <v>0</v>
                </pt>
                <pt idx="3">
                  <v>0</v>
                </pt>
                <pt idx="4">
                  <v>0</v>
                </pt>
                <pt idx="5">
                  <v>0</v>
                </pt>
                <pt idx="6">
                  <v>0</v>
                </pt>
                <pt idx="7">
                  <v>0</v>
                </pt>
                <pt idx="8">
                  <v>0</v>
                </pt>
                <pt idx="9">
                  <v>0</v>
                </pt>
                <pt idx="10">
                  <v>0</v>
                </pt>
              </numCache>
            </numRef>
          </val>
          <smooth val="1"/>
        </ser>
        <dLbls>
          <showLegendKey val="0"/>
          <showVal val="0"/>
          <showCatName val="0"/>
          <showSerName val="0"/>
          <showPercent val="0"/>
          <showBubbleSize val="0"/>
        </dLbls>
        <smooth val="0"/>
        <axId val="10"/>
        <axId val="100"/>
      </lineChart>
      <catAx>
        <axId val="10"/>
        <scaling>
          <orientation val="minMax"/>
        </scaling>
        <delete val="0"/>
        <axPos val="b"/>
        <title>
          <tx>
            <rich>
              <a:bodyPr xmlns:a="http://schemas.openxmlformats.org/drawingml/2006/main"/>
              <a:lstStyle xmlns:a="http://schemas.openxmlformats.org/drawingml/2006/main"/>
              <a:p xmlns:a="http://schemas.openxmlformats.org/drawingml/2006/main">
                <a:pPr>
                  <a:defRPr/>
                </a:pPr>
                <a:r>
                  <a:rPr lang="ru-RU"/>
                  <a:t>Спринт</a:t>
                </a:r>
              </a:p>
            </rich>
          </tx>
          <overlay val="1"/>
        </title>
        <numFmt formatCode="General" sourceLinked="1"/>
        <majorTickMark val="none"/>
        <minorTickMark val="none"/>
        <tickLblPos val="nextTo"/>
        <spPr>
          <a:ln xmlns:a="http://schemas.openxmlformats.org/drawingml/2006/main">
            <a:solidFill>
              <a:srgbClr val="808080"/>
            </a:solidFill>
            <a:prstDash val="solid"/>
          </a:ln>
        </spPr>
        <crossAx val="100"/>
        <crosses val="autoZero"/>
        <auto val="1"/>
        <lblAlgn val="ctr"/>
        <lblOffset val="100"/>
        <noMultiLvlLbl val="1"/>
      </catAx>
      <valAx>
        <axId val="100"/>
        <scaling>
          <orientation val="minMax"/>
        </scaling>
        <delete val="0"/>
        <axPos val="l"/>
        <majorGridlines/>
        <title>
          <tx>
            <rich>
              <a:bodyPr xmlns:a="http://schemas.openxmlformats.org/drawingml/2006/main"/>
              <a:lstStyle xmlns:a="http://schemas.openxmlformats.org/drawingml/2006/main"/>
              <a:p xmlns:a="http://schemas.openxmlformats.org/drawingml/2006/main">
                <a:pPr>
                  <a:defRPr/>
                </a:pPr>
                <a:r>
                  <a:rPr lang="ru-RU"/>
                  <a:t>Человеко-дни</a:t>
                </a:r>
              </a:p>
            </rich>
          </tx>
          <overlay val="1"/>
        </title>
        <numFmt formatCode="#\ ##0.0" sourceLinked="1"/>
        <majorTickMark val="none"/>
        <minorTickMark val="none"/>
        <tickLblPos val="nextTo"/>
        <spPr>
          <a:ln xmlns:a="http://schemas.openxmlformats.org/drawingml/2006/main">
            <a:solidFill>
              <a:srgbClr val="808080"/>
            </a:solidFill>
            <a:prstDash val="solid"/>
          </a:ln>
        </spPr>
        <crossAx val="10"/>
        <crosses val="autoZero"/>
        <crossBetween val="between"/>
      </valAx>
    </plotArea>
    <legend>
      <legendPos val="r"/>
      <overlay val="0"/>
    </legend>
    <plotVisOnly val="1"/>
    <dispBlanksAs val="gap"/>
  </chart>
</chartSpace>
</file>

<file path=xl/charts/chart40.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 выполнения по спринтам (цвет по порогам, цель 100%)</a:t>
            </a:r>
          </a:p>
        </rich>
      </tx>
      <overlay val="0"/>
    </title>
    <plotArea>
      <layout/>
      <barChart>
        <barDir val="col"/>
        <grouping val="clustered"/>
        <varyColors val="1"/>
        <ser>
          <idx val="0"/>
          <order val="0"/>
          <tx>
            <strRef>
              <f>'Дорожная карта'!$AB$5</f>
              <strCache>
                <ptCount val="1"/>
                <pt idx="0">
                  <v>≥90%</v>
                </pt>
              </strCache>
            </strRef>
          </tx>
          <spPr>
            <a:solidFill xmlns:a="http://schemas.openxmlformats.org/drawingml/2006/main">
              <a:srgbClr val="70AD47"/>
            </a:solidFill>
            <a:ln xmlns:a="http://schemas.openxmlformats.org/drawingml/2006/main">
              <a:prstDash val="solid"/>
            </a:ln>
          </spPr>
          <invertIfNegative val="1"/>
          <cat>
            <strRef>
              <f>'Дорожная карта'!$B$6:$B$16</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'Дорожная карта'!$AB$6:$AB$16</f>
              <numCache>
                <formatCode>0%</formatCode>
                <ptCount val="11"/>
                <pt idx="0">
                  <v>#N/A</v>
                </pt>
                <pt idx="1">
                  <v>#N/A</v>
                </pt>
                <pt idx="2">
                  <v>#N/A</v>
                </pt>
                <pt idx="3">
                  <v>#N/A</v>
                </pt>
                <pt idx="4">
                  <v>#N/A</v>
                </pt>
                <pt idx="5">
                  <v>#N/A</v>
                </pt>
                <pt idx="6">
                  <v>#N/A</v>
                </pt>
                <pt idx="7">
                  <v>#N/A</v>
                </pt>
                <pt idx="8">
                  <v>#N/A</v>
                </pt>
                <pt idx="9">
                  <v>#N/A</v>
                </pt>
                <pt idx="10">
                  <v>#N/A</v>
                </pt>
              </numCache>
            </numRef>
          </val>
        </ser>
        <ser>
          <idx val="1"/>
          <order val="1"/>
          <tx>
            <strRef>
              <f>'Дорожная карта'!$AC$5</f>
              <strCache>
                <ptCount val="1"/>
                <pt idx="0">
                  <v>70–90%</v>
                </pt>
              </strCache>
            </strRef>
          </tx>
          <spPr>
            <a:solidFill xmlns:a="http://schemas.openxmlformats.org/drawingml/2006/main">
              <a:srgbClr val="FFC000"/>
            </a:solidFill>
            <a:ln xmlns:a="http://schemas.openxmlformats.org/drawingml/2006/main">
              <a:prstDash val="solid"/>
            </a:ln>
          </spPr>
          <invertIfNegative val="1"/>
          <cat>
            <strRef>
              <f>'Дорожная карта'!$B$6:$B$16</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'Дорожная карта'!$AC$6:$AC$16</f>
              <numCache>
                <formatCode>0%</formatCode>
                <ptCount val="11"/>
                <pt idx="0">
                  <v>0.7727272727272727</v>
                </pt>
                <pt idx="1">
                  <v>0.875</v>
                </pt>
                <pt idx="2">
                  <v>#N/A</v>
                </pt>
                <pt idx="3">
                  <v>#N/A</v>
                </pt>
                <pt idx="4">
                  <v>#N/A</v>
                </pt>
                <pt idx="5">
                  <v>#N/A</v>
                </pt>
                <pt idx="6">
                  <v>#N/A</v>
                </pt>
                <pt idx="7">
                  <v>#N/A</v>
                </pt>
                <pt idx="8">
                  <v>#N/A</v>
                </pt>
                <pt idx="9">
                  <v>#N/A</v>
                </pt>
                <pt idx="10">
                  <v>#N/A</v>
                </pt>
              </numCache>
            </numRef>
          </val>
        </ser>
        <ser>
          <idx val="2"/>
          <order val="2"/>
          <tx>
            <strRef>
              <f>'Дорожная карта'!$AD$5</f>
              <strCache>
                <ptCount val="1"/>
                <pt idx="0">
                  <v>&lt;70%</v>
                </pt>
              </strCache>
            </strRef>
          </tx>
          <spPr>
            <a:solidFill xmlns:a="http://schemas.openxmlformats.org/drawingml/2006/main">
              <a:srgbClr val="C00000"/>
            </a:solidFill>
            <a:ln xmlns:a="http://schemas.openxmlformats.org/drawingml/2006/main">
              <a:prstDash val="solid"/>
            </a:ln>
          </spPr>
          <invertIfNegative val="1"/>
          <cat>
            <strRef>
              <f>'Дорожная карта'!$B$6:$B$16</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'Дорожная карта'!$AD$6:$AD$16</f>
              <numCache>
                <formatCode>0%</formatCode>
                <ptCount val="11"/>
                <pt idx="0">
                  <v>#N/A</v>
                </pt>
                <pt idx="1">
                  <v>#N/A</v>
                </pt>
                <pt idx="2">
                  <v>#N/A</v>
                </pt>
                <pt idx="3">
                  <v>#N/A</v>
                </pt>
                <pt idx="4">
                  <v>#N/A</v>
                </pt>
                <pt idx="5">
                  <v>#N/A</v>
                </pt>
                <pt idx="6">
                  <v>#N/A</v>
                </pt>
                <pt idx="7">
                  <v>#N/A</v>
                </pt>
                <pt idx="8">
                  <v>#N/A</v>
                </pt>
                <pt idx="9">
                  <v>#N/A</v>
                </pt>
                <pt idx="10">
                  <v>#N/A</v>
                </pt>
              </numCache>
            </numRef>
          </val>
        </ser>
        <dLbls>
          <showLegendKey val="0"/>
          <showVal val="0"/>
          <showCatName val="0"/>
          <showSerName val="0"/>
          <showPercent val="0"/>
          <showBubbleSize val="0"/>
        </dLbls>
        <gapWidth val="60"/>
        <overlap val="100"/>
        <axId val="10"/>
        <axId val="100"/>
      </barChart>
      <lineChart>
        <grouping val="standard"/>
        <varyColors val="1"/>
        <ser>
          <idx val="3"/>
          <order val="3"/>
          <tx>
            <strRef>
              <f>'Дорожная карта'!$AE$5</f>
              <strCache>
                <ptCount val="1"/>
                <pt idx="0">
                  <v>Цель 100%</v>
                </pt>
              </strCache>
            </strRef>
          </tx>
          <spPr>
            <a:ln xmlns:a="http://schemas.openxmlformats.org/drawingml/2006/main" w="38100">
              <a:solidFill>
                <a:srgbClr val="404040"/>
              </a:solidFill>
              <a:prstDash val="dash"/>
            </a:ln>
          </spPr>
          <marker>
            <symbol val="none"/>
            <spPr>
              <a:ln xmlns:a="http://schemas.openxmlformats.org/drawingml/2006/main">
                <a:prstDash val="solid"/>
              </a:ln>
            </spPr>
          </marker>
          <cat>
            <strRef>
              <f>'Дорожная карта'!$B$6:$B$16</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'Дорожная карта'!$AE$6:$AE$16</f>
              <numCache>
                <formatCode>0%</formatCode>
                <ptCount val="11"/>
                <pt idx="0">
                  <v>1</v>
                </pt>
                <pt idx="1">
                  <v>1</v>
                </pt>
                <pt idx="2">
                  <v>1</v>
                </pt>
                <pt idx="3">
                  <v>1</v>
                </pt>
                <pt idx="4">
                  <v>1</v>
                </pt>
                <pt idx="5">
                  <v>1</v>
                </pt>
                <pt idx="6">
                  <v>1</v>
                </pt>
                <pt idx="7">
                  <v>1</v>
                </pt>
                <pt idx="8">
                  <v>1</v>
                </pt>
                <pt idx="9">
                  <v>1</v>
                </pt>
                <pt idx="10">
                  <v>1</v>
                </pt>
              </numCache>
            </numRef>
          </val>
          <smooth val="1"/>
        </ser>
        <dLbls>
          <showLegendKey val="0"/>
          <showVal val="0"/>
          <showCatName val="0"/>
          <showSerName val="0"/>
          <showPercent val="0"/>
          <showBubbleSize val="0"/>
        </dLbls>
        <marker val="1"/>
        <smooth val="0"/>
        <axId val="10"/>
        <axId val="100"/>
      </lineChart>
      <catAx>
        <axId val="10"/>
        <scaling>
          <orientation val="minMax"/>
        </scaling>
        <delete val="0"/>
        <axPos val="b"/>
        <title>
          <tx>
            <rich>
              <a:bodyPr xmlns:a="http://schemas.openxmlformats.org/drawingml/2006/main"/>
              <a:lstStyle xmlns:a="http://schemas.openxmlformats.org/drawingml/2006/main"/>
              <a:p xmlns:a="http://schemas.openxmlformats.org/drawingml/2006/main">
                <a:pPr>
                  <a:defRPr/>
                </a:pPr>
                <a:r>
                  <a:rPr lang="ru-RU"/>
                  <a:t>Спринт</a:t>
                </a:r>
              </a:p>
            </rich>
          </tx>
          <overlay val="1"/>
        </title>
        <numFmt formatCode="General" sourceLinked="1"/>
        <majorTickMark val="none"/>
        <minorTickMark val="none"/>
        <tickLblPos val="nextTo"/>
        <spPr>
          <a:ln xmlns:a="http://schemas.openxmlformats.org/drawingml/2006/main">
            <a:solidFill>
              <a:srgbClr val="808080"/>
            </a:solidFill>
            <a:prstDash val="solid"/>
          </a:ln>
        </spPr>
        <crossAx val="100"/>
        <crosses val="autoZero"/>
        <auto val="1"/>
        <lblAlgn val="ctr"/>
        <lblOffset val="100"/>
        <noMultiLvlLbl val="1"/>
      </catAx>
      <valAx>
        <axId val="100"/>
        <scaling>
          <orientation val="minMax"/>
          <max val="1.1"/>
          <min val="0"/>
        </scaling>
        <delete val="0"/>
        <axPos val="l"/>
        <majorGridlines/>
        <title>
          <tx>
            <rich>
              <a:bodyPr xmlns:a="http://schemas.openxmlformats.org/drawingml/2006/main"/>
              <a:lstStyle xmlns:a="http://schemas.openxmlformats.org/drawingml/2006/main"/>
              <a:p xmlns:a="http://schemas.openxmlformats.org/drawingml/2006/main">
                <a:pPr>
                  <a:defRPr/>
                </a:pPr>
                <a:r>
                  <a:rPr lang="ru-RU"/>
                  <a:t>% выполнения</a:t>
                </a:r>
              </a:p>
            </rich>
          </tx>
          <overlay val="1"/>
        </title>
        <numFmt formatCode="0%" sourceLinked="0"/>
        <majorTickMark val="none"/>
        <minorTickMark val="none"/>
        <tickLblPos val="nextTo"/>
        <spPr>
          <a:ln xmlns:a="http://schemas.openxmlformats.org/drawingml/2006/main">
            <a:solidFill>
              <a:srgbClr val="808080"/>
            </a:solidFill>
            <a:prstDash val="solid"/>
          </a:ln>
        </spPr>
        <crossAx val="10"/>
        <crosses val="autoZero"/>
        <crossBetween val="between"/>
      </valAx>
    </plotArea>
    <legend>
      <legendPos val="r"/>
      <overlay val="0"/>
    </legend>
    <plotVisOnly val="0"/>
    <dispBlanksAs val="gap"/>
  </chart>
</chartSpace>
</file>

<file path=xl/charts/chart4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Ёмкость / План / Факт по кварталам</a:t>
            </a:r>
          </a:p>
        </rich>
      </tx>
      <overlay val="0"/>
    </title>
    <plotArea>
      <layout/>
      <barChart>
        <barDir val="col"/>
        <grouping val="clustered"/>
        <varyColors val="1"/>
        <ser>
          <idx val="0"/>
          <order val="0"/>
          <tx>
            <strRef>
              <f>Кварталы!$C$4</f>
              <strCache>
                <ptCount val="1"/>
                <pt idx="0">
                  <v>Трудомощность
(дн)</v>
                </pt>
              </strCache>
            </strRef>
          </tx>
          <spPr>
            <a:solidFill xmlns:a="http://schemas.openxmlformats.org/drawingml/2006/main">
              <a:srgbClr val="8EAADB"/>
            </a:solidFill>
            <a:ln xmlns:a="http://schemas.openxmlformats.org/drawingml/2006/main">
              <a:prstDash val="solid"/>
            </a:ln>
          </spPr>
          <invertIfNegative val="1"/>
          <cat>
            <strRef>
              <f>Кварталы!$A$5:$A$7</f>
              <strCache>
                <ptCount val="3"/>
                <pt idx="0">
                  <v>Q3 2026</v>
                </pt>
                <pt idx="1">
                  <v>Q4 2026</v>
                </pt>
                <pt idx="2">
                  <v>Q1 2027</v>
                </pt>
              </strCache>
            </strRef>
          </cat>
          <val>
            <numRef>
              <f>Кварталы!$C$5:$C$7</f>
              <numCache>
                <formatCode>#\ ##0.0</formatCode>
                <ptCount val="3"/>
                <pt idx="0">
                  <v>471.6</v>
                </pt>
                <pt idx="1">
                  <v>548.1600000000001</v>
                </pt>
                <pt idx="2">
                  <v>0</v>
                </pt>
              </numCache>
            </numRef>
          </val>
        </ser>
        <ser>
          <idx val="1"/>
          <order val="1"/>
          <tx>
            <strRef>
              <f>Кварталы!$D$4</f>
              <strCache>
                <ptCount val="1"/>
                <pt idx="0">
                  <v>План
(дн)</v>
                </pt>
              </strCache>
            </strRef>
          </tx>
          <spPr>
            <a:solidFill xmlns:a="http://schemas.openxmlformats.org/drawingml/2006/main">
              <a:srgbClr val="FFC000"/>
            </a:solidFill>
            <a:ln xmlns:a="http://schemas.openxmlformats.org/drawingml/2006/main">
              <a:prstDash val="solid"/>
            </a:ln>
          </spPr>
          <invertIfNegative val="1"/>
          <cat>
            <strRef>
              <f>Кварталы!$A$5:$A$7</f>
              <strCache>
                <ptCount val="3"/>
                <pt idx="0">
                  <v>Q3 2026</v>
                </pt>
                <pt idx="1">
                  <v>Q4 2026</v>
                </pt>
                <pt idx="2">
                  <v>Q1 2027</v>
                </pt>
              </strCache>
            </strRef>
          </cat>
          <val>
            <numRef>
              <f>Кварталы!$D$5:$D$7</f>
              <numCache>
                <formatCode>#\ ##0.0</formatCode>
                <ptCount val="3"/>
                <pt idx="0">
                  <v>107</v>
                </pt>
                <pt idx="1">
                  <v>0</v>
                </pt>
                <pt idx="2">
                  <v>0</v>
                </pt>
              </numCache>
            </numRef>
          </val>
        </ser>
        <ser>
          <idx val="2"/>
          <order val="2"/>
          <tx>
            <strRef>
              <f>Кварталы!$E$4</f>
              <strCache>
                <ptCount val="1"/>
                <pt idx="0">
                  <v>Velocity
(дн)</v>
                </pt>
              </strCache>
            </strRef>
          </tx>
          <spPr>
            <a:solidFill xmlns:a="http://schemas.openxmlformats.org/drawingml/2006/main">
              <a:srgbClr val="C00000"/>
            </a:solidFill>
            <a:ln xmlns:a="http://schemas.openxmlformats.org/drawingml/2006/main">
              <a:prstDash val="solid"/>
            </a:ln>
          </spPr>
          <invertIfNegative val="1"/>
          <cat>
            <strRef>
              <f>Кварталы!$A$5:$A$7</f>
              <strCache>
                <ptCount val="3"/>
                <pt idx="0">
                  <v>Q3 2026</v>
                </pt>
                <pt idx="1">
                  <v>Q4 2026</v>
                </pt>
                <pt idx="2">
                  <v>Q1 2027</v>
                </pt>
              </strCache>
            </strRef>
          </cat>
          <val>
            <numRef>
              <f>Кварталы!$E$5:$E$7</f>
              <numCache>
                <formatCode>#\ ##0.0</formatCode>
                <ptCount val="3"/>
                <pt idx="0">
                  <v>38</v>
                </pt>
                <pt idx="1">
                  <v>0</v>
                </pt>
                <pt idx="2">
                  <v>0</v>
                </pt>
              </numCache>
            </numRef>
          </val>
        </ser>
        <dLbls>
          <showLegendKey val="0"/>
          <showVal val="0"/>
          <showCatName val="0"/>
          <showSerName val="0"/>
          <showPercent val="0"/>
          <showBubbleSize val="0"/>
        </dLbls>
        <gapWidth val="150"/>
        <axId val="10"/>
        <axId val="100"/>
      </bar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 ##0.0" sourceLinked="1"/>
        <majorTickMark val="none"/>
        <minorTickMark val="none"/>
        <tickLblPos val="nextTo"/>
        <crossAx val="10"/>
        <crosses val="autoZero"/>
        <crossBetween val="between"/>
      </valAx>
    </plotArea>
    <legend>
      <legendPos val="b"/>
      <overlay val="0"/>
    </legend>
    <plotVisOnly val="1"/>
    <dispBlanksAs val="gap"/>
  </chart>
</chartSpace>
</file>

<file path=xl/charts/chart4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 выполнения по кварталам</a:t>
            </a:r>
          </a:p>
        </rich>
      </tx>
      <overlay val="0"/>
    </title>
    <plotArea>
      <layout/>
      <barChart>
        <barDir val="col"/>
        <grouping val="clustered"/>
        <varyColors val="1"/>
        <ser>
          <idx val="0"/>
          <order val="0"/>
          <tx>
            <strRef>
              <f>Кварталы!$G$4</f>
              <strCache>
                <ptCount val="1"/>
                <pt idx="0">
                  <v>% выпол-
нения</v>
                </pt>
              </strCache>
            </strRef>
          </tx>
          <spPr>
            <a:solidFill xmlns:a="http://schemas.openxmlformats.org/drawingml/2006/main">
              <a:srgbClr val="70AD47"/>
            </a:solidFill>
            <a:ln xmlns:a="http://schemas.openxmlformats.org/drawingml/2006/main">
              <a:prstDash val="solid"/>
            </a:ln>
          </spPr>
          <invertIfNegative val="1"/>
          <cat>
            <strRef>
              <f>Кварталы!$A$5:$A$7</f>
              <strCache>
                <ptCount val="3"/>
                <pt idx="0">
                  <v>Q3 2026</v>
                </pt>
                <pt idx="1">
                  <v>Q4 2026</v>
                </pt>
                <pt idx="2">
                  <v>Q1 2027</v>
                </pt>
              </strCache>
            </strRef>
          </cat>
          <val>
            <numRef>
              <f>Кварталы!$G$5:$G$7</f>
              <numCache>
                <formatCode>0%</formatCode>
                <ptCount val="3"/>
                <pt idx="0">
                  <v>0.3551401869158878</v>
                </pt>
                <pt idx="1">
                  <v>0</v>
                </pt>
                <pt idx="2">
                  <v>0</v>
                </pt>
              </numCache>
            </numRef>
          </val>
        </ser>
        <dLbls>
          <showLegendKey val="0"/>
          <showVal val="0"/>
          <showCatName val="0"/>
          <showSerName val="0"/>
          <showPercent val="0"/>
          <showBubbleSize val="0"/>
        </dLbls>
        <gapWidth val="150"/>
        <axId val="10"/>
        <axId val="100"/>
      </bar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0%" sourceLinked="0"/>
        <majorTickMark val="none"/>
        <minorTickMark val="none"/>
        <tickLblPos val="nextTo"/>
        <crossAx val="10"/>
        <crosses val="autoZero"/>
        <crossBetween val="between"/>
      </valAx>
    </plotArea>
    <plotVisOnly val="1"/>
    <dispBlanksAs val="gap"/>
  </chart>
</chartSpace>
</file>

<file path=xl/charts/chart43.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 xml:space="preserve">RICE score </a:t>
            </a:r>
            <a:r>
              <a:rPr lang="ru-RU"/>
              <a:t>по фичам</a:t>
            </a:r>
          </a:p>
        </rich>
      </tx>
      <overlay val="1"/>
    </title>
    <plotArea>
      <layout/>
      <barChart>
        <barDir val="bar"/>
        <grouping val="clustered"/>
        <varyColors val="1"/>
        <ser>
          <idx val="0"/>
          <order val="0"/>
          <tx>
            <strRef>
              <f>RICE!$G$4</f>
              <strCache>
                <ptCount val="1"/>
                <pt idx="0">
                  <v>RICE
score</v>
                </pt>
              </strCache>
            </strRef>
          </tx>
          <spPr>
            <a:ln xmlns:a="http://schemas.openxmlformats.org/drawingml/2006/main">
              <a:prstDash val="solid"/>
            </a:ln>
          </spPr>
          <invertIfNegative val="1"/>
          <cat>
            <strRef>
              <f>RICE!$B$5:$B$14</f>
              <strCache>
                <ptCount val="10"/>
                <pt idx="0">
                  <v>MVP оформления заказа</v>
                </pt>
                <pt idx="1">
                  <v>Оплата картой</v>
                </pt>
                <pt idx="2">
                  <v>Промокоды и скидки</v>
                </pt>
                <pt idx="3">
                  <v>Уведомления (e-mail/push)</v>
                </pt>
                <pt idx="4">
                  <v>История заказов</v>
                </pt>
                <pt idx="5">
                  <v>Мобильная вёрстка</v>
                </pt>
                <pt idx="6">
                  <v>Личный кабинет</v>
                </pt>
                <pt idx="7">
                  <v>Рекомендации товаров</v>
                </pt>
                <pt idx="8">
                  <v>Экспорт отчётов</v>
                </pt>
                <pt idx="9">
                  <v>Мультиязычность</v>
                </pt>
              </strCache>
            </strRef>
          </cat>
          <val>
            <numRef>
              <f>RICE!$G$5:$G$14</f>
              <numCache>
                <formatCode>#\ ##0.0</formatCode>
                <ptCount val="10"/>
                <pt idx="0">
                  <v>375</v>
                </pt>
                <pt idx="1">
                  <v>480</v>
                </pt>
                <pt idx="2">
                  <v>200</v>
                </pt>
                <pt idx="3">
                  <v>213.3333333333333</v>
                </pt>
                <pt idx="4">
                  <v>175</v>
                </pt>
                <pt idx="5">
                  <v>360</v>
                </pt>
                <pt idx="6">
                  <v>83.33333333333333</v>
                </pt>
                <pt idx="7">
                  <v>90.90909090909091</v>
                </pt>
                <pt idx="8">
                  <v>40</v>
                </pt>
                <pt idx="9">
                  <v>25</v>
                </pt>
              </numCache>
            </numRef>
          </val>
        </ser>
        <dLbls>
          <showLegendKey val="0"/>
          <showVal val="0"/>
          <showCatName val="0"/>
          <showSerName val="0"/>
          <showPercent val="0"/>
          <showBubbleSize val="0"/>
        </dLbls>
        <gapWidth val="150"/>
        <axId val="10"/>
        <axId val="100"/>
      </barChart>
      <catAx>
        <axId val="10"/>
        <scaling>
          <orientation val="minMax"/>
        </scaling>
        <delete val="0"/>
        <axPos val="l"/>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b"/>
        <majorGridlines/>
        <numFmt formatCode="#\ ##0.0" sourceLinked="1"/>
        <majorTickMark val="none"/>
        <minorTickMark val="none"/>
        <tickLblPos val="nextTo"/>
        <crossAx val="10"/>
        <crosses val="autoZero"/>
        <crossBetween val="between"/>
      </valAx>
    </plotArea>
    <plotVisOnly val="1"/>
    <dispBlanksAs val="gap"/>
  </chart>
</chartSpace>
</file>

<file path=xl/charts/chart44.xml><?xml version="1.0" encoding="utf-8"?>
<chartSpace xmlns="http://schemas.openxmlformats.org/drawingml/2006/chart">
  <chart>
    <title>
      <tx>
        <rich>
          <a:bodyPr xmlns:a="http://schemas.openxmlformats.org/drawingml/2006/main"/>
          <a:p xmlns:a="http://schemas.openxmlformats.org/drawingml/2006/main">
            <a:pPr>
              <a:defRPr/>
            </a:pPr>
            <a:r>
              <a:t>Число фич по категориям MoSCoW</a:t>
            </a:r>
          </a:p>
        </rich>
      </tx>
    </title>
    <plotArea>
      <barChart>
        <barDir val="bar"/>
        <grouping val="clustered"/>
        <ser>
          <idx val="0"/>
          <order val="0"/>
          <tx>
            <strRef>
              <f>'MoSCoW'!B19</f>
            </strRef>
          </tx>
          <spPr>
            <a:ln xmlns:a="http://schemas.openxmlformats.org/drawingml/2006/main">
              <a:prstDash val="solid"/>
            </a:ln>
          </spPr>
          <cat>
            <numRef>
              <f>'MoSCoW'!$A$20:$A$23</f>
            </numRef>
          </cat>
          <val>
            <numRef>
              <f>'MoSCoW'!$B$20:$B$23</f>
            </numRef>
          </val>
        </ser>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majorTickMark val="none"/>
        <minorTickMark val="none"/>
        <crossAx val="10"/>
      </valAx>
    </plotArea>
    <plotVisOnly val="1"/>
    <dispBlanksAs val="gap"/>
  </chart>
</chartSpace>
</file>

<file path=xl/charts/chart45.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 xml:space="preserve">Roadmap </a:t>
            </a:r>
            <a:r>
              <a:rPr lang="ru-RU"/>
              <a:t>спринтов по кварталам</a:t>
            </a:r>
          </a:p>
        </rich>
      </tx>
      <overlay val="0"/>
    </title>
    <plotArea>
      <layout/>
      <barChart>
        <barDir val="bar"/>
        <grouping val="stacked"/>
        <varyColors val="1"/>
        <ser>
          <idx val="0"/>
          <order val="0"/>
          <tx>
            <strRef>
              <f>'Квартальный roadmap'!$C$4</f>
              <strCache>
                <ptCount val="1"/>
                <pt idx="0">
                  <v>Начало</v>
                </pt>
              </strCache>
            </strRef>
          </tx>
          <spPr>
            <a:noFill xmlns:a="http://schemas.openxmlformats.org/drawingml/2006/main"/>
            <a:ln xmlns:a="http://schemas.openxmlformats.org/drawingml/2006/main">
              <a:noFill/>
              <a:prstDash val="solid"/>
            </a:ln>
          </spPr>
          <invertIfNegative val="1"/>
          <cat>
            <strRef>
              <f>'Квартальный roadmap'!$A$5:$A$15</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'Квартальный roadmap'!$C$5:$C$15</f>
              <numCache>
                <formatCode>dd\.mm\.yy</formatCode>
                <ptCount val="11"/>
                <pt idx="0">
                  <v>46237</v>
                </pt>
                <pt idx="1">
                  <v>46251</v>
                </pt>
                <pt idx="2">
                  <v>46265</v>
                </pt>
                <pt idx="3">
                  <v>46279</v>
                </pt>
                <pt idx="4">
                  <v>46293</v>
                </pt>
                <pt idx="5">
                  <v>46307</v>
                </pt>
                <pt idx="6">
                  <v>46321</v>
                </pt>
                <pt idx="7">
                  <v>46335</v>
                </pt>
                <pt idx="8">
                  <v>46349</v>
                </pt>
                <pt idx="9">
                  <v>46363</v>
                </pt>
                <pt idx="10">
                  <v>46377</v>
                </pt>
              </numCache>
            </numRef>
          </val>
        </ser>
        <ser>
          <idx val="1"/>
          <order val="1"/>
          <tx>
            <strRef>
              <f>'Квартальный roadmap'!$E$4</f>
              <strCache>
                <ptCount val="1"/>
                <pt idx="0">
                  <v>Длит. (дн)</v>
                </pt>
              </strCache>
            </strRef>
          </tx>
          <spPr>
            <a:solidFill xmlns:a="http://schemas.openxmlformats.org/drawingml/2006/main">
              <a:srgbClr val="4472C4"/>
            </a:solidFill>
            <a:ln xmlns:a="http://schemas.openxmlformats.org/drawingml/2006/main">
              <a:prstDash val="solid"/>
            </a:ln>
          </spPr>
          <invertIfNegative val="1"/>
          <dPt>
            <idx val="0"/>
            <invertIfNegative val="1"/>
            <bubble3D val="0"/>
            <spPr>
              <a:ln xmlns:a="http://schemas.openxmlformats.org/drawingml/2006/main">
                <a:prstDash val="solid"/>
              </a:ln>
            </spPr>
          </dPt>
          <dPt>
            <idx val="1"/>
            <invertIfNegative val="1"/>
            <bubble3D val="0"/>
            <spPr>
              <a:ln xmlns:a="http://schemas.openxmlformats.org/drawingml/2006/main">
                <a:prstDash val="solid"/>
              </a:ln>
            </spPr>
          </dPt>
          <dPt>
            <idx val="2"/>
            <invertIfNegative val="1"/>
            <bubble3D val="0"/>
            <spPr>
              <a:ln xmlns:a="http://schemas.openxmlformats.org/drawingml/2006/main">
                <a:prstDash val="solid"/>
              </a:ln>
            </spPr>
          </dPt>
          <dPt>
            <idx val="3"/>
            <invertIfNegative val="1"/>
            <bubble3D val="0"/>
            <spPr>
              <a:ln xmlns:a="http://schemas.openxmlformats.org/drawingml/2006/main">
                <a:prstDash val="solid"/>
              </a:ln>
            </spPr>
          </dPt>
          <dPt>
            <idx val="4"/>
            <invertIfNegative val="1"/>
            <bubble3D val="0"/>
            <spPr>
              <a:ln xmlns:a="http://schemas.openxmlformats.org/drawingml/2006/main">
                <a:prstDash val="solid"/>
              </a:ln>
            </spPr>
          </dPt>
          <dPt>
            <idx val="5"/>
            <invertIfNegative val="1"/>
            <bubble3D val="0"/>
            <spPr>
              <a:solidFill xmlns:a="http://schemas.openxmlformats.org/drawingml/2006/main">
                <a:srgbClr val="ED7D31"/>
              </a:solidFill>
              <a:ln xmlns:a="http://schemas.openxmlformats.org/drawingml/2006/main">
                <a:prstDash val="solid"/>
              </a:ln>
            </spPr>
          </dPt>
          <dPt>
            <idx val="6"/>
            <invertIfNegative val="1"/>
            <bubble3D val="0"/>
            <spPr>
              <a:solidFill xmlns:a="http://schemas.openxmlformats.org/drawingml/2006/main">
                <a:srgbClr val="ED7D31"/>
              </a:solidFill>
              <a:ln xmlns:a="http://schemas.openxmlformats.org/drawingml/2006/main">
                <a:prstDash val="solid"/>
              </a:ln>
            </spPr>
          </dPt>
          <dPt>
            <idx val="7"/>
            <invertIfNegative val="1"/>
            <bubble3D val="0"/>
            <spPr>
              <a:solidFill xmlns:a="http://schemas.openxmlformats.org/drawingml/2006/main">
                <a:srgbClr val="ED7D31"/>
              </a:solidFill>
              <a:ln xmlns:a="http://schemas.openxmlformats.org/drawingml/2006/main">
                <a:prstDash val="solid"/>
              </a:ln>
            </spPr>
          </dPt>
          <dPt>
            <idx val="8"/>
            <invertIfNegative val="1"/>
            <bubble3D val="0"/>
            <spPr>
              <a:solidFill xmlns:a="http://schemas.openxmlformats.org/drawingml/2006/main">
                <a:srgbClr val="ED7D31"/>
              </a:solidFill>
              <a:ln xmlns:a="http://schemas.openxmlformats.org/drawingml/2006/main">
                <a:prstDash val="solid"/>
              </a:ln>
            </spPr>
          </dPt>
          <dPt>
            <idx val="9"/>
            <invertIfNegative val="1"/>
            <bubble3D val="0"/>
            <spPr>
              <a:solidFill xmlns:a="http://schemas.openxmlformats.org/drawingml/2006/main">
                <a:srgbClr val="ED7D31"/>
              </a:solidFill>
              <a:ln xmlns:a="http://schemas.openxmlformats.org/drawingml/2006/main">
                <a:prstDash val="solid"/>
              </a:ln>
            </spPr>
          </dPt>
          <dPt>
            <idx val="10"/>
            <invertIfNegative val="1"/>
            <bubble3D val="0"/>
            <spPr>
              <a:solidFill xmlns:a="http://schemas.openxmlformats.org/drawingml/2006/main">
                <a:srgbClr val="ED7D31"/>
              </a:solidFill>
              <a:ln xmlns:a="http://schemas.openxmlformats.org/drawingml/2006/main">
                <a:prstDash val="solid"/>
              </a:ln>
            </spPr>
          </dPt>
          <cat>
            <strRef>
              <f>'Квартальный roadmap'!$A$5:$A$15</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'Квартальный roadmap'!$E$5:$E$15</f>
              <numCache>
                <formatCode>0</formatCode>
                <ptCount val="11"/>
                <pt idx="0">
                  <v>11</v>
                </pt>
                <pt idx="1">
                  <v>11</v>
                </pt>
                <pt idx="2">
                  <v>11</v>
                </pt>
                <pt idx="3">
                  <v>11</v>
                </pt>
                <pt idx="4">
                  <v>11</v>
                </pt>
                <pt idx="5">
                  <v>11</v>
                </pt>
                <pt idx="6">
                  <v>11</v>
                </pt>
                <pt idx="7">
                  <v>11</v>
                </pt>
                <pt idx="8">
                  <v>11</v>
                </pt>
                <pt idx="9">
                  <v>11</v>
                </pt>
                <pt idx="10">
                  <v>11</v>
                </pt>
              </numCache>
            </numRef>
          </val>
        </ser>
        <dLbls>
          <showLegendKey val="0"/>
          <showVal val="0"/>
          <showCatName val="0"/>
          <showSerName val="0"/>
          <showPercent val="0"/>
          <showBubbleSize val="0"/>
        </dLbls>
        <gapWidth val="150"/>
        <overlap val="100"/>
        <axId val="10"/>
        <axId val="100"/>
      </barChart>
      <catAx>
        <axId val="10"/>
        <scaling>
          <orientation val="maxMin"/>
        </scaling>
        <delete val="0"/>
        <axPos val="l"/>
        <numFmt formatCode="General" sourceLinked="1"/>
        <majorTickMark val="none"/>
        <minorTickMark val="none"/>
        <tickLblPos val="nextTo"/>
        <crossAx val="100"/>
        <crosses val="autoZero"/>
        <auto val="1"/>
        <lblAlgn val="ctr"/>
        <lblOffset val="100"/>
        <noMultiLvlLbl val="1"/>
      </catAx>
      <valAx>
        <axId val="100"/>
        <scaling>
          <orientation val="minMax"/>
          <max val="46397"/>
          <min val="46235"/>
        </scaling>
        <delete val="0"/>
        <axPos val="t"/>
        <numFmt formatCode="dd\.mm" sourceLinked="0"/>
        <majorTickMark val="none"/>
        <minorTickMark val="none"/>
        <tickLblPos val="nextTo"/>
        <crossAx val="10"/>
        <crosses val="autoZero"/>
        <crossBetween val="between"/>
      </valAx>
    </plotArea>
    <plotVisOnly val="1"/>
    <dispBlanksAs val="gap"/>
  </chart>
</chartSpace>
</file>

<file path=xl/charts/chart46.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Содержимое релизов (стори / задачи / дефекты)</a:t>
            </a:r>
          </a:p>
        </rich>
      </tx>
      <overlay val="0"/>
    </title>
    <plotArea>
      <layout/>
      <barChart>
        <barDir val="col"/>
        <grouping val="clustered"/>
        <varyColors val="1"/>
        <ser>
          <idx val="0"/>
          <order val="0"/>
          <tx>
            <strRef>
              <f>Релизы!$G$4</f>
              <strCache>
                <ptCount val="1"/>
                <pt idx="0">
                  <v>Стори</v>
                </pt>
              </strCache>
            </strRef>
          </tx>
          <spPr>
            <a:solidFill xmlns:a="http://schemas.openxmlformats.org/drawingml/2006/main">
              <a:srgbClr val="4472C4"/>
            </a:solidFill>
            <a:ln xmlns:a="http://schemas.openxmlformats.org/drawingml/2006/main">
              <a:prstDash val="solid"/>
            </a:ln>
          </spPr>
          <invertIfNegative val="1"/>
          <cat>
            <strRef>
              <f>Релизы!$B$5:$B$9</f>
              <strCache>
                <ptCount val="5"/>
                <pt idx="0">
                  <v>Внутренний релиз (MVP)</v>
                </pt>
                <pt idx="1">
                  <v>Бета для площадок</v>
                </pt>
                <pt idx="2">
                  <v>Публичный релиз 1.0</v>
                </pt>
                <pt idx="3">
                  <v>Релиз 1.1 — уведомления</v>
                </pt>
                <pt idx="4">
                  <v>GA / Стабилизация</v>
                </pt>
              </strCache>
            </strRef>
          </cat>
          <val>
            <numRef>
              <f>Релизы!$G$5:$G$9</f>
              <numCache>
                <formatCode>General</formatCode>
                <ptCount val="5"/>
                <pt idx="0">
                  <v>3</v>
                </pt>
                <pt idx="1">
                  <v>3</v>
                </pt>
                <pt idx="2">
                  <v>1</v>
                </pt>
                <pt idx="3">
                  <v>0</v>
                </pt>
                <pt idx="4">
                  <v>0</v>
                </pt>
              </numCache>
            </numRef>
          </val>
        </ser>
        <ser>
          <idx val="1"/>
          <order val="1"/>
          <tx>
            <strRef>
              <f>Релизы!$H$4</f>
              <strCache>
                <ptCount val="1"/>
                <pt idx="0">
                  <v>Задач</v>
                </pt>
              </strCache>
            </strRef>
          </tx>
          <spPr>
            <a:solidFill xmlns:a="http://schemas.openxmlformats.org/drawingml/2006/main">
              <a:srgbClr val="70AD47"/>
            </a:solidFill>
            <a:ln xmlns:a="http://schemas.openxmlformats.org/drawingml/2006/main">
              <a:prstDash val="solid"/>
            </a:ln>
          </spPr>
          <invertIfNegative val="1"/>
          <cat>
            <strRef>
              <f>Релизы!$B$5:$B$9</f>
              <strCache>
                <ptCount val="5"/>
                <pt idx="0">
                  <v>Внутренний релиз (MVP)</v>
                </pt>
                <pt idx="1">
                  <v>Бета для площадок</v>
                </pt>
                <pt idx="2">
                  <v>Публичный релиз 1.0</v>
                </pt>
                <pt idx="3">
                  <v>Релиз 1.1 — уведомления</v>
                </pt>
                <pt idx="4">
                  <v>GA / Стабилизация</v>
                </pt>
              </strCache>
            </strRef>
          </cat>
          <val>
            <numRef>
              <f>Релизы!$H$5:$H$9</f>
              <numCache>
                <formatCode>General</formatCode>
                <ptCount val="5"/>
                <pt idx="0">
                  <v>5</v>
                </pt>
                <pt idx="1">
                  <v>5</v>
                </pt>
                <pt idx="2">
                  <v>1</v>
                </pt>
                <pt idx="3">
                  <v>0</v>
                </pt>
                <pt idx="4">
                  <v>0</v>
                </pt>
              </numCache>
            </numRef>
          </val>
        </ser>
        <ser>
          <idx val="2"/>
          <order val="2"/>
          <tx>
            <strRef>
              <f>Релизы!$I$4</f>
              <strCache>
                <ptCount val="1"/>
                <pt idx="0">
                  <v>Дефектов</v>
                </pt>
              </strCache>
            </strRef>
          </tx>
          <spPr>
            <a:solidFill xmlns:a="http://schemas.openxmlformats.org/drawingml/2006/main">
              <a:srgbClr val="C00000"/>
            </a:solidFill>
            <a:ln xmlns:a="http://schemas.openxmlformats.org/drawingml/2006/main">
              <a:prstDash val="solid"/>
            </a:ln>
          </spPr>
          <invertIfNegative val="1"/>
          <cat>
            <strRef>
              <f>Релизы!$B$5:$B$9</f>
              <strCache>
                <ptCount val="5"/>
                <pt idx="0">
                  <v>Внутренний релиз (MVP)</v>
                </pt>
                <pt idx="1">
                  <v>Бета для площадок</v>
                </pt>
                <pt idx="2">
                  <v>Публичный релиз 1.0</v>
                </pt>
                <pt idx="3">
                  <v>Релиз 1.1 — уведомления</v>
                </pt>
                <pt idx="4">
                  <v>GA / Стабилизация</v>
                </pt>
              </strCache>
            </strRef>
          </cat>
          <val>
            <numRef>
              <f>Релизы!$I$5:$I$9</f>
              <numCache>
                <formatCode>General</formatCode>
                <ptCount val="5"/>
                <pt idx="0">
                  <v>11</v>
                </pt>
                <pt idx="1">
                  <v>2</v>
                </pt>
                <pt idx="2">
                  <v>0</v>
                </pt>
                <pt idx="3">
                  <v>0</v>
                </pt>
                <pt idx="4">
                  <v>0</v>
                </pt>
              </numCache>
            </numRef>
          </val>
        </ser>
        <dLbls>
          <showLegendKey val="0"/>
          <showVal val="0"/>
          <showCatName val="0"/>
          <showSerName val="0"/>
          <showPercent val="0"/>
          <showBubbleSize val="0"/>
        </dLbls>
        <gapWidth val="150"/>
        <axId val="10"/>
        <axId val="100"/>
      </bar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charts/chart47.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Вехи по статусу</a:t>
            </a:r>
          </a:p>
        </rich>
      </tx>
      <overlay val="0"/>
    </title>
    <plotArea>
      <layout/>
      <barChart>
        <barDir val="col"/>
        <grouping val="clustered"/>
        <varyColors val="1"/>
        <ser>
          <idx val="0"/>
          <order val="0"/>
          <spPr>
            <a:solidFill xmlns:a="http://schemas.openxmlformats.org/drawingml/2006/main">
              <a:srgbClr val="1F4E78"/>
            </a:solidFill>
            <a:ln xmlns:a="http://schemas.openxmlformats.org/drawingml/2006/main">
              <a:prstDash val="solid"/>
            </a:ln>
          </spPr>
          <invertIfNegative val="1"/>
          <cat>
            <strRef>
              <f>Вехи!$A$12:$A$15</f>
              <strCache>
                <ptCount val="4"/>
                <pt idx="0">
                  <v>Планируется</v>
                </pt>
                <pt idx="1">
                  <v>В работе</v>
                </pt>
                <pt idx="2">
                  <v>Готово</v>
                </pt>
                <pt idx="3">
                  <v>Задержка</v>
                </pt>
              </strCache>
            </strRef>
          </cat>
          <val>
            <numRef>
              <f>Вехи!$B$12:$B$15</f>
              <numCache>
                <formatCode>General</formatCode>
                <ptCount val="4"/>
                <pt idx="0">
                  <v>3</v>
                </pt>
                <pt idx="1">
                  <v>0</v>
                </pt>
                <pt idx="2">
                  <v>2</v>
                </pt>
                <pt idx="3">
                  <v>0</v>
                </pt>
              </numCache>
            </numRef>
          </val>
        </ser>
        <dLbls>
          <showLegendKey val="0"/>
          <showVal val="0"/>
          <showCatName val="0"/>
          <showSerName val="0"/>
          <showPercent val="0"/>
          <showBubbleSize val="0"/>
        </dLbls>
        <gapWidth val="150"/>
        <axId val="10"/>
        <axId val="100"/>
      </bar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General" sourceLinked="1"/>
        <majorTickMark val="none"/>
        <minorTickMark val="none"/>
        <tickLblPos val="nextTo"/>
        <crossAx val="10"/>
        <crosses val="autoZero"/>
        <crossBetween val="between"/>
      </valAx>
    </plotArea>
    <plotVisOnly val="1"/>
    <dispBlanksAs val="gap"/>
  </chart>
</chartSpace>
</file>

<file path=xl/charts/chart48.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Техдолг: оценка (дн) по типу</a:t>
            </a:r>
          </a:p>
        </rich>
      </tx>
      <overlay val="0"/>
    </title>
    <plotArea>
      <layout/>
      <barChart>
        <barDir val="col"/>
        <grouping val="clustered"/>
        <varyColors val="1"/>
        <ser>
          <idx val="0"/>
          <order val="0"/>
          <tx>
            <strRef>
              <f>'Технический долг'!$B$13</f>
              <strCache>
                <ptCount val="1"/>
                <pt idx="0">
                  <v>Оценка (дн)</v>
                </pt>
              </strCache>
            </strRef>
          </tx>
          <spPr>
            <a:solidFill xmlns:a="http://schemas.openxmlformats.org/drawingml/2006/main">
              <a:srgbClr val="ED7D31"/>
            </a:solidFill>
            <a:ln xmlns:a="http://schemas.openxmlformats.org/drawingml/2006/main">
              <a:prstDash val="solid"/>
            </a:ln>
          </spPr>
          <invertIfNegative val="1"/>
          <cat>
            <strRef>
              <f>'Технический долг'!$A$14:$A$18</f>
              <strCache>
                <ptCount val="5"/>
                <pt idx="0">
                  <v>Архитектура</v>
                </pt>
                <pt idx="1">
                  <v>Код</v>
                </pt>
                <pt idx="2">
                  <v>Тесты</v>
                </pt>
                <pt idx="3">
                  <v>Инфраструктура</v>
                </pt>
                <pt idx="4">
                  <v>Документация</v>
                </pt>
              </strCache>
            </strRef>
          </cat>
          <val>
            <numRef>
              <f>'Технический долг'!$B$14:$B$18</f>
              <numCache>
                <formatCode>#\ ##0.0</formatCode>
                <ptCount val="5"/>
                <pt idx="0">
                  <v>2</v>
                </pt>
                <pt idx="1">
                  <v>6</v>
                </pt>
                <pt idx="2">
                  <v>2</v>
                </pt>
                <pt idx="3">
                  <v>2</v>
                </pt>
                <pt idx="4">
                  <v>1</v>
                </pt>
              </numCache>
            </numRef>
          </val>
        </ser>
        <dLbls>
          <showLegendKey val="0"/>
          <showVal val="0"/>
          <showCatName val="0"/>
          <showSerName val="0"/>
          <showPercent val="0"/>
          <showBubbleSize val="0"/>
        </dLbls>
        <gapWidth val="150"/>
        <axId val="10"/>
        <axId val="100"/>
      </bar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 ##0.0" sourceLinked="1"/>
        <majorTickMark val="none"/>
        <minorTickMark val="none"/>
        <tickLblPos val="nextTo"/>
        <crossAx val="10"/>
        <crosses val="autoZero"/>
        <crossBetween val="between"/>
      </valAx>
    </plotArea>
    <plotVisOnly val="1"/>
    <dispBlanksAs val="gap"/>
  </chart>
</chartSpace>
</file>

<file path=xl/charts/chart49.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Техдолг по статусу</a:t>
            </a:r>
          </a:p>
        </rich>
      </tx>
      <overlay val="0"/>
    </title>
    <plotArea>
      <layout/>
      <barChart>
        <barDir val="col"/>
        <grouping val="clustered"/>
        <varyColors val="1"/>
        <ser>
          <idx val="0"/>
          <order val="0"/>
          <tx>
            <strRef>
              <f>'Технический долг'!$B$21</f>
              <strCache>
                <ptCount val="1"/>
                <pt idx="0">
                  <v>Кол-во</v>
                </pt>
              </strCache>
            </strRef>
          </tx>
          <spPr>
            <a:solidFill xmlns:a="http://schemas.openxmlformats.org/drawingml/2006/main">
              <a:srgbClr val="4472C4"/>
            </a:solidFill>
            <a:ln xmlns:a="http://schemas.openxmlformats.org/drawingml/2006/main">
              <a:prstDash val="solid"/>
            </a:ln>
          </spPr>
          <invertIfNegative val="1"/>
          <cat>
            <strRef>
              <f>'Технический долг'!$A$22:$A$24</f>
              <strCache>
                <ptCount val="3"/>
                <pt idx="0">
                  <v>Открыт</v>
                </pt>
                <pt idx="1">
                  <v>В работе</v>
                </pt>
                <pt idx="2">
                  <v>Закрыт</v>
                </pt>
              </strCache>
            </strRef>
          </cat>
          <val>
            <numRef>
              <f>'Технический долг'!$B$22:$B$24</f>
              <numCache>
                <formatCode>General</formatCode>
                <ptCount val="3"/>
                <pt idx="0">
                  <v>3</v>
                </pt>
                <pt idx="1">
                  <v>1</v>
                </pt>
                <pt idx="2">
                  <v>2</v>
                </pt>
              </numCache>
            </numRef>
          </val>
        </ser>
        <dLbls>
          <showLegendKey val="0"/>
          <showVal val="0"/>
          <showCatName val="0"/>
          <showSerName val="0"/>
          <showPercent val="0"/>
          <showBubbleSize val="0"/>
        </dLbls>
        <gapWidth val="150"/>
        <axId val="10"/>
        <axId val="100"/>
      </bar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General" sourceLinked="1"/>
        <majorTickMark val="none"/>
        <minorTickMark val="none"/>
        <tickLblPos val="nextTo"/>
        <crossAx val="10"/>
        <crosses val="autoZero"/>
        <crossBetween val="between"/>
      </valAx>
    </plotArea>
    <plotVisOnly val="1"/>
    <dispBlanksAs val="gap"/>
  </chart>
</chartSpace>
</file>

<file path=xl/charts/chart50.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Тренд техдолга: создано / погашено / открыто</a:t>
            </a:r>
          </a:p>
        </rich>
      </tx>
      <overlay val="0"/>
    </title>
    <plotArea>
      <layout/>
      <barChart>
        <barDir val="col"/>
        <grouping val="clustered"/>
        <varyColors val="1"/>
        <ser>
          <idx val="0"/>
          <order val="0"/>
          <tx>
            <strRef>
              <f>'Технический долг'!$B$28</f>
              <strCache>
                <ptCount val="1"/>
                <pt idx="0">
                  <v>Создано</v>
                </pt>
              </strCache>
            </strRef>
          </tx>
          <spPr>
            <a:solidFill xmlns:a="http://schemas.openxmlformats.org/drawingml/2006/main">
              <a:srgbClr val="C00000"/>
            </a:solidFill>
            <a:ln xmlns:a="http://schemas.openxmlformats.org/drawingml/2006/main">
              <a:prstDash val="solid"/>
            </a:ln>
          </spPr>
          <invertIfNegative val="1"/>
          <cat>
            <numRef>
              <f>'Технический долг'!$A$29:$A$39</f>
              <numCache>
                <formatCode>General</formatCode>
                <ptCount val="11"/>
                <pt idx="0">
                  <v>1</v>
                </pt>
                <pt idx="1">
                  <v>2</v>
                </pt>
                <pt idx="2">
                  <v>3</v>
                </pt>
                <pt idx="3">
                  <v>4</v>
                </pt>
                <pt idx="4">
                  <v>5</v>
                </pt>
                <pt idx="5">
                  <v>6</v>
                </pt>
                <pt idx="6">
                  <v>7</v>
                </pt>
                <pt idx="7">
                  <v>8</v>
                </pt>
                <pt idx="8">
                  <v>9</v>
                </pt>
                <pt idx="9">
                  <v>10</v>
                </pt>
                <pt idx="10">
                  <v>11</v>
                </pt>
              </numCache>
            </numRef>
          </cat>
          <val>
            <numRef>
              <f>'Технический долг'!$B$29:$B$39</f>
              <numCache>
                <formatCode>General</formatCode>
                <ptCount val="11"/>
                <pt idx="0">
                  <v>1</v>
                </pt>
                <pt idx="1">
                  <v>1</v>
                </pt>
                <pt idx="2">
                  <v>2</v>
                </pt>
                <pt idx="3">
                  <v>1</v>
                </pt>
                <pt idx="4">
                  <v>1</v>
                </pt>
                <pt idx="5">
                  <v>0</v>
                </pt>
                <pt idx="6">
                  <v>0</v>
                </pt>
                <pt idx="7">
                  <v>0</v>
                </pt>
                <pt idx="8">
                  <v>0</v>
                </pt>
                <pt idx="9">
                  <v>0</v>
                </pt>
                <pt idx="10">
                  <v>0</v>
                </pt>
              </numCache>
            </numRef>
          </val>
        </ser>
        <ser>
          <idx val="1"/>
          <order val="1"/>
          <tx>
            <strRef>
              <f>'Технический долг'!$C$28</f>
              <strCache>
                <ptCount val="1"/>
                <pt idx="0">
                  <v>Погашено</v>
                </pt>
              </strCache>
            </strRef>
          </tx>
          <spPr>
            <a:solidFill xmlns:a="http://schemas.openxmlformats.org/drawingml/2006/main">
              <a:srgbClr val="70AD47"/>
            </a:solidFill>
            <a:ln xmlns:a="http://schemas.openxmlformats.org/drawingml/2006/main">
              <a:prstDash val="solid"/>
            </a:ln>
          </spPr>
          <invertIfNegative val="1"/>
          <cat>
            <numRef>
              <f>'Технический долг'!$A$29:$A$39</f>
              <numCache>
                <formatCode>General</formatCode>
                <ptCount val="11"/>
                <pt idx="0">
                  <v>1</v>
                </pt>
                <pt idx="1">
                  <v>2</v>
                </pt>
                <pt idx="2">
                  <v>3</v>
                </pt>
                <pt idx="3">
                  <v>4</v>
                </pt>
                <pt idx="4">
                  <v>5</v>
                </pt>
                <pt idx="5">
                  <v>6</v>
                </pt>
                <pt idx="6">
                  <v>7</v>
                </pt>
                <pt idx="7">
                  <v>8</v>
                </pt>
                <pt idx="8">
                  <v>9</v>
                </pt>
                <pt idx="9">
                  <v>10</v>
                </pt>
                <pt idx="10">
                  <v>11</v>
                </pt>
              </numCache>
            </numRef>
          </cat>
          <val>
            <numRef>
              <f>'Технический долг'!$C$29:$C$39</f>
              <numCache>
                <formatCode>General</formatCode>
                <ptCount val="11"/>
                <pt idx="0">
                  <v>0</v>
                </pt>
                <pt idx="1">
                  <v>0</v>
                </pt>
                <pt idx="2">
                  <v>1</v>
                </pt>
                <pt idx="3">
                  <v>1</v>
                </pt>
                <pt idx="4">
                  <v>0</v>
                </pt>
                <pt idx="5">
                  <v>0</v>
                </pt>
                <pt idx="6">
                  <v>0</v>
                </pt>
                <pt idx="7">
                  <v>0</v>
                </pt>
                <pt idx="8">
                  <v>0</v>
                </pt>
                <pt idx="9">
                  <v>0</v>
                </pt>
                <pt idx="10">
                  <v>0</v>
                </pt>
              </numCache>
            </numRef>
          </val>
        </ser>
        <dLbls>
          <showLegendKey val="0"/>
          <showVal val="0"/>
          <showCatName val="0"/>
          <showSerName val="0"/>
          <showPercent val="0"/>
          <showBubbleSize val="0"/>
        </dLbls>
        <gapWidth val="150"/>
        <axId val="10"/>
        <axId val="100"/>
      </barChart>
      <lineChart>
        <grouping val="standard"/>
        <varyColors val="1"/>
        <ser>
          <idx val="2"/>
          <order val="2"/>
          <tx>
            <strRef>
              <f>'Технический долг'!$D$28</f>
              <strCache>
                <ptCount val="1"/>
                <pt idx="0">
                  <v>Открыто (накопит.)</v>
                </pt>
              </strCache>
            </strRef>
          </tx>
          <spPr>
            <a:ln xmlns:a="http://schemas.openxmlformats.org/drawingml/2006/main" w="28000">
              <a:solidFill>
                <a:srgbClr val="1F4E78"/>
              </a:solidFill>
              <a:prstDash val="solid"/>
            </a:ln>
          </spPr>
          <marker>
            <symbol val="none"/>
            <spPr>
              <a:ln xmlns:a="http://schemas.openxmlformats.org/drawingml/2006/main">
                <a:prstDash val="solid"/>
              </a:ln>
            </spPr>
          </marker>
          <cat>
            <numRef>
              <f>'Технический долг'!$A$29:$A$39</f>
              <numCache>
                <formatCode>General</formatCode>
                <ptCount val="11"/>
                <pt idx="0">
                  <v>1</v>
                </pt>
                <pt idx="1">
                  <v>2</v>
                </pt>
                <pt idx="2">
                  <v>3</v>
                </pt>
                <pt idx="3">
                  <v>4</v>
                </pt>
                <pt idx="4">
                  <v>5</v>
                </pt>
                <pt idx="5">
                  <v>6</v>
                </pt>
                <pt idx="6">
                  <v>7</v>
                </pt>
                <pt idx="7">
                  <v>8</v>
                </pt>
                <pt idx="8">
                  <v>9</v>
                </pt>
                <pt idx="9">
                  <v>10</v>
                </pt>
                <pt idx="10">
                  <v>11</v>
                </pt>
              </numCache>
            </numRef>
          </cat>
          <val>
            <numRef>
              <f>'Технический долг'!$D$29:$D$39</f>
              <numCache>
                <formatCode>General</formatCode>
                <ptCount val="11"/>
                <pt idx="0">
                  <v>1</v>
                </pt>
                <pt idx="1">
                  <v>2</v>
                </pt>
                <pt idx="2">
                  <v>3</v>
                </pt>
                <pt idx="3">
                  <v>3</v>
                </pt>
                <pt idx="4">
                  <v>4</v>
                </pt>
                <pt idx="5">
                  <v>4</v>
                </pt>
                <pt idx="6">
                  <v>4</v>
                </pt>
                <pt idx="7">
                  <v>4</v>
                </pt>
                <pt idx="8">
                  <v>4</v>
                </pt>
                <pt idx="9">
                  <v>4</v>
                </pt>
                <pt idx="10">
                  <v>4</v>
                </pt>
              </numCache>
            </numRef>
          </val>
          <smooth val="1"/>
        </ser>
        <dLbls>
          <showLegendKey val="0"/>
          <showVal val="0"/>
          <showCatName val="0"/>
          <showSerName val="0"/>
          <showPercent val="0"/>
          <showBubbleSize val="0"/>
        </dLbls>
        <marker val="1"/>
        <smooth val="0"/>
        <axId val="10"/>
        <axId val="100"/>
      </line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charts/chart5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Расход бюджета (накопл.)</a:t>
            </a:r>
          </a:p>
        </rich>
      </tx>
      <overlay val="0"/>
    </title>
    <plotArea>
      <layout/>
      <lineChart>
        <grouping val="standard"/>
        <varyColors val="1"/>
        <ser>
          <idx val="0"/>
          <order val="0"/>
          <tx>
            <strRef>
              <f>Бюджет!$D$6</f>
              <strCache>
                <ptCount val="1"/>
                <pt idx="0">
                  <v>Накопл. стоимость (₽)</v>
                </pt>
              </strCache>
            </strRef>
          </tx>
          <spPr>
            <a:ln xmlns:a="http://schemas.openxmlformats.org/drawingml/2006/main" w="28000">
              <a:solidFill>
                <a:srgbClr val="C00000"/>
              </a:solidFill>
              <a:prstDash val="solid"/>
            </a:ln>
          </spPr>
          <marker>
            <symbol val="none"/>
            <spPr>
              <a:ln xmlns:a="http://schemas.openxmlformats.org/drawingml/2006/main">
                <a:prstDash val="solid"/>
              </a:ln>
            </spPr>
          </marker>
          <cat>
            <numRef>
              <f>Бюджет!$A$7:$A$17</f>
              <numCache>
                <formatCode>General</formatCode>
                <ptCount val="11"/>
                <pt idx="0">
                  <v>1</v>
                </pt>
                <pt idx="1">
                  <v>2</v>
                </pt>
                <pt idx="2">
                  <v>3</v>
                </pt>
                <pt idx="3">
                  <v>4</v>
                </pt>
                <pt idx="4">
                  <v>5</v>
                </pt>
                <pt idx="5">
                  <v>6</v>
                </pt>
                <pt idx="6">
                  <v>7</v>
                </pt>
                <pt idx="7">
                  <v>8</v>
                </pt>
                <pt idx="8">
                  <v>9</v>
                </pt>
                <pt idx="9">
                  <v>10</v>
                </pt>
                <pt idx="10">
                  <v>11</v>
                </pt>
              </numCache>
            </numRef>
          </cat>
          <val>
            <numRef>
              <f>Бюджет!$D$7:$D$17</f>
              <numCache>
                <formatCode>#,##0</formatCode>
                <ptCount val="11"/>
                <pt idx="0">
                  <v>742400.0000000001</v>
                </pt>
                <pt idx="1">
                  <v>1504000</v>
                </pt>
                <pt idx="2">
                  <v>2265600</v>
                </pt>
                <pt idx="3">
                  <v>3027200</v>
                </pt>
                <pt idx="4">
                  <v>3772800</v>
                </pt>
                <pt idx="5">
                  <v>4534400</v>
                </pt>
                <pt idx="6">
                  <v>5219840</v>
                </pt>
                <pt idx="7">
                  <v>5949440</v>
                </pt>
                <pt idx="8">
                  <v>6711040</v>
                </pt>
                <pt idx="9">
                  <v>7472640</v>
                </pt>
                <pt idx="10">
                  <v>8158080</v>
                </pt>
              </numCache>
            </numRef>
          </val>
          <smooth val="1"/>
        </ser>
        <dLbls>
          <showLegendKey val="0"/>
          <showVal val="0"/>
          <showCatName val="0"/>
          <showSerName val="0"/>
          <showPercent val="0"/>
          <showBubbleSize val="0"/>
        </dLbls>
        <smooth val="0"/>
        <axId val="10"/>
        <axId val="100"/>
      </line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0" sourceLinked="1"/>
        <majorTickMark val="none"/>
        <minorTickMark val="none"/>
        <tickLblPos val="nextTo"/>
        <crossAx val="10"/>
        <crosses val="autoZero"/>
        <crossBetween val="between"/>
      </valAx>
    </plotArea>
    <plotVisOnly val="1"/>
    <dispBlanksAs val="gap"/>
  </chart>
</chartSpace>
</file>

<file path=xl/charts/chart5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 xml:space="preserve">Прогресс </a:t>
            </a:r>
            <a:r>
              <a:rPr lang="en-US"/>
              <a:t>Key Results</a:t>
            </a:r>
          </a:p>
        </rich>
      </tx>
      <overlay val="0"/>
    </title>
    <plotArea>
      <layout/>
      <barChart>
        <barDir val="bar"/>
        <grouping val="clustered"/>
        <varyColors val="1"/>
        <ser>
          <idx val="0"/>
          <order val="0"/>
          <tx>
            <strRef>
              <f>OKR!$F$4</f>
              <strCache>
                <ptCount val="1"/>
                <pt idx="0">
                  <v>Прогресс</v>
                </pt>
              </strCache>
            </strRef>
          </tx>
          <spPr>
            <a:solidFill xmlns:a="http://schemas.openxmlformats.org/drawingml/2006/main">
              <a:srgbClr val="70AD47"/>
            </a:solidFill>
            <a:ln xmlns:a="http://schemas.openxmlformats.org/drawingml/2006/main">
              <a:prstDash val="solid"/>
            </a:ln>
          </spPr>
          <invertIfNegative val="1"/>
          <cat>
            <strRef>
              <f>OKR!$C$5:$C$9</f>
              <strCache>
                <ptCount val="5"/>
                <pt idx="0">
                  <v>Готовность MVP чекаута, %</v>
                </pt>
                <pt idx="1">
                  <v>Интеграция оплаты, %</v>
                </pt>
                <pt idx="2">
                  <v>Покрытие автотестами ключевых сценариев, %</v>
                </pt>
                <pt idx="3">
                  <v>Подключённых площадок, шт</v>
                </pt>
                <pt idx="4">
                  <v>Уведомления и история заказов, %</v>
                </pt>
              </strCache>
            </strRef>
          </cat>
          <val>
            <numRef>
              <f>OKR!$F$5:$F$9</f>
              <numCache>
                <formatCode>0%</formatCode>
                <ptCount val="5"/>
                <pt idx="0">
                  <v>0.7</v>
                </pt>
                <pt idx="1">
                  <v>0.6</v>
                </pt>
                <pt idx="2">
                  <v>0.5625</v>
                </pt>
                <pt idx="3">
                  <v>0.3</v>
                </pt>
                <pt idx="4">
                  <v>0.2</v>
                </pt>
              </numCache>
            </numRef>
          </val>
        </ser>
        <dLbls>
          <showLegendKey val="0"/>
          <showVal val="0"/>
          <showCatName val="0"/>
          <showSerName val="0"/>
          <showPercent val="0"/>
          <showBubbleSize val="0"/>
        </dLbls>
        <gapWidth val="150"/>
        <axId val="10"/>
        <axId val="100"/>
      </barChart>
      <catAx>
        <axId val="10"/>
        <scaling>
          <orientation val="minMax"/>
        </scaling>
        <delete val="0"/>
        <axPos val="l"/>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b"/>
        <majorGridlines/>
        <numFmt formatCode="0%" sourceLinked="0"/>
        <majorTickMark val="none"/>
        <minorTickMark val="none"/>
        <tickLblPos val="nextTo"/>
        <crossAx val="10"/>
        <crosses val="autoZero"/>
        <crossBetween val="between"/>
      </valAx>
    </plotArea>
    <plotVisOnly val="1"/>
    <dispBlanksAs val="gap"/>
  </chart>
</chartSpace>
</file>

<file path=xl/charts/chart53.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 xml:space="preserve">Ёмкость </a:t>
            </a:r>
            <a:r>
              <a:rPr lang="en-US"/>
              <a:t xml:space="preserve">vs </a:t>
            </a:r>
            <a:r>
              <a:rPr lang="ru-RU"/>
              <a:t>Спрос по кварталам</a:t>
            </a:r>
          </a:p>
        </rich>
      </tx>
      <overlay val="0"/>
    </title>
    <plotArea>
      <layout/>
      <barChart>
        <barDir val="col"/>
        <grouping val="clustered"/>
        <varyColors val="1"/>
        <ser>
          <idx val="0"/>
          <order val="0"/>
          <tx>
            <strRef>
              <f>'Ёмкость на горизонт'!$B$5</f>
              <strCache>
                <ptCount val="1"/>
                <pt idx="0">
                  <v>Ёмкость (дн)</v>
                </pt>
              </strCache>
            </strRef>
          </tx>
          <spPr>
            <a:solidFill xmlns:a="http://schemas.openxmlformats.org/drawingml/2006/main">
              <a:srgbClr val="8EAADB"/>
            </a:solidFill>
            <a:ln xmlns:a="http://schemas.openxmlformats.org/drawingml/2006/main">
              <a:prstDash val="solid"/>
            </a:ln>
          </spPr>
          <invertIfNegative val="1"/>
          <cat>
            <strRef>
              <f>'Ёмкость на горизонт'!$A$6:$A$8</f>
              <strCache>
                <ptCount val="3"/>
                <pt idx="0">
                  <v>Q3 2026</v>
                </pt>
                <pt idx="1">
                  <v>Q4 2026</v>
                </pt>
                <pt idx="2">
                  <v>Q1 2027</v>
                </pt>
              </strCache>
            </strRef>
          </cat>
          <val>
            <numRef>
              <f>'Ёмкость на горизонт'!$B$6:$B$8</f>
              <numCache>
                <formatCode>#\ ##0.0</formatCode>
                <ptCount val="3"/>
                <pt idx="0">
                  <v>471.6</v>
                </pt>
                <pt idx="1">
                  <v>548.1600000000001</v>
                </pt>
                <pt idx="2">
                  <v>0</v>
                </pt>
              </numCache>
            </numRef>
          </val>
        </ser>
        <ser>
          <idx val="1"/>
          <order val="1"/>
          <tx>
            <strRef>
              <f>'Ёмкость на горизонт'!$C$5</f>
              <strCache>
                <ptCount val="1"/>
                <pt idx="0">
                  <v>Спрос (дн)</v>
                </pt>
              </strCache>
            </strRef>
          </tx>
          <spPr>
            <a:solidFill xmlns:a="http://schemas.openxmlformats.org/drawingml/2006/main">
              <a:srgbClr val="FFC000"/>
            </a:solidFill>
            <a:ln xmlns:a="http://schemas.openxmlformats.org/drawingml/2006/main">
              <a:prstDash val="solid"/>
            </a:ln>
          </spPr>
          <invertIfNegative val="1"/>
          <cat>
            <strRef>
              <f>'Ёмкость на горизонт'!$A$6:$A$8</f>
              <strCache>
                <ptCount val="3"/>
                <pt idx="0">
                  <v>Q3 2026</v>
                </pt>
                <pt idx="1">
                  <v>Q4 2026</v>
                </pt>
                <pt idx="2">
                  <v>Q1 2027</v>
                </pt>
              </strCache>
            </strRef>
          </cat>
          <val>
            <numRef>
              <f>'Ёмкость на горизонт'!$C$6:$C$8</f>
              <numCache>
                <formatCode>#\ ##0.0</formatCode>
                <ptCount val="3"/>
                <pt idx="0">
                  <v>107</v>
                </pt>
                <pt idx="1">
                  <v>0</v>
                </pt>
                <pt idx="2">
                  <v>0</v>
                </pt>
              </numCache>
            </numRef>
          </val>
        </ser>
        <dLbls>
          <showLegendKey val="0"/>
          <showVal val="0"/>
          <showCatName val="0"/>
          <showSerName val="0"/>
          <showPercent val="0"/>
          <showBubbleSize val="0"/>
        </dLbls>
        <gapWidth val="150"/>
        <axId val="10"/>
        <axId val="100"/>
      </bar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 ##0.0" sourceLinked="1"/>
        <majorTickMark val="none"/>
        <minorTickMark val="none"/>
        <tickLblPos val="nextTo"/>
        <crossAx val="10"/>
        <crosses val="autoZero"/>
        <crossBetween val="between"/>
      </valAx>
    </plotArea>
    <legend>
      <legendPos val="b"/>
      <overlay val="0"/>
    </legend>
    <plotVisOnly val="1"/>
    <dispBlanksAs val="gap"/>
  </chart>
</chartSpace>
</file>

<file path=xl/charts/chart54.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Диаграмма Ганта — задачи по спринтам (цвет = спринт)</a:t>
            </a:r>
          </a:p>
        </rich>
      </tx>
      <layout>
        <manualLayout>
          <xMode val="edge"/>
          <yMode val="edge"/>
          <wMode val="factor"/>
          <hMode val="factor"/>
          <x val="0.22"/>
          <y val="0.96"/>
        </manualLayout>
      </layout>
      <overlay val="0"/>
    </title>
    <plotArea>
      <layout/>
      <barChart>
        <barDir val="bar"/>
        <grouping val="stacked"/>
        <varyColors val="1"/>
        <ser>
          <idx val="0"/>
          <order val="0"/>
          <tx>
            <strRef>
              <f>Гант!$G$4</f>
              <strCache>
                <ptCount val="1"/>
                <pt idx="0">
                  <v>Начало</v>
                </pt>
              </strCache>
            </strRef>
          </tx>
          <spPr>
            <a:noFill xmlns:a="http://schemas.openxmlformats.org/drawingml/2006/main"/>
            <a:ln xmlns:a="http://schemas.openxmlformats.org/drawingml/2006/main">
              <a:noFill/>
              <a:prstDash val="solid"/>
            </a:ln>
          </spPr>
          <invertIfNegative val="1"/>
          <cat>
            <strRef>
              <f>Гант!$B$5:$B$44</f>
              <strCache>
                <ptCount val="20"/>
                <pt idx="0">
                  <v>Проектирование API заказов</v>
                </pt>
                <pt idx="1">
                  <v>Экран корзины (вёрстка)</v>
                </pt>
                <pt idx="2">
                  <v>Настройка CI/CD</v>
                </pt>
                <pt idx="3">
                  <v>Модель данных заказа</v>
                </pt>
                <pt idx="4">
                  <v>Интеграция платежей</v>
                </pt>
                <pt idx="5">
                  <v>Тест-кейсы оформления</v>
                </pt>
                <pt idx="6">
                  <v>Уведомления по e-mail</v>
                </pt>
                <pt idx="7">
                  <v>API промокодов</v>
                </pt>
                <pt idx="8">
                  <v>Логирование и метрики</v>
                </pt>
                <pt idx="9">
                  <v>Рефакторинг авторизации</v>
                </pt>
                <pt idx="10">
                  <v>Аналитика воронки</v>
                </pt>
                <pt idx="11">
                  <v>Регресс-тестирование релиза</v>
                </pt>
                <pt idx="12">
                  <v>Экран оплаты</v>
                </pt>
                <pt idx="13">
                  <v>Вебхуки платежей</v>
                </pt>
                <pt idx="14">
                  <v>История заказов</v>
                </pt>
                <pt idx="15">
                  <v>Личный кабинет</v>
                </pt>
                <pt idx="16">
                  <v>Фильтры каталога</v>
                </pt>
                <pt idx="17">
                  <v>Отзывы и рейтинги</v>
                </pt>
                <pt idx="18">
                  <v>Рекомендации</v>
                </pt>
                <pt idx="19">
                  <v>A/B тесты чекаута</v>
                </pt>
              </strCache>
            </strRef>
          </cat>
          <val>
            <numRef>
              <f>Гант!$G$5:$G$44</f>
              <numCache>
                <formatCode>dd\.mm\.yyyy</formatCode>
                <ptCount val="40"/>
                <pt idx="0">
                  <v>46237</v>
                </pt>
                <pt idx="1">
                  <v>46242</v>
                </pt>
                <pt idx="2">
                  <v>46237</v>
                </pt>
                <pt idx="3">
                  <v>46237</v>
                </pt>
                <pt idx="4">
                  <v>46251</v>
                </pt>
                <pt idx="5">
                  <v>46251</v>
                </pt>
                <pt idx="6">
                  <v>46251</v>
                </pt>
                <pt idx="7">
                  <v>46251</v>
                </pt>
                <pt idx="8">
                  <v>46251</v>
                </pt>
                <pt idx="9">
                  <v>46265</v>
                </pt>
                <pt idx="10">
                  <v>46265</v>
                </pt>
                <pt idx="11">
                  <v>46265</v>
                </pt>
                <pt idx="12">
                  <v>46265</v>
                </pt>
                <pt idx="13">
                  <v>46273</v>
                </pt>
                <pt idx="14">
                  <v>46265</v>
                </pt>
                <pt idx="15">
                  <v>46279</v>
                </pt>
                <pt idx="16">
                  <v>46287</v>
                </pt>
                <pt idx="17">
                  <v>46279</v>
                </pt>
                <pt idx="18">
                  <v>46293</v>
                </pt>
                <pt idx="19">
                  <v>46293</v>
                </pt>
                <pt idx="20">
                  <v>0</v>
                </pt>
                <pt idx="21">
                  <v>0</v>
                </pt>
                <pt idx="22">
                  <v>0</v>
                </pt>
                <pt idx="23">
                  <v>0</v>
                </pt>
                <pt idx="24">
                  <v>0</v>
                </pt>
                <pt idx="25">
                  <v>0</v>
                </pt>
                <pt idx="26">
                  <v>0</v>
                </pt>
                <pt idx="27">
                  <v>0</v>
                </pt>
                <pt idx="28">
                  <v>0</v>
                </pt>
                <pt idx="29">
                  <v>0</v>
                </pt>
                <pt idx="30">
                  <v>0</v>
                </pt>
                <pt idx="31">
                  <v>0</v>
                </pt>
                <pt idx="32">
                  <v>0</v>
                </pt>
                <pt idx="33">
                  <v>0</v>
                </pt>
                <pt idx="34">
                  <v>0</v>
                </pt>
                <pt idx="35">
                  <v>0</v>
                </pt>
                <pt idx="36">
                  <v>0</v>
                </pt>
                <pt idx="37">
                  <v>0</v>
                </pt>
                <pt idx="38">
                  <v>0</v>
                </pt>
                <pt idx="39">
                  <v>0</v>
                </pt>
              </numCache>
            </numRef>
          </val>
        </ser>
        <ser>
          <idx val="1"/>
          <order val="1"/>
          <tx>
            <strRef>
              <f>Гант!$I$4</f>
              <strCache>
                <ptCount val="1"/>
                <pt idx="0">
                  <v>Длит. (дн)</v>
                </pt>
              </strCache>
            </strRef>
          </tx>
          <spPr>
            <a:solidFill xmlns:a="http://schemas.openxmlformats.org/drawingml/2006/main">
              <a:srgbClr val="4472C4"/>
            </a:solidFill>
            <a:ln xmlns:a="http://schemas.openxmlformats.org/drawingml/2006/main">
              <a:prstDash val="solid"/>
            </a:ln>
          </spPr>
          <invertIfNegative val="1"/>
          <dPt>
            <idx val="0"/>
            <invertIfNegative val="1"/>
            <bubble3D val="0"/>
            <spPr>
              <a:solidFill xmlns:a="http://schemas.openxmlformats.org/drawingml/2006/main">
                <a:srgbClr val="4472C4"/>
              </a:solidFill>
              <a:ln xmlns:a="http://schemas.openxmlformats.org/drawingml/2006/main" w="34925">
                <a:solidFill>
                  <a:srgbClr val="C00000"/>
                </a:solidFill>
                <a:prstDash val="solid"/>
              </a:ln>
            </spPr>
          </dPt>
          <dPt>
            <idx val="1"/>
            <invertIfNegative val="1"/>
            <bubble3D val="0"/>
            <spPr>
              <a:ln xmlns:a="http://schemas.openxmlformats.org/drawingml/2006/main">
                <a:prstDash val="solid"/>
              </a:ln>
            </spPr>
          </dPt>
          <dPt>
            <idx val="2"/>
            <invertIfNegative val="1"/>
            <bubble3D val="0"/>
            <spPr>
              <a:ln xmlns:a="http://schemas.openxmlformats.org/drawingml/2006/main">
                <a:prstDash val="solid"/>
              </a:ln>
            </spPr>
          </dPt>
          <dPt>
            <idx val="3"/>
            <invertIfNegative val="1"/>
            <bubble3D val="0"/>
            <spPr>
              <a:ln xmlns:a="http://schemas.openxmlformats.org/drawingml/2006/main">
                <a:prstDash val="solid"/>
              </a:ln>
            </spPr>
          </dPt>
          <dPt>
            <idx val="4"/>
            <invertIfNegative val="1"/>
            <bubble3D val="0"/>
            <spPr>
              <a:solidFill xmlns:a="http://schemas.openxmlformats.org/drawingml/2006/main">
                <a:srgbClr val="ED7D31"/>
              </a:solidFill>
              <a:ln xmlns:a="http://schemas.openxmlformats.org/drawingml/2006/main" w="34925">
                <a:solidFill>
                  <a:srgbClr val="C00000"/>
                </a:solidFill>
                <a:prstDash val="solid"/>
              </a:ln>
            </spPr>
          </dPt>
          <dPt>
            <idx val="5"/>
            <invertIfNegative val="1"/>
            <bubble3D val="0"/>
            <spPr>
              <a:solidFill xmlns:a="http://schemas.openxmlformats.org/drawingml/2006/main">
                <a:srgbClr val="ED7D31"/>
              </a:solidFill>
              <a:ln xmlns:a="http://schemas.openxmlformats.org/drawingml/2006/main">
                <a:prstDash val="solid"/>
              </a:ln>
            </spPr>
          </dPt>
          <dPt>
            <idx val="6"/>
            <invertIfNegative val="1"/>
            <bubble3D val="0"/>
            <spPr>
              <a:solidFill xmlns:a="http://schemas.openxmlformats.org/drawingml/2006/main">
                <a:srgbClr val="ED7D31"/>
              </a:solidFill>
              <a:ln xmlns:a="http://schemas.openxmlformats.org/drawingml/2006/main">
                <a:prstDash val="solid"/>
              </a:ln>
            </spPr>
          </dPt>
          <dPt>
            <idx val="7"/>
            <invertIfNegative val="1"/>
            <bubble3D val="0"/>
            <spPr>
              <a:solidFill xmlns:a="http://schemas.openxmlformats.org/drawingml/2006/main">
                <a:srgbClr val="ED7D31"/>
              </a:solidFill>
              <a:ln xmlns:a="http://schemas.openxmlformats.org/drawingml/2006/main">
                <a:prstDash val="solid"/>
              </a:ln>
            </spPr>
          </dPt>
          <dPt>
            <idx val="8"/>
            <invertIfNegative val="1"/>
            <bubble3D val="0"/>
            <spPr>
              <a:solidFill xmlns:a="http://schemas.openxmlformats.org/drawingml/2006/main">
                <a:srgbClr val="ED7D31"/>
              </a:solidFill>
              <a:ln xmlns:a="http://schemas.openxmlformats.org/drawingml/2006/main">
                <a:prstDash val="solid"/>
              </a:ln>
            </spPr>
          </dPt>
          <dPt>
            <idx val="9"/>
            <invertIfNegative val="1"/>
            <bubble3D val="0"/>
            <spPr>
              <a:solidFill xmlns:a="http://schemas.openxmlformats.org/drawingml/2006/main">
                <a:srgbClr val="70AD47"/>
              </a:solidFill>
              <a:ln xmlns:a="http://schemas.openxmlformats.org/drawingml/2006/main">
                <a:prstDash val="solid"/>
              </a:ln>
            </spPr>
          </dPt>
          <dPt>
            <idx val="10"/>
            <invertIfNegative val="1"/>
            <bubble3D val="0"/>
            <spPr>
              <a:solidFill xmlns:a="http://schemas.openxmlformats.org/drawingml/2006/main">
                <a:srgbClr val="70AD47"/>
              </a:solidFill>
              <a:ln xmlns:a="http://schemas.openxmlformats.org/drawingml/2006/main">
                <a:prstDash val="solid"/>
              </a:ln>
            </spPr>
          </dPt>
          <dPt>
            <idx val="11"/>
            <invertIfNegative val="1"/>
            <bubble3D val="0"/>
            <spPr>
              <a:solidFill xmlns:a="http://schemas.openxmlformats.org/drawingml/2006/main">
                <a:srgbClr val="70AD47"/>
              </a:solidFill>
              <a:ln xmlns:a="http://schemas.openxmlformats.org/drawingml/2006/main">
                <a:prstDash val="solid"/>
              </a:ln>
            </spPr>
          </dPt>
          <dPt>
            <idx val="12"/>
            <invertIfNegative val="1"/>
            <bubble3D val="0"/>
            <spPr>
              <a:solidFill xmlns:a="http://schemas.openxmlformats.org/drawingml/2006/main">
                <a:srgbClr val="70AD47"/>
              </a:solidFill>
              <a:ln xmlns:a="http://schemas.openxmlformats.org/drawingml/2006/main" w="34925">
                <a:solidFill>
                  <a:srgbClr val="C00000"/>
                </a:solidFill>
                <a:prstDash val="solid"/>
              </a:ln>
            </spPr>
          </dPt>
          <dPt>
            <idx val="13"/>
            <invertIfNegative val="1"/>
            <bubble3D val="0"/>
            <spPr>
              <a:solidFill xmlns:a="http://schemas.openxmlformats.org/drawingml/2006/main">
                <a:srgbClr val="70AD47"/>
              </a:solidFill>
              <a:ln xmlns:a="http://schemas.openxmlformats.org/drawingml/2006/main" w="34925">
                <a:solidFill>
                  <a:srgbClr val="C00000"/>
                </a:solidFill>
                <a:prstDash val="solid"/>
              </a:ln>
            </spPr>
          </dPt>
          <dPt>
            <idx val="14"/>
            <invertIfNegative val="1"/>
            <bubble3D val="0"/>
            <spPr>
              <a:solidFill xmlns:a="http://schemas.openxmlformats.org/drawingml/2006/main">
                <a:srgbClr val="70AD47"/>
              </a:solidFill>
              <a:ln xmlns:a="http://schemas.openxmlformats.org/drawingml/2006/main">
                <a:prstDash val="solid"/>
              </a:ln>
            </spPr>
          </dPt>
          <dPt>
            <idx val="15"/>
            <invertIfNegative val="1"/>
            <bubble3D val="0"/>
            <spPr>
              <a:solidFill xmlns:a="http://schemas.openxmlformats.org/drawingml/2006/main">
                <a:srgbClr val="FFC000"/>
              </a:solidFill>
              <a:ln xmlns:a="http://schemas.openxmlformats.org/drawingml/2006/main">
                <a:prstDash val="solid"/>
              </a:ln>
            </spPr>
          </dPt>
          <dPt>
            <idx val="16"/>
            <invertIfNegative val="1"/>
            <bubble3D val="0"/>
            <spPr>
              <a:solidFill xmlns:a="http://schemas.openxmlformats.org/drawingml/2006/main">
                <a:srgbClr val="FFC000"/>
              </a:solidFill>
              <a:ln xmlns:a="http://schemas.openxmlformats.org/drawingml/2006/main">
                <a:prstDash val="solid"/>
              </a:ln>
            </spPr>
          </dPt>
          <dPt>
            <idx val="17"/>
            <invertIfNegative val="1"/>
            <bubble3D val="0"/>
            <spPr>
              <a:solidFill xmlns:a="http://schemas.openxmlformats.org/drawingml/2006/main">
                <a:srgbClr val="FFC000"/>
              </a:solidFill>
              <a:ln xmlns:a="http://schemas.openxmlformats.org/drawingml/2006/main">
                <a:prstDash val="solid"/>
              </a:ln>
            </spPr>
          </dPt>
          <dPt>
            <idx val="18"/>
            <invertIfNegative val="1"/>
            <bubble3D val="0"/>
            <spPr>
              <a:solidFill xmlns:a="http://schemas.openxmlformats.org/drawingml/2006/main">
                <a:srgbClr val="7030A0"/>
              </a:solidFill>
              <a:ln xmlns:a="http://schemas.openxmlformats.org/drawingml/2006/main">
                <a:prstDash val="solid"/>
              </a:ln>
            </spPr>
          </dPt>
          <dPt>
            <idx val="19"/>
            <invertIfNegative val="1"/>
            <bubble3D val="0"/>
            <spPr>
              <a:solidFill xmlns:a="http://schemas.openxmlformats.org/drawingml/2006/main">
                <a:srgbClr val="7030A0"/>
              </a:solidFill>
              <a:ln xmlns:a="http://schemas.openxmlformats.org/drawingml/2006/main">
                <a:prstDash val="solid"/>
              </a:ln>
            </spPr>
          </dPt>
          <cat>
            <strRef>
              <f>Гант!$B$5:$B$44</f>
              <strCache>
                <ptCount val="20"/>
                <pt idx="0">
                  <v>Проектирование API заказов</v>
                </pt>
                <pt idx="1">
                  <v>Экран корзины (вёрстка)</v>
                </pt>
                <pt idx="2">
                  <v>Настройка CI/CD</v>
                </pt>
                <pt idx="3">
                  <v>Модель данных заказа</v>
                </pt>
                <pt idx="4">
                  <v>Интеграция платежей</v>
                </pt>
                <pt idx="5">
                  <v>Тест-кейсы оформления</v>
                </pt>
                <pt idx="6">
                  <v>Уведомления по e-mail</v>
                </pt>
                <pt idx="7">
                  <v>API промокодов</v>
                </pt>
                <pt idx="8">
                  <v>Логирование и метрики</v>
                </pt>
                <pt idx="9">
                  <v>Рефакторинг авторизации</v>
                </pt>
                <pt idx="10">
                  <v>Аналитика воронки</v>
                </pt>
                <pt idx="11">
                  <v>Регресс-тестирование релиза</v>
                </pt>
                <pt idx="12">
                  <v>Экран оплаты</v>
                </pt>
                <pt idx="13">
                  <v>Вебхуки платежей</v>
                </pt>
                <pt idx="14">
                  <v>История заказов</v>
                </pt>
                <pt idx="15">
                  <v>Личный кабинет</v>
                </pt>
                <pt idx="16">
                  <v>Фильтры каталога</v>
                </pt>
                <pt idx="17">
                  <v>Отзывы и рейтинги</v>
                </pt>
                <pt idx="18">
                  <v>Рекомендации</v>
                </pt>
                <pt idx="19">
                  <v>A/B тесты чекаута</v>
                </pt>
              </strCache>
            </strRef>
          </cat>
          <val>
            <numRef>
              <f>Гант!$I$5:$I$44</f>
              <numCache>
                <formatCode>0</formatCode>
                <ptCount val="40"/>
                <pt idx="0">
                  <v>5</v>
                </pt>
                <pt idx="1">
                  <v>8</v>
                </pt>
                <pt idx="2">
                  <v>4</v>
                </pt>
                <pt idx="3">
                  <v>5</v>
                </pt>
                <pt idx="4">
                  <v>8</v>
                </pt>
                <pt idx="5">
                  <v>4</v>
                </pt>
                <pt idx="6">
                  <v>4</v>
                </pt>
                <pt idx="7">
                  <v>5</v>
                </pt>
                <pt idx="8">
                  <v>3</v>
                </pt>
                <pt idx="9">
                  <v>3</v>
                </pt>
                <pt idx="10">
                  <v>3</v>
                </pt>
                <pt idx="11">
                  <v>5</v>
                </pt>
                <pt idx="12">
                  <v>8</v>
                </pt>
                <pt idx="13">
                  <v>5</v>
                </pt>
                <pt idx="14">
                  <v>5</v>
                </pt>
                <pt idx="15">
                  <v>8</v>
                </pt>
                <pt idx="16">
                  <v>6</v>
                </pt>
                <pt idx="17">
                  <v>5</v>
                </pt>
                <pt idx="18">
                  <v>8</v>
                </pt>
                <pt idx="19">
                  <v>5</v>
                </pt>
                <pt idx="20">
                  <v>0</v>
                </pt>
                <pt idx="21">
                  <v>0</v>
                </pt>
                <pt idx="22">
                  <v>0</v>
                </pt>
                <pt idx="23">
                  <v>0</v>
                </pt>
                <pt idx="24">
                  <v>0</v>
                </pt>
                <pt idx="25">
                  <v>0</v>
                </pt>
                <pt idx="26">
                  <v>0</v>
                </pt>
                <pt idx="27">
                  <v>0</v>
                </pt>
                <pt idx="28">
                  <v>0</v>
                </pt>
                <pt idx="29">
                  <v>0</v>
                </pt>
                <pt idx="30">
                  <v>0</v>
                </pt>
                <pt idx="31">
                  <v>0</v>
                </pt>
                <pt idx="32">
                  <v>0</v>
                </pt>
                <pt idx="33">
                  <v>0</v>
                </pt>
                <pt idx="34">
                  <v>0</v>
                </pt>
                <pt idx="35">
                  <v>0</v>
                </pt>
                <pt idx="36">
                  <v>0</v>
                </pt>
                <pt idx="37">
                  <v>0</v>
                </pt>
                <pt idx="38">
                  <v>0</v>
                </pt>
                <pt idx="39">
                  <v>0</v>
                </pt>
              </numCache>
            </numRef>
          </val>
        </ser>
        <dLbls>
          <showLegendKey val="0"/>
          <showVal val="0"/>
          <showCatName val="0"/>
          <showSerName val="0"/>
          <showPercent val="0"/>
          <showBubbleSize val="0"/>
        </dLbls>
        <gapWidth val="150"/>
        <overlap val="100"/>
        <axId val="10"/>
        <axId val="100"/>
      </barChart>
      <catAx>
        <axId val="10"/>
        <scaling>
          <orientation val="maxMin"/>
        </scaling>
        <delete val="0"/>
        <axPos val="l"/>
        <numFmt formatCode="General" sourceLinked="1"/>
        <majorTickMark val="none"/>
        <minorTickMark val="none"/>
        <tickLblPos val="nextTo"/>
        <crossAx val="100"/>
        <crosses val="autoZero"/>
        <auto val="1"/>
        <lblAlgn val="ctr"/>
        <lblOffset val="100"/>
        <noMultiLvlLbl val="1"/>
      </catAx>
      <valAx>
        <axId val="100"/>
        <scaling>
          <orientation val="minMax"/>
          <max val="46332"/>
          <min val="46237"/>
        </scaling>
        <delete val="0"/>
        <axPos val="t"/>
        <numFmt formatCode="dd\.mm" sourceLinked="0"/>
        <majorTickMark val="none"/>
        <minorTickMark val="none"/>
        <tickLblPos val="nextTo"/>
        <crossAx val="10"/>
        <crosses val="autoZero"/>
        <crossBetween val="between"/>
      </valAx>
    </plotArea>
    <plotVisOnly val="1"/>
    <dispBlanksAs val="gap"/>
  </chart>
</chartSpace>
</file>

<file path=xl/charts/chart55.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Зависимости по статусам</a:t>
            </a:r>
          </a:p>
        </rich>
      </tx>
      <overlay val="1"/>
    </title>
    <plotArea>
      <layout/>
      <barChart>
        <barDir val="col"/>
        <grouping val="clustered"/>
        <varyColors val="1"/>
        <ser>
          <idx val="0"/>
          <order val="0"/>
          <tx>
            <strRef>
              <f>Зависимости!$B$15</f>
              <strCache>
                <ptCount val="1"/>
                <pt idx="0">
                  <v>Кол-во</v>
                </pt>
              </strCache>
            </strRef>
          </tx>
          <spPr>
            <a:ln xmlns:a="http://schemas.openxmlformats.org/drawingml/2006/main">
              <a:prstDash val="solid"/>
            </a:ln>
          </spPr>
          <invertIfNegative val="1"/>
          <cat>
            <strRef>
              <f>Зависимости!$A$16:$A$20</f>
              <strCache>
                <ptCount val="5"/>
                <pt idx="0">
                  <v>Ожидается</v>
                </pt>
                <pt idx="1">
                  <v>Подтверждено</v>
                </pt>
                <pt idx="2">
                  <v>Получено</v>
                </pt>
                <pt idx="3">
                  <v>Заблокировано</v>
                </pt>
                <pt idx="4">
                  <v>Просрочено</v>
                </pt>
              </strCache>
            </strRef>
          </cat>
          <val>
            <numRef>
              <f>Зависимости!$B$16:$B$20</f>
              <numCache>
                <formatCode>General</formatCode>
                <ptCount val="5"/>
                <pt idx="0">
                  <v>3</v>
                </pt>
                <pt idx="1">
                  <v>2</v>
                </pt>
                <pt idx="2">
                  <v>1</v>
                </pt>
                <pt idx="3">
                  <v>2</v>
                </pt>
                <pt idx="4">
                  <v>0</v>
                </pt>
              </numCache>
            </numRef>
          </val>
        </ser>
        <dLbls>
          <showLegendKey val="0"/>
          <showVal val="0"/>
          <showCatName val="0"/>
          <showSerName val="0"/>
          <showPercent val="0"/>
          <showBubbleSize val="0"/>
        </dLbls>
        <gapWidth val="150"/>
        <axId val="10"/>
        <axId val="100"/>
      </bar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General" sourceLinked="1"/>
        <majorTickMark val="none"/>
        <minorTickMark val="none"/>
        <tickLblPos val="nextTo"/>
        <crossAx val="10"/>
        <crosses val="autoZero"/>
        <crossBetween val="between"/>
      </valAx>
    </plotArea>
    <plotVisOnly val="1"/>
    <dispBlanksAs val="gap"/>
  </chart>
</chartSpace>
</file>

<file path=xl/charts/chart56.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 xml:space="preserve">Капасити </a:t>
            </a:r>
            <a:r>
              <a:rPr lang="en-US"/>
              <a:t xml:space="preserve">vs </a:t>
            </a:r>
            <a:r>
              <a:rPr lang="ru-RU"/>
              <a:t>Спрос по ролям (текущий спринт)</a:t>
            </a:r>
          </a:p>
        </rich>
      </tx>
      <overlay val="0"/>
    </title>
    <plotArea>
      <layout/>
      <barChart>
        <barDir val="col"/>
        <grouping val="clustered"/>
        <varyColors val="1"/>
        <ser>
          <idx val="0"/>
          <order val="0"/>
          <tx>
            <strRef>
              <f>'Загрузка по ролям'!$B$5</f>
              <strCache>
                <ptCount val="1"/>
                <pt idx="0">
                  <v>Капасити (дн)</v>
                </pt>
              </strCache>
            </strRef>
          </tx>
          <spPr>
            <a:solidFill xmlns:a="http://schemas.openxmlformats.org/drawingml/2006/main">
              <a:srgbClr val="8EAADB"/>
            </a:solidFill>
            <a:ln xmlns:a="http://schemas.openxmlformats.org/drawingml/2006/main">
              <a:prstDash val="solid"/>
            </a:ln>
          </spPr>
          <invertIfNegative val="1"/>
          <cat>
            <strRef>
              <f>'Загрузка по ролям'!$A$6:$A$11</f>
              <strCache>
                <ptCount val="6"/>
                <pt idx="0">
                  <v>Backend</v>
                </pt>
                <pt idx="1">
                  <v>Frontend</v>
                </pt>
                <pt idx="2">
                  <v>QA</v>
                </pt>
                <pt idx="3">
                  <v>DevOps</v>
                </pt>
                <pt idx="4">
                  <v>Analyst</v>
                </pt>
                <pt idx="5">
                  <v>Designer</v>
                </pt>
              </strCache>
            </strRef>
          </cat>
          <val>
            <numRef>
              <f>'Загрузка по ролям'!$B$6:$B$11</f>
              <numCache>
                <formatCode>#\ ##0.0</formatCode>
                <ptCount val="6"/>
                <pt idx="0">
                  <v>32</v>
                </pt>
                <pt idx="1">
                  <v>24</v>
                </pt>
                <pt idx="2">
                  <v>14.4</v>
                </pt>
                <pt idx="3">
                  <v>6.4</v>
                </pt>
                <pt idx="4">
                  <v>12</v>
                </pt>
                <pt idx="5">
                  <v>6.4</v>
                </pt>
              </numCache>
            </numRef>
          </val>
        </ser>
        <ser>
          <idx val="1"/>
          <order val="1"/>
          <tx>
            <strRef>
              <f>'Загрузка по ролям'!$C$5</f>
              <strCache>
                <ptCount val="1"/>
                <pt idx="0">
                  <v>Спрос / План (дн)</v>
                </pt>
              </strCache>
            </strRef>
          </tx>
          <spPr>
            <a:solidFill xmlns:a="http://schemas.openxmlformats.org/drawingml/2006/main">
              <a:srgbClr val="C00000"/>
            </a:solidFill>
            <a:ln xmlns:a="http://schemas.openxmlformats.org/drawingml/2006/main">
              <a:prstDash val="solid"/>
            </a:ln>
          </spPr>
          <invertIfNegative val="1"/>
          <cat>
            <strRef>
              <f>'Загрузка по ролям'!$A$6:$A$11</f>
              <strCache>
                <ptCount val="6"/>
                <pt idx="0">
                  <v>Backend</v>
                </pt>
                <pt idx="1">
                  <v>Frontend</v>
                </pt>
                <pt idx="2">
                  <v>QA</v>
                </pt>
                <pt idx="3">
                  <v>DevOps</v>
                </pt>
                <pt idx="4">
                  <v>Analyst</v>
                </pt>
                <pt idx="5">
                  <v>Designer</v>
                </pt>
              </strCache>
            </strRef>
          </cat>
          <val>
            <numRef>
              <f>'Загрузка по ролям'!$C$6:$C$11</f>
              <numCache>
                <formatCode>#\ ##0.0</formatCode>
                <ptCount val="6"/>
                <pt idx="0">
                  <v>8</v>
                </pt>
                <pt idx="1">
                  <v>13</v>
                </pt>
                <pt idx="2">
                  <v>5</v>
                </pt>
                <pt idx="3">
                  <v>0</v>
                </pt>
                <pt idx="4">
                  <v>3</v>
                </pt>
                <pt idx="5">
                  <v>0</v>
                </pt>
              </numCache>
            </numRef>
          </val>
        </ser>
        <dLbls>
          <showLegendKey val="0"/>
          <showVal val="0"/>
          <showCatName val="0"/>
          <showSerName val="0"/>
          <showPercent val="0"/>
          <showBubbleSize val="0"/>
        </dLbls>
        <gapWidth val="150"/>
        <axId val="10"/>
        <axId val="100"/>
      </barChart>
      <catAx>
        <axId val="10"/>
        <scaling>
          <orientation val="minMax"/>
        </scaling>
        <delete val="0"/>
        <axPos val="b"/>
        <title>
          <tx>
            <rich>
              <a:bodyPr xmlns:a="http://schemas.openxmlformats.org/drawingml/2006/main"/>
              <a:lstStyle xmlns:a="http://schemas.openxmlformats.org/drawingml/2006/main"/>
              <a:p xmlns:a="http://schemas.openxmlformats.org/drawingml/2006/main">
                <a:pPr>
                  <a:defRPr/>
                </a:pPr>
                <a:r>
                  <a:rPr lang="ru-RU"/>
                  <a:t>Роль</a:t>
                </a:r>
              </a:p>
            </rich>
          </tx>
          <overlay val="1"/>
        </title>
        <numFmt formatCode="General" sourceLinked="1"/>
        <majorTickMark val="none"/>
        <minorTickMark val="none"/>
        <tickLblPos val="nextTo"/>
        <spPr>
          <a:ln xmlns:a="http://schemas.openxmlformats.org/drawingml/2006/main">
            <a:solidFill>
              <a:srgbClr val="808080"/>
            </a:solidFill>
            <a:prstDash val="solid"/>
          </a:ln>
        </spPr>
        <crossAx val="100"/>
        <crosses val="autoZero"/>
        <auto val="1"/>
        <lblAlgn val="ctr"/>
        <lblOffset val="100"/>
        <noMultiLvlLbl val="1"/>
      </catAx>
      <valAx>
        <axId val="100"/>
        <scaling>
          <orientation val="minMax"/>
        </scaling>
        <delete val="0"/>
        <axPos val="l"/>
        <majorGridlines/>
        <title>
          <tx>
            <rich>
              <a:bodyPr xmlns:a="http://schemas.openxmlformats.org/drawingml/2006/main"/>
              <a:lstStyle xmlns:a="http://schemas.openxmlformats.org/drawingml/2006/main"/>
              <a:p xmlns:a="http://schemas.openxmlformats.org/drawingml/2006/main">
                <a:pPr>
                  <a:defRPr/>
                </a:pPr>
                <a:r>
                  <a:rPr lang="ru-RU"/>
                  <a:t>Человеко-дни</a:t>
                </a:r>
              </a:p>
            </rich>
          </tx>
          <overlay val="1"/>
        </title>
        <numFmt formatCode="#\ ##0.0" sourceLinked="1"/>
        <majorTickMark val="none"/>
        <minorTickMark val="none"/>
        <tickLblPos val="nextTo"/>
        <spPr>
          <a:ln xmlns:a="http://schemas.openxmlformats.org/drawingml/2006/main">
            <a:solidFill>
              <a:srgbClr val="808080"/>
            </a:solidFill>
            <a:prstDash val="solid"/>
          </a:ln>
        </spPr>
        <crossAx val="10"/>
        <crosses val="autoZero"/>
        <crossBetween val="between"/>
      </valAx>
    </plotArea>
    <legend>
      <legendPos val="r"/>
      <overlay val="0"/>
    </legend>
    <plotVisOnly val="1"/>
    <dispBlanksAs val="gap"/>
  </chart>
</chartSpace>
</file>

<file path=xl/charts/chart57.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 xml:space="preserve">Burndown — </a:t>
            </a:r>
            <a:r>
              <a:rPr lang="ru-RU"/>
              <a:t>сгорание задач (дни)</a:t>
            </a:r>
          </a:p>
        </rich>
      </tx>
      <overlay val="0"/>
    </title>
    <plotArea>
      <layout/>
      <lineChart>
        <grouping val="standard"/>
        <varyColors val="1"/>
        <ser>
          <idx val="0"/>
          <order val="0"/>
          <tx>
            <strRef>
              <f>Сгорание!$C$6</f>
              <strCache>
                <ptCount val="1"/>
                <pt idx="0">
                  <v>Идеальный остаток (дн)</v>
                </pt>
              </strCache>
            </strRef>
          </tx>
          <spPr>
            <a:ln xmlns:a="http://schemas.openxmlformats.org/drawingml/2006/main">
              <a:solidFill>
                <a:srgbClr val="808080"/>
              </a:solidFill>
              <a:prstDash val="dash"/>
            </a:ln>
          </spPr>
          <marker>
            <symbol val="circle"/>
            <size val="6"/>
            <spPr>
              <a:ln xmlns:a="http://schemas.openxmlformats.org/drawingml/2006/main">
                <a:prstDash val="solid"/>
              </a:ln>
            </spPr>
          </marker>
          <cat>
            <numRef>
              <f>Сгорание!$A$7:$A$17</f>
              <numCache>
                <formatCode>General</formatCode>
                <ptCount val="11"/>
                <pt idx="0">
                  <v>0</v>
                </pt>
                <pt idx="1">
                  <v>1</v>
                </pt>
                <pt idx="2">
                  <v>2</v>
                </pt>
                <pt idx="3">
                  <v>3</v>
                </pt>
                <pt idx="4">
                  <v>4</v>
                </pt>
                <pt idx="5">
                  <v>5</v>
                </pt>
                <pt idx="6">
                  <v>6</v>
                </pt>
                <pt idx="7">
                  <v>7</v>
                </pt>
                <pt idx="8">
                  <v>8</v>
                </pt>
                <pt idx="9">
                  <v>9</v>
                </pt>
                <pt idx="10">
                  <v>10</v>
                </pt>
              </numCache>
            </numRef>
          </cat>
          <val>
            <numRef>
              <f>Сгорание!$C$7:$C$17</f>
              <numCache>
                <formatCode>#\ ##0.0</formatCode>
                <ptCount val="11"/>
                <pt idx="0">
                  <v>29</v>
                </pt>
                <pt idx="1">
                  <v>26.1</v>
                </pt>
                <pt idx="2">
                  <v>23.2</v>
                </pt>
                <pt idx="3">
                  <v>20.3</v>
                </pt>
                <pt idx="4">
                  <v>17.4</v>
                </pt>
                <pt idx="5">
                  <v>14.5</v>
                </pt>
                <pt idx="6">
                  <v>11.6</v>
                </pt>
                <pt idx="7">
                  <v>8.699999999999999</v>
                </pt>
                <pt idx="8">
                  <v>5.8</v>
                </pt>
                <pt idx="9">
                  <v>2.9</v>
                </pt>
                <pt idx="10">
                  <v>0</v>
                </pt>
              </numCache>
            </numRef>
          </val>
          <smooth val="0"/>
        </ser>
        <ser>
          <idx val="1"/>
          <order val="1"/>
          <tx>
            <strRef>
              <f>Сгорание!$D$6</f>
              <strCache>
                <ptCount val="1"/>
                <pt idx="0">
                  <v>Факт. остаток (дн)</v>
                </pt>
              </strCache>
            </strRef>
          </tx>
          <spPr>
            <a:ln xmlns:a="http://schemas.openxmlformats.org/drawingml/2006/main" w="28000">
              <a:solidFill>
                <a:srgbClr val="C00000"/>
              </a:solidFill>
              <a:prstDash val="solid"/>
            </a:ln>
          </spPr>
          <marker>
            <symbol val="circle"/>
            <size val="6"/>
            <spPr>
              <a:ln xmlns:a="http://schemas.openxmlformats.org/drawingml/2006/main">
                <a:prstDash val="solid"/>
              </a:ln>
            </spPr>
          </marker>
          <cat>
            <numRef>
              <f>Сгорание!$A$7:$A$17</f>
              <numCache>
                <formatCode>General</formatCode>
                <ptCount val="11"/>
                <pt idx="0">
                  <v>0</v>
                </pt>
                <pt idx="1">
                  <v>1</v>
                </pt>
                <pt idx="2">
                  <v>2</v>
                </pt>
                <pt idx="3">
                  <v>3</v>
                </pt>
                <pt idx="4">
                  <v>4</v>
                </pt>
                <pt idx="5">
                  <v>5</v>
                </pt>
                <pt idx="6">
                  <v>6</v>
                </pt>
                <pt idx="7">
                  <v>7</v>
                </pt>
                <pt idx="8">
                  <v>8</v>
                </pt>
                <pt idx="9">
                  <v>9</v>
                </pt>
                <pt idx="10">
                  <v>10</v>
                </pt>
              </numCache>
            </numRef>
          </cat>
          <val>
            <numRef>
              <f>Сгорание!$D$7:$D$17</f>
              <numCache>
                <formatCode>#\ ##0.0</formatCode>
                <ptCount val="11"/>
                <pt idx="0">
                  <v>29</v>
                </pt>
                <pt idx="1">
                  <v>28.4</v>
                </pt>
                <pt idx="2">
                  <v>26.1</v>
                </pt>
                <pt idx="3">
                  <v>24.9</v>
                </pt>
                <pt idx="4">
                  <v>20.9</v>
                </pt>
                <pt idx="5">
                  <v>17.4</v>
                </pt>
                <pt idx="6">
                  <v>16</v>
                </pt>
                <pt idx="7">
                  <v>11.6</v>
                </pt>
                <pt idx="8">
                  <v>8.1</v>
                </pt>
                <pt idx="9">
                  <v>3.5</v>
                </pt>
                <pt idx="10">
                  <v>0</v>
                </pt>
              </numCache>
            </numRef>
          </val>
          <smooth val="0"/>
        </ser>
        <dLbls>
          <showLegendKey val="0"/>
          <showVal val="0"/>
          <showCatName val="0"/>
          <showSerName val="0"/>
          <showPercent val="0"/>
          <showBubbleSize val="0"/>
        </dLbls>
        <marker val="1"/>
        <smooth val="0"/>
        <axId val="10"/>
        <axId val="100"/>
      </lineChart>
      <catAx>
        <axId val="10"/>
        <scaling>
          <orientation val="minMax"/>
        </scaling>
        <delete val="0"/>
        <axPos val="b"/>
        <title>
          <tx>
            <rich>
              <a:bodyPr xmlns:a="http://schemas.openxmlformats.org/drawingml/2006/main"/>
              <a:lstStyle xmlns:a="http://schemas.openxmlformats.org/drawingml/2006/main"/>
              <a:p xmlns:a="http://schemas.openxmlformats.org/drawingml/2006/main">
                <a:pPr>
                  <a:defRPr/>
                </a:pPr>
                <a:r>
                  <a:rPr lang="ru-RU"/>
                  <a:t>День спринта</a:t>
                </a:r>
              </a:p>
            </rich>
          </tx>
          <overlay val="1"/>
        </title>
        <numFmt formatCode="General" sourceLinked="1"/>
        <majorTickMark val="none"/>
        <minorTickMark val="none"/>
        <tickLblPos val="nextTo"/>
        <spPr>
          <a:ln xmlns:a="http://schemas.openxmlformats.org/drawingml/2006/main">
            <a:solidFill>
              <a:srgbClr val="808080"/>
            </a:solidFill>
            <a:prstDash val="solid"/>
          </a:ln>
        </spPr>
        <crossAx val="100"/>
        <crosses val="autoZero"/>
        <auto val="1"/>
        <lblAlgn val="ctr"/>
        <lblOffset val="100"/>
        <noMultiLvlLbl val="1"/>
      </catAx>
      <valAx>
        <axId val="100"/>
        <scaling>
          <orientation val="minMax"/>
        </scaling>
        <delete val="0"/>
        <axPos val="l"/>
        <majorGridlines/>
        <title>
          <tx>
            <rich>
              <a:bodyPr xmlns:a="http://schemas.openxmlformats.org/drawingml/2006/main"/>
              <a:lstStyle xmlns:a="http://schemas.openxmlformats.org/drawingml/2006/main"/>
              <a:p xmlns:a="http://schemas.openxmlformats.org/drawingml/2006/main">
                <a:pPr>
                  <a:defRPr/>
                </a:pPr>
                <a:r>
                  <a:rPr lang="ru-RU"/>
                  <a:t>Остаток (дни)</a:t>
                </a:r>
              </a:p>
            </rich>
          </tx>
          <overlay val="1"/>
        </title>
        <numFmt formatCode="#\ ##0.0" sourceLinked="1"/>
        <majorTickMark val="none"/>
        <minorTickMark val="none"/>
        <tickLblPos val="nextTo"/>
        <spPr>
          <a:ln xmlns:a="http://schemas.openxmlformats.org/drawingml/2006/main">
            <a:solidFill>
              <a:srgbClr val="808080"/>
            </a:solidFill>
            <a:prstDash val="solid"/>
          </a:ln>
        </spPr>
        <crossAx val="10"/>
        <crosses val="autoZero"/>
        <crossBetween val="between"/>
      </valAx>
    </plotArea>
    <legend>
      <legendPos val="r"/>
      <overlay val="0"/>
    </legend>
    <plotVisOnly val="1"/>
    <dispBlanksAs val="gap"/>
  </chart>
</chartSpace>
</file>

<file path=xl/charts/chart58.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 xml:space="preserve">Burn-up: </a:t>
            </a:r>
            <a:r>
              <a:rPr lang="ru-RU"/>
              <a:t xml:space="preserve">объём </a:t>
            </a:r>
            <a:r>
              <a:rPr lang="en-US"/>
              <a:t xml:space="preserve">vs </a:t>
            </a:r>
            <a:r>
              <a:rPr lang="ru-RU"/>
              <a:t>сделано</a:t>
            </a:r>
          </a:p>
        </rich>
      </tx>
      <overlay val="0"/>
    </title>
    <plotArea>
      <layout/>
      <lineChart>
        <grouping val="standard"/>
        <varyColors val="1"/>
        <ser>
          <idx val="0"/>
          <order val="0"/>
          <tx>
            <strRef>
              <f>Сгорание!$B$21</f>
              <strCache>
                <ptCount val="1"/>
                <pt idx="0">
                  <v>Накопл.
сделано (дн)</v>
                </pt>
              </strCache>
            </strRef>
          </tx>
          <spPr>
            <a:ln xmlns:a="http://schemas.openxmlformats.org/drawingml/2006/main" w="28000">
              <a:solidFill>
                <a:srgbClr val="70AD47"/>
              </a:solidFill>
              <a:prstDash val="solid"/>
            </a:ln>
          </spPr>
          <marker>
            <symbol val="circle"/>
            <size val="6"/>
            <spPr>
              <a:ln xmlns:a="http://schemas.openxmlformats.org/drawingml/2006/main">
                <a:prstDash val="solid"/>
              </a:ln>
            </spPr>
          </marker>
          <cat>
            <numRef>
              <f>Сгорание!$A$22:$A$32</f>
              <numCache>
                <formatCode>General</formatCode>
                <ptCount val="11"/>
                <pt idx="0">
                  <v>1</v>
                </pt>
                <pt idx="1">
                  <v>2</v>
                </pt>
                <pt idx="2">
                  <v>3</v>
                </pt>
                <pt idx="3">
                  <v>4</v>
                </pt>
                <pt idx="4">
                  <v>5</v>
                </pt>
                <pt idx="5">
                  <v>6</v>
                </pt>
                <pt idx="6">
                  <v>7</v>
                </pt>
                <pt idx="7">
                  <v>8</v>
                </pt>
                <pt idx="8">
                  <v>9</v>
                </pt>
                <pt idx="9">
                  <v>10</v>
                </pt>
                <pt idx="10">
                  <v>11</v>
                </pt>
              </numCache>
            </numRef>
          </cat>
          <val>
            <numRef>
              <f>Сгорание!$B$22:$B$32</f>
              <numCache>
                <formatCode>#\ ##0.0</formatCode>
                <ptCount val="11"/>
                <pt idx="0">
                  <v>17</v>
                </pt>
                <pt idx="1">
                  <v>38</v>
                </pt>
                <pt idx="2">
                  <v>38</v>
                </pt>
                <pt idx="3">
                  <v>38</v>
                </pt>
                <pt idx="4">
                  <v>38</v>
                </pt>
                <pt idx="5">
                  <v>38</v>
                </pt>
                <pt idx="6">
                  <v>38</v>
                </pt>
                <pt idx="7">
                  <v>38</v>
                </pt>
                <pt idx="8">
                  <v>38</v>
                </pt>
                <pt idx="9">
                  <v>38</v>
                </pt>
                <pt idx="10">
                  <v>38</v>
                </pt>
              </numCache>
            </numRef>
          </val>
          <smooth val="0"/>
        </ser>
        <ser>
          <idx val="1"/>
          <order val="1"/>
          <tx>
            <strRef>
              <f>Сгорание!$C$21</f>
              <strCache>
                <ptCount val="1"/>
                <pt idx="0">
                  <v>Общий
объём (дн)</v>
                </pt>
              </strCache>
            </strRef>
          </tx>
          <spPr>
            <a:ln xmlns:a="http://schemas.openxmlformats.org/drawingml/2006/main">
              <a:solidFill>
                <a:srgbClr val="C00000"/>
              </a:solidFill>
              <a:prstDash val="dash"/>
            </a:ln>
          </spPr>
          <marker>
            <symbol val="circle"/>
            <size val="6"/>
            <spPr>
              <a:ln xmlns:a="http://schemas.openxmlformats.org/drawingml/2006/main">
                <a:prstDash val="solid"/>
              </a:ln>
            </spPr>
          </marker>
          <cat>
            <numRef>
              <f>Сгорание!$A$22:$A$32</f>
              <numCache>
                <formatCode>General</formatCode>
                <ptCount val="11"/>
                <pt idx="0">
                  <v>1</v>
                </pt>
                <pt idx="1">
                  <v>2</v>
                </pt>
                <pt idx="2">
                  <v>3</v>
                </pt>
                <pt idx="3">
                  <v>4</v>
                </pt>
                <pt idx="4">
                  <v>5</v>
                </pt>
                <pt idx="5">
                  <v>6</v>
                </pt>
                <pt idx="6">
                  <v>7</v>
                </pt>
                <pt idx="7">
                  <v>8</v>
                </pt>
                <pt idx="8">
                  <v>9</v>
                </pt>
                <pt idx="9">
                  <v>10</v>
                </pt>
                <pt idx="10">
                  <v>11</v>
                </pt>
              </numCache>
            </numRef>
          </cat>
          <val>
            <numRef>
              <f>Сгорание!$C$22:$C$32</f>
              <numCache>
                <formatCode>#\ ##0.0</formatCode>
                <ptCount val="11"/>
                <pt idx="0">
                  <v>107</v>
                </pt>
                <pt idx="1">
                  <v>107</v>
                </pt>
                <pt idx="2">
                  <v>107</v>
                </pt>
                <pt idx="3">
                  <v>107</v>
                </pt>
                <pt idx="4">
                  <v>107</v>
                </pt>
                <pt idx="5">
                  <v>107</v>
                </pt>
                <pt idx="6">
                  <v>107</v>
                </pt>
                <pt idx="7">
                  <v>107</v>
                </pt>
                <pt idx="8">
                  <v>107</v>
                </pt>
                <pt idx="9">
                  <v>107</v>
                </pt>
                <pt idx="10">
                  <v>107</v>
                </pt>
              </numCache>
            </numRef>
          </val>
          <smooth val="0"/>
        </ser>
        <dLbls>
          <showLegendKey val="0"/>
          <showVal val="0"/>
          <showCatName val="0"/>
          <showSerName val="0"/>
          <showPercent val="0"/>
          <showBubbleSize val="0"/>
        </dLbls>
        <marker val="1"/>
        <smooth val="0"/>
        <axId val="10"/>
        <axId val="100"/>
      </lineChart>
      <catAx>
        <axId val="10"/>
        <scaling>
          <orientation val="minMax"/>
        </scaling>
        <delete val="0"/>
        <axPos val="b"/>
        <title>
          <tx>
            <rich>
              <a:bodyPr xmlns:a="http://schemas.openxmlformats.org/drawingml/2006/main"/>
              <a:lstStyle xmlns:a="http://schemas.openxmlformats.org/drawingml/2006/main"/>
              <a:p xmlns:a="http://schemas.openxmlformats.org/drawingml/2006/main">
                <a:pPr>
                  <a:defRPr/>
                </a:pPr>
                <a:r>
                  <a:rPr lang="ru-RU"/>
                  <a:t>Спринт</a:t>
                </a:r>
              </a:p>
            </rich>
          </tx>
          <overlay val="1"/>
        </title>
        <numFmt formatCode="General" sourceLinked="1"/>
        <majorTickMark val="none"/>
        <minorTickMark val="none"/>
        <tickLblPos val="nextTo"/>
        <spPr>
          <a:ln xmlns:a="http://schemas.openxmlformats.org/drawingml/2006/main">
            <a:solidFill>
              <a:srgbClr val="808080"/>
            </a:solidFill>
            <a:prstDash val="solid"/>
          </a:ln>
        </spPr>
        <crossAx val="100"/>
        <crosses val="autoZero"/>
        <auto val="1"/>
        <lblAlgn val="ctr"/>
        <lblOffset val="100"/>
        <noMultiLvlLbl val="1"/>
      </catAx>
      <valAx>
        <axId val="100"/>
        <scaling>
          <orientation val="minMax"/>
        </scaling>
        <delete val="0"/>
        <axPos val="l"/>
        <majorGridlines/>
        <title>
          <tx>
            <rich>
              <a:bodyPr xmlns:a="http://schemas.openxmlformats.org/drawingml/2006/main"/>
              <a:lstStyle xmlns:a="http://schemas.openxmlformats.org/drawingml/2006/main"/>
              <a:p xmlns:a="http://schemas.openxmlformats.org/drawingml/2006/main">
                <a:pPr>
                  <a:defRPr/>
                </a:pPr>
                <a:r>
                  <a:rPr lang="ru-RU"/>
                  <a:t>Человеко-дни</a:t>
                </a:r>
              </a:p>
            </rich>
          </tx>
          <overlay val="1"/>
        </title>
        <numFmt formatCode="#\ ##0.0" sourceLinked="1"/>
        <majorTickMark val="none"/>
        <minorTickMark val="none"/>
        <tickLblPos val="nextTo"/>
        <spPr>
          <a:ln xmlns:a="http://schemas.openxmlformats.org/drawingml/2006/main">
            <a:solidFill>
              <a:srgbClr val="808080"/>
            </a:solidFill>
            <a:prstDash val="solid"/>
          </a:ln>
        </spPr>
        <crossAx val="10"/>
        <crosses val="autoZero"/>
        <crossBetween val="between"/>
      </valAx>
    </plotArea>
    <legend>
      <legendPos val="r"/>
      <overlay val="0"/>
    </legend>
    <plotVisOnly val="1"/>
    <dispBlanksAs val="gap"/>
  </chart>
</chartSpace>
</file>

<file path=xl/charts/chart59.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 xml:space="preserve">Дефекты: найдено </a:t>
            </a:r>
            <a:r>
              <a:rPr lang="en-US"/>
              <a:t xml:space="preserve">vs </a:t>
            </a:r>
            <a:r>
              <a:rPr lang="ru-RU"/>
              <a:t>закрыто</a:t>
            </a:r>
          </a:p>
        </rich>
      </tx>
      <overlay val="0"/>
    </title>
    <plotArea>
      <layout/>
      <barChart>
        <barDir val="col"/>
        <grouping val="clustered"/>
        <varyColors val="1"/>
        <ser>
          <idx val="0"/>
          <order val="0"/>
          <tx>
            <strRef>
              <f>Качество!$B$4</f>
              <strCache>
                <ptCount val="1"/>
                <pt idx="0">
                  <v>Найдено</v>
                </pt>
              </strCache>
            </strRef>
          </tx>
          <spPr>
            <a:solidFill xmlns:a="http://schemas.openxmlformats.org/drawingml/2006/main">
              <a:srgbClr val="ED7D31"/>
            </a:solidFill>
            <a:ln xmlns:a="http://schemas.openxmlformats.org/drawingml/2006/main">
              <a:prstDash val="solid"/>
            </a:ln>
          </spPr>
          <invertIfNegative val="1"/>
          <cat>
            <strRef>
              <f>Качество!$A$5:$A$15</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Качество!$B$5:$B$15</f>
              <numCache>
                <formatCode>General</formatCode>
                <ptCount val="11"/>
                <pt idx="0">
                  <v>5</v>
                </pt>
                <pt idx="1">
                  <v>6</v>
                </pt>
                <pt idx="2">
                  <v>2</v>
                </pt>
                <pt idx="3">
                  <v>0</v>
                </pt>
                <pt idx="4">
                  <v>0</v>
                </pt>
                <pt idx="5">
                  <v>0</v>
                </pt>
                <pt idx="6">
                  <v>0</v>
                </pt>
                <pt idx="7">
                  <v>0</v>
                </pt>
                <pt idx="8">
                  <v>0</v>
                </pt>
                <pt idx="9">
                  <v>0</v>
                </pt>
                <pt idx="10">
                  <v>0</v>
                </pt>
              </numCache>
            </numRef>
          </val>
        </ser>
        <ser>
          <idx val="1"/>
          <order val="1"/>
          <tx>
            <strRef>
              <f>Качество!$C$4</f>
              <strCache>
                <ptCount val="1"/>
                <pt idx="0">
                  <v>Закрыто</v>
                </pt>
              </strCache>
            </strRef>
          </tx>
          <spPr>
            <a:solidFill xmlns:a="http://schemas.openxmlformats.org/drawingml/2006/main">
              <a:srgbClr val="70AD47"/>
            </a:solidFill>
            <a:ln xmlns:a="http://schemas.openxmlformats.org/drawingml/2006/main">
              <a:prstDash val="solid"/>
            </a:ln>
          </spPr>
          <invertIfNegative val="1"/>
          <cat>
            <strRef>
              <f>Качество!$A$5:$A$15</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Качество!$C$5:$C$15</f>
              <numCache>
                <formatCode>General</formatCode>
                <ptCount val="11"/>
                <pt idx="0">
                  <v>4</v>
                </pt>
                <pt idx="1">
                  <v>6</v>
                </pt>
                <pt idx="2">
                  <v>0</v>
                </pt>
                <pt idx="3">
                  <v>0</v>
                </pt>
                <pt idx="4">
                  <v>0</v>
                </pt>
                <pt idx="5">
                  <v>0</v>
                </pt>
                <pt idx="6">
                  <v>0</v>
                </pt>
                <pt idx="7">
                  <v>0</v>
                </pt>
                <pt idx="8">
                  <v>0</v>
                </pt>
                <pt idx="9">
                  <v>0</v>
                </pt>
                <pt idx="10">
                  <v>0</v>
                </pt>
              </numCache>
            </numRef>
          </val>
        </ser>
        <dLbls>
          <showLegendKey val="0"/>
          <showVal val="0"/>
          <showCatName val="0"/>
          <showSerName val="0"/>
          <showPercent val="0"/>
          <showBubbleSize val="0"/>
        </dLbls>
        <gapWidth val="150"/>
        <axId val="10"/>
        <axId val="100"/>
      </barChart>
      <catAx>
        <axId val="10"/>
        <scaling>
          <orientation val="minMax"/>
        </scaling>
        <delete val="0"/>
        <axPos val="b"/>
        <title>
          <tx>
            <rich>
              <a:bodyPr xmlns:a="http://schemas.openxmlformats.org/drawingml/2006/main"/>
              <a:lstStyle xmlns:a="http://schemas.openxmlformats.org/drawingml/2006/main"/>
              <a:p xmlns:a="http://schemas.openxmlformats.org/drawingml/2006/main">
                <a:pPr>
                  <a:defRPr/>
                </a:pPr>
                <a:r>
                  <a:rPr lang="ru-RU"/>
                  <a:t>Спринт</a:t>
                </a:r>
              </a:p>
            </rich>
          </tx>
          <overlay val="1"/>
        </title>
        <numFmt formatCode="General" sourceLinked="1"/>
        <majorTickMark val="none"/>
        <minorTickMark val="none"/>
        <tickLblPos val="nextTo"/>
        <spPr>
          <a:ln xmlns:a="http://schemas.openxmlformats.org/drawingml/2006/main">
            <a:solidFill>
              <a:srgbClr val="808080"/>
            </a:solidFill>
            <a:prstDash val="solid"/>
          </a:ln>
        </spPr>
        <crossAx val="100"/>
        <crosses val="autoZero"/>
        <auto val="1"/>
        <lblAlgn val="ctr"/>
        <lblOffset val="100"/>
        <noMultiLvlLbl val="1"/>
      </catAx>
      <valAx>
        <axId val="100"/>
        <scaling>
          <orientation val="minMax"/>
        </scaling>
        <delete val="0"/>
        <axPos val="l"/>
        <majorGridlines/>
        <title>
          <tx>
            <rich>
              <a:bodyPr xmlns:a="http://schemas.openxmlformats.org/drawingml/2006/main"/>
              <a:lstStyle xmlns:a="http://schemas.openxmlformats.org/drawingml/2006/main"/>
              <a:p xmlns:a="http://schemas.openxmlformats.org/drawingml/2006/main">
                <a:pPr>
                  <a:defRPr/>
                </a:pPr>
                <a:r>
                  <a:rPr lang="ru-RU"/>
                  <a:t>Багов</a:t>
                </a:r>
              </a:p>
            </rich>
          </tx>
          <overlay val="1"/>
        </title>
        <numFmt formatCode="General" sourceLinked="1"/>
        <majorTickMark val="none"/>
        <minorTickMark val="none"/>
        <tickLblPos val="nextTo"/>
        <spPr>
          <a:ln xmlns:a="http://schemas.openxmlformats.org/drawingml/2006/main">
            <a:solidFill>
              <a:srgbClr val="808080"/>
            </a:solidFill>
            <a:prstDash val="solid"/>
          </a:ln>
        </spPr>
        <crossAx val="10"/>
        <crosses val="autoZero"/>
        <crossBetween val="between"/>
      </valAx>
    </plotArea>
    <legend>
      <legendPos val="r"/>
      <overlay val="0"/>
    </legend>
    <plotVisOnly val="1"/>
    <dispBlanksAs val="gap"/>
  </chart>
</chartSpace>
</file>

<file path=xl/charts/chart60.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Баги по спринтам (кол-во)</a:t>
            </a:r>
          </a:p>
        </rich>
      </tx>
      <overlay val="1"/>
    </title>
    <plotArea>
      <layout/>
      <barChart>
        <barDir val="col"/>
        <grouping val="stacked"/>
        <varyColors val="1"/>
        <ser>
          <idx val="0"/>
          <order val="0"/>
          <tx>
            <strRef>
              <f>Баги!$L$5</f>
              <strCache>
                <ptCount val="1"/>
                <pt idx="0">
                  <v>Закрыто</v>
                </pt>
              </strCache>
            </strRef>
          </tx>
          <spPr>
            <a:solidFill xmlns:a="http://schemas.openxmlformats.org/drawingml/2006/main">
              <a:srgbClr val="70AD47"/>
            </a:solidFill>
            <a:ln xmlns:a="http://schemas.openxmlformats.org/drawingml/2006/main">
              <a:prstDash val="solid"/>
            </a:ln>
          </spPr>
          <invertIfNegative val="1"/>
          <cat>
            <numRef>
              <f>Баги!$J$6:$J$16</f>
              <numCache>
                <formatCode>General</formatCode>
                <ptCount val="11"/>
                <pt idx="0">
                  <v>1</v>
                </pt>
                <pt idx="1">
                  <v>2</v>
                </pt>
                <pt idx="2">
                  <v>3</v>
                </pt>
                <pt idx="3">
                  <v>4</v>
                </pt>
                <pt idx="4">
                  <v>5</v>
                </pt>
                <pt idx="5">
                  <v>6</v>
                </pt>
                <pt idx="6">
                  <v>7</v>
                </pt>
                <pt idx="7">
                  <v>8</v>
                </pt>
                <pt idx="8">
                  <v>9</v>
                </pt>
                <pt idx="9">
                  <v>10</v>
                </pt>
                <pt idx="10">
                  <v>11</v>
                </pt>
              </numCache>
            </numRef>
          </cat>
          <val>
            <numRef>
              <f>Баги!$L$6:$L$16</f>
              <numCache>
                <formatCode>General</formatCode>
                <ptCount val="11"/>
                <pt idx="0">
                  <v>4</v>
                </pt>
                <pt idx="1">
                  <v>6</v>
                </pt>
                <pt idx="2">
                  <v>0</v>
                </pt>
                <pt idx="3">
                  <v>0</v>
                </pt>
                <pt idx="4">
                  <v>0</v>
                </pt>
                <pt idx="5">
                  <v>0</v>
                </pt>
                <pt idx="6">
                  <v>0</v>
                </pt>
                <pt idx="7">
                  <v>0</v>
                </pt>
                <pt idx="8">
                  <v>0</v>
                </pt>
                <pt idx="9">
                  <v>0</v>
                </pt>
                <pt idx="10">
                  <v>0</v>
                </pt>
              </numCache>
            </numRef>
          </val>
        </ser>
        <ser>
          <idx val="1"/>
          <order val="1"/>
          <tx>
            <strRef>
              <f>Баги!$M$5</f>
              <strCache>
                <ptCount val="1"/>
                <pt idx="0">
                  <v>Открыто</v>
                </pt>
              </strCache>
            </strRef>
          </tx>
          <spPr>
            <a:solidFill xmlns:a="http://schemas.openxmlformats.org/drawingml/2006/main">
              <a:srgbClr val="C00000"/>
            </a:solidFill>
            <a:ln xmlns:a="http://schemas.openxmlformats.org/drawingml/2006/main">
              <a:prstDash val="solid"/>
            </a:ln>
          </spPr>
          <invertIfNegative val="1"/>
          <cat>
            <numRef>
              <f>Баги!$J$6:$J$16</f>
              <numCache>
                <formatCode>General</formatCode>
                <ptCount val="11"/>
                <pt idx="0">
                  <v>1</v>
                </pt>
                <pt idx="1">
                  <v>2</v>
                </pt>
                <pt idx="2">
                  <v>3</v>
                </pt>
                <pt idx="3">
                  <v>4</v>
                </pt>
                <pt idx="4">
                  <v>5</v>
                </pt>
                <pt idx="5">
                  <v>6</v>
                </pt>
                <pt idx="6">
                  <v>7</v>
                </pt>
                <pt idx="7">
                  <v>8</v>
                </pt>
                <pt idx="8">
                  <v>9</v>
                </pt>
                <pt idx="9">
                  <v>10</v>
                </pt>
                <pt idx="10">
                  <v>11</v>
                </pt>
              </numCache>
            </numRef>
          </cat>
          <val>
            <numRef>
              <f>Баги!$M$6:$M$16</f>
              <numCache>
                <formatCode>General</formatCode>
                <ptCount val="11"/>
                <pt idx="0">
                  <v>1</v>
                </pt>
                <pt idx="1">
                  <v>0</v>
                </pt>
                <pt idx="2">
                  <v>2</v>
                </pt>
                <pt idx="3">
                  <v>0</v>
                </pt>
                <pt idx="4">
                  <v>0</v>
                </pt>
                <pt idx="5">
                  <v>0</v>
                </pt>
                <pt idx="6">
                  <v>0</v>
                </pt>
                <pt idx="7">
                  <v>0</v>
                </pt>
                <pt idx="8">
                  <v>0</v>
                </pt>
                <pt idx="9">
                  <v>0</v>
                </pt>
                <pt idx="10">
                  <v>0</v>
                </pt>
              </numCache>
            </numRef>
          </val>
        </ser>
        <dLbls>
          <showLegendKey val="0"/>
          <showVal val="0"/>
          <showCatName val="0"/>
          <showSerName val="0"/>
          <showPercent val="0"/>
          <showBubbleSize val="0"/>
        </dLbls>
        <gapWidth val="150"/>
        <overlap val="100"/>
        <axId val="10"/>
        <axId val="100"/>
      </bar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charts/chart6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 закрытых по спринтам</a:t>
            </a:r>
          </a:p>
        </rich>
      </tx>
      <overlay val="1"/>
    </title>
    <plotArea>
      <layout/>
      <barChart>
        <barDir val="col"/>
        <grouping val="clustered"/>
        <varyColors val="1"/>
        <ser>
          <idx val="0"/>
          <order val="0"/>
          <tx>
            <strRef>
              <f>Баги!$N$5</f>
              <strCache>
                <ptCount val="1"/>
                <pt idx="0">
                  <v>% закрытых</v>
                </pt>
              </strCache>
            </strRef>
          </tx>
          <spPr>
            <a:solidFill xmlns:a="http://schemas.openxmlformats.org/drawingml/2006/main">
              <a:srgbClr val="4472C4"/>
            </a:solidFill>
            <a:ln xmlns:a="http://schemas.openxmlformats.org/drawingml/2006/main">
              <a:prstDash val="solid"/>
            </a:ln>
          </spPr>
          <invertIfNegative val="1"/>
          <cat>
            <numRef>
              <f>Баги!$J$6:$J$16</f>
              <numCache>
                <formatCode>General</formatCode>
                <ptCount val="11"/>
                <pt idx="0">
                  <v>1</v>
                </pt>
                <pt idx="1">
                  <v>2</v>
                </pt>
                <pt idx="2">
                  <v>3</v>
                </pt>
                <pt idx="3">
                  <v>4</v>
                </pt>
                <pt idx="4">
                  <v>5</v>
                </pt>
                <pt idx="5">
                  <v>6</v>
                </pt>
                <pt idx="6">
                  <v>7</v>
                </pt>
                <pt idx="7">
                  <v>8</v>
                </pt>
                <pt idx="8">
                  <v>9</v>
                </pt>
                <pt idx="9">
                  <v>10</v>
                </pt>
                <pt idx="10">
                  <v>11</v>
                </pt>
              </numCache>
            </numRef>
          </cat>
          <val>
            <numRef>
              <f>Баги!$N$6:$N$16</f>
              <numCache>
                <formatCode>0%</formatCode>
                <ptCount val="11"/>
                <pt idx="0">
                  <v>0.8</v>
                </pt>
                <pt idx="1">
                  <v>1</v>
                </pt>
                <pt idx="2">
                  <v>0</v>
                </pt>
                <pt idx="3">
                  <v>0</v>
                </pt>
                <pt idx="4">
                  <v>0</v>
                </pt>
                <pt idx="5">
                  <v>0</v>
                </pt>
                <pt idx="6">
                  <v>0</v>
                </pt>
                <pt idx="7">
                  <v>0</v>
                </pt>
                <pt idx="8">
                  <v>0</v>
                </pt>
                <pt idx="9">
                  <v>0</v>
                </pt>
                <pt idx="10">
                  <v>0</v>
                </pt>
              </numCache>
            </numRef>
          </val>
        </ser>
        <dLbls>
          <showLegendKey val="0"/>
          <showVal val="0"/>
          <showCatName val="0"/>
          <showSerName val="0"/>
          <showPercent val="0"/>
          <showBubbleSize val="0"/>
        </dLbls>
        <gapWidth val="150"/>
        <axId val="10"/>
        <axId val="100"/>
      </bar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0%" sourceLinked="0"/>
        <majorTickMark val="none"/>
        <minorTickMark val="none"/>
        <tickLblPos val="nextTo"/>
        <crossAx val="10"/>
        <crosses val="autoZero"/>
        <crossBetween val="between"/>
      </valAx>
    </plotArea>
    <plotVisOnly val="1"/>
    <dispBlanksAs val="gap"/>
  </chart>
</chartSpace>
</file>

<file path=xl/charts/chart6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Доля багов по спринтам</a:t>
            </a:r>
          </a:p>
        </rich>
      </tx>
      <overlay val="1"/>
    </title>
    <plotArea>
      <layout/>
      <pieChart>
        <varyColors val="1"/>
        <ser>
          <idx val="0"/>
          <order val="0"/>
          <spPr>
            <a:ln xmlns:a="http://schemas.openxmlformats.org/drawingml/2006/main">
              <a:prstDash val="solid"/>
            </a:ln>
          </spPr>
          <dLbls>
            <spPr>
              <a:noFill xmlns:a="http://schemas.openxmlformats.org/drawingml/2006/main"/>
              <a:ln xmlns:a="http://schemas.openxmlformats.org/drawingml/2006/main">
                <a:noFill/>
                <a:prstDash val="solid"/>
              </a:ln>
            </spPr>
            <showLegendKey val="0"/>
            <showVal val="0"/>
            <showCatName val="0"/>
            <showSerName val="0"/>
            <showPercent val="1"/>
            <showBubbleSize val="1"/>
            <showLeaderLines val="1"/>
          </dLbls>
          <cat>
            <numRef>
              <f>Баги!$J$6:$J$16</f>
              <numCache>
                <formatCode>General</formatCode>
                <ptCount val="11"/>
                <pt idx="0">
                  <v>1</v>
                </pt>
                <pt idx="1">
                  <v>2</v>
                </pt>
                <pt idx="2">
                  <v>3</v>
                </pt>
                <pt idx="3">
                  <v>4</v>
                </pt>
                <pt idx="4">
                  <v>5</v>
                </pt>
                <pt idx="5">
                  <v>6</v>
                </pt>
                <pt idx="6">
                  <v>7</v>
                </pt>
                <pt idx="7">
                  <v>8</v>
                </pt>
                <pt idx="8">
                  <v>9</v>
                </pt>
                <pt idx="9">
                  <v>10</v>
                </pt>
                <pt idx="10">
                  <v>11</v>
                </pt>
              </numCache>
            </numRef>
          </cat>
          <val>
            <numRef>
              <f>Баги!$P$6:$P$16</f>
              <numCache>
                <formatCode>General</formatCode>
                <ptCount val="11"/>
                <pt idx="0">
                  <v>5</v>
                </pt>
                <pt idx="1">
                  <v>6</v>
                </pt>
                <pt idx="2">
                  <v>2</v>
                </pt>
                <pt idx="3">
                  <v>#N/A</v>
                </pt>
                <pt idx="4">
                  <v>#N/A</v>
                </pt>
                <pt idx="5">
                  <v>#N/A</v>
                </pt>
                <pt idx="6">
                  <v>#N/A</v>
                </pt>
                <pt idx="7">
                  <v>#N/A</v>
                </pt>
                <pt idx="8">
                  <v>#N/A</v>
                </pt>
                <pt idx="9">
                  <v>#N/A</v>
                </pt>
                <pt idx="10">
                  <v>#N/A</v>
                </pt>
              </numCache>
            </numRef>
          </val>
        </ser>
        <dLbls>
          <showLegendKey val="0"/>
          <showVal val="0"/>
          <showCatName val="0"/>
          <showSerName val="0"/>
          <showPercent val="1"/>
          <showBubbleSize val="1"/>
          <showLeaderLines val="1"/>
        </dLbls>
        <firstSliceAng val="0"/>
      </pieChart>
    </plotArea>
    <legend>
      <legendPos val="r"/>
      <overlay val="0"/>
    </legend>
    <plotVisOnly val="0"/>
    <dispBlanksAs val="gap"/>
  </chart>
</chartSpace>
</file>

<file path=xl/charts/chart63.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Cumulative Flow Diagram</a:t>
            </a:r>
          </a:p>
        </rich>
      </tx>
      <overlay val="0"/>
    </title>
    <plotArea>
      <layout/>
      <barChart>
        <barDir val="col"/>
        <grouping val="stacked"/>
        <varyColors val="1"/>
        <ser>
          <idx val="0"/>
          <order val="0"/>
          <tx>
            <strRef>
              <f>CFD!$B$4</f>
              <strCache>
                <ptCount val="1"/>
                <pt idx="0">
                  <v>To Do</v>
                </pt>
              </strCache>
            </strRef>
          </tx>
          <spPr>
            <a:solidFill xmlns:a="http://schemas.openxmlformats.org/drawingml/2006/main">
              <a:srgbClr val="BFBFBF"/>
            </a:solidFill>
            <a:ln xmlns:a="http://schemas.openxmlformats.org/drawingml/2006/main">
              <a:prstDash val="solid"/>
            </a:ln>
          </spPr>
          <invertIfNegative val="1"/>
          <cat>
            <numRef>
              <f>CFD!$A$5:$A$15</f>
              <numCache>
                <formatCode>General</formatCode>
                <ptCount val="11"/>
                <pt idx="0">
                  <v>0</v>
                </pt>
                <pt idx="1">
                  <v>1</v>
                </pt>
                <pt idx="2">
                  <v>2</v>
                </pt>
                <pt idx="3">
                  <v>3</v>
                </pt>
                <pt idx="4">
                  <v>4</v>
                </pt>
                <pt idx="5">
                  <v>5</v>
                </pt>
                <pt idx="6">
                  <v>6</v>
                </pt>
                <pt idx="7">
                  <v>7</v>
                </pt>
                <pt idx="8">
                  <v>8</v>
                </pt>
                <pt idx="9">
                  <v>9</v>
                </pt>
                <pt idx="10">
                  <v>10</v>
                </pt>
              </numCache>
            </numRef>
          </cat>
          <val>
            <numRef>
              <f>CFD!$B$5:$B$15</f>
              <numCache>
                <formatCode>General</formatCode>
                <ptCount val="11"/>
                <pt idx="0">
                  <v>8</v>
                </pt>
                <pt idx="1">
                  <v>7</v>
                </pt>
                <pt idx="2">
                  <v>6</v>
                </pt>
                <pt idx="3">
                  <v>5</v>
                </pt>
                <pt idx="4">
                  <v>4</v>
                </pt>
                <pt idx="5">
                  <v>3</v>
                </pt>
                <pt idx="6">
                  <v>3</v>
                </pt>
                <pt idx="7">
                  <v>2</v>
                </pt>
                <pt idx="8">
                  <v>1</v>
                </pt>
                <pt idx="9">
                  <v>1</v>
                </pt>
                <pt idx="10">
                  <v>0</v>
                </pt>
              </numCache>
            </numRef>
          </val>
        </ser>
        <ser>
          <idx val="1"/>
          <order val="1"/>
          <tx>
            <strRef>
              <f>CFD!$C$4</f>
              <strCache>
                <ptCount val="1"/>
                <pt idx="0">
                  <v>В работе</v>
                </pt>
              </strCache>
            </strRef>
          </tx>
          <spPr>
            <a:solidFill xmlns:a="http://schemas.openxmlformats.org/drawingml/2006/main">
              <a:srgbClr val="FFC000"/>
            </a:solidFill>
            <a:ln xmlns:a="http://schemas.openxmlformats.org/drawingml/2006/main">
              <a:prstDash val="solid"/>
            </a:ln>
          </spPr>
          <invertIfNegative val="1"/>
          <cat>
            <numRef>
              <f>CFD!$A$5:$A$15</f>
              <numCache>
                <formatCode>General</formatCode>
                <ptCount val="11"/>
                <pt idx="0">
                  <v>0</v>
                </pt>
                <pt idx="1">
                  <v>1</v>
                </pt>
                <pt idx="2">
                  <v>2</v>
                </pt>
                <pt idx="3">
                  <v>3</v>
                </pt>
                <pt idx="4">
                  <v>4</v>
                </pt>
                <pt idx="5">
                  <v>5</v>
                </pt>
                <pt idx="6">
                  <v>6</v>
                </pt>
                <pt idx="7">
                  <v>7</v>
                </pt>
                <pt idx="8">
                  <v>8</v>
                </pt>
                <pt idx="9">
                  <v>9</v>
                </pt>
                <pt idx="10">
                  <v>10</v>
                </pt>
              </numCache>
            </numRef>
          </cat>
          <val>
            <numRef>
              <f>CFD!$C$5:$C$15</f>
              <numCache>
                <formatCode>General</formatCode>
                <ptCount val="11"/>
                <pt idx="0">
                  <v>0</v>
                </pt>
                <pt idx="1">
                  <v>1</v>
                </pt>
                <pt idx="2">
                  <v>2</v>
                </pt>
                <pt idx="3">
                  <v>2</v>
                </pt>
                <pt idx="4">
                  <v>3</v>
                </pt>
                <pt idx="5">
                  <v>3</v>
                </pt>
                <pt idx="6">
                  <v>2</v>
                </pt>
                <pt idx="7">
                  <v>2</v>
                </pt>
                <pt idx="8">
                  <v>2</v>
                </pt>
                <pt idx="9">
                  <v>1</v>
                </pt>
                <pt idx="10">
                  <v>0</v>
                </pt>
              </numCache>
            </numRef>
          </val>
        </ser>
        <ser>
          <idx val="2"/>
          <order val="2"/>
          <tx>
            <strRef>
              <f>CFD!$D$4</f>
              <strCache>
                <ptCount val="1"/>
                <pt idx="0">
                  <v>Готово</v>
                </pt>
              </strCache>
            </strRef>
          </tx>
          <spPr>
            <a:solidFill xmlns:a="http://schemas.openxmlformats.org/drawingml/2006/main">
              <a:srgbClr val="70AD47"/>
            </a:solidFill>
            <a:ln xmlns:a="http://schemas.openxmlformats.org/drawingml/2006/main">
              <a:prstDash val="solid"/>
            </a:ln>
          </spPr>
          <invertIfNegative val="1"/>
          <cat>
            <numRef>
              <f>CFD!$A$5:$A$15</f>
              <numCache>
                <formatCode>General</formatCode>
                <ptCount val="11"/>
                <pt idx="0">
                  <v>0</v>
                </pt>
                <pt idx="1">
                  <v>1</v>
                </pt>
                <pt idx="2">
                  <v>2</v>
                </pt>
                <pt idx="3">
                  <v>3</v>
                </pt>
                <pt idx="4">
                  <v>4</v>
                </pt>
                <pt idx="5">
                  <v>5</v>
                </pt>
                <pt idx="6">
                  <v>6</v>
                </pt>
                <pt idx="7">
                  <v>7</v>
                </pt>
                <pt idx="8">
                  <v>8</v>
                </pt>
                <pt idx="9">
                  <v>9</v>
                </pt>
                <pt idx="10">
                  <v>10</v>
                </pt>
              </numCache>
            </numRef>
          </cat>
          <val>
            <numRef>
              <f>CFD!$D$5:$D$15</f>
              <numCache>
                <formatCode>General</formatCode>
                <ptCount val="11"/>
                <pt idx="0">
                  <v>0</v>
                </pt>
                <pt idx="1">
                  <v>0</v>
                </pt>
                <pt idx="2">
                  <v>0</v>
                </pt>
                <pt idx="3">
                  <v>1</v>
                </pt>
                <pt idx="4">
                  <v>1</v>
                </pt>
                <pt idx="5">
                  <v>2</v>
                </pt>
                <pt idx="6">
                  <v>3</v>
                </pt>
                <pt idx="7">
                  <v>4</v>
                </pt>
                <pt idx="8">
                  <v>5</v>
                </pt>
                <pt idx="9">
                  <v>6</v>
                </pt>
                <pt idx="10">
                  <v>8</v>
                </pt>
              </numCache>
            </numRef>
          </val>
        </ser>
        <dLbls>
          <showLegendKey val="0"/>
          <showVal val="0"/>
          <showCatName val="0"/>
          <showSerName val="0"/>
          <showPercent val="0"/>
          <showBubbleSize val="0"/>
        </dLbls>
        <gapWidth val="150"/>
        <overlap val="100"/>
        <axId val="10"/>
        <axId val="100"/>
      </barChart>
      <catAx>
        <axId val="10"/>
        <scaling>
          <orientation val="minMax"/>
        </scaling>
        <delete val="0"/>
        <axPos val="b"/>
        <title>
          <tx>
            <rich>
              <a:bodyPr xmlns:a="http://schemas.openxmlformats.org/drawingml/2006/main"/>
              <a:lstStyle xmlns:a="http://schemas.openxmlformats.org/drawingml/2006/main"/>
              <a:p xmlns:a="http://schemas.openxmlformats.org/drawingml/2006/main">
                <a:pPr>
                  <a:defRPr/>
                </a:pPr>
                <a:r>
                  <a:rPr lang="ru-RU"/>
                  <a:t>День спринта</a:t>
                </a:r>
              </a:p>
            </rich>
          </tx>
          <overlay val="1"/>
        </title>
        <numFmt formatCode="General" sourceLinked="1"/>
        <majorTickMark val="none"/>
        <minorTickMark val="none"/>
        <tickLblPos val="nextTo"/>
        <spPr>
          <a:ln xmlns:a="http://schemas.openxmlformats.org/drawingml/2006/main">
            <a:solidFill>
              <a:srgbClr val="808080"/>
            </a:solidFill>
            <a:prstDash val="solid"/>
          </a:ln>
        </spPr>
        <crossAx val="100"/>
        <crosses val="autoZero"/>
        <auto val="1"/>
        <lblAlgn val="ctr"/>
        <lblOffset val="100"/>
        <noMultiLvlLbl val="1"/>
      </catAx>
      <valAx>
        <axId val="100"/>
        <scaling>
          <orientation val="minMax"/>
        </scaling>
        <delete val="0"/>
        <axPos val="l"/>
        <majorGridlines/>
        <title>
          <tx>
            <rich>
              <a:bodyPr xmlns:a="http://schemas.openxmlformats.org/drawingml/2006/main"/>
              <a:lstStyle xmlns:a="http://schemas.openxmlformats.org/drawingml/2006/main"/>
              <a:p xmlns:a="http://schemas.openxmlformats.org/drawingml/2006/main">
                <a:pPr>
                  <a:defRPr/>
                </a:pPr>
                <a:r>
                  <a:rPr lang="ru-RU"/>
                  <a:t>Задач</a:t>
                </a:r>
              </a:p>
            </rich>
          </tx>
          <overlay val="1"/>
        </title>
        <numFmt formatCode="General" sourceLinked="1"/>
        <majorTickMark val="none"/>
        <minorTickMark val="none"/>
        <tickLblPos val="nextTo"/>
        <spPr>
          <a:ln xmlns:a="http://schemas.openxmlformats.org/drawingml/2006/main">
            <a:solidFill>
              <a:srgbClr val="808080"/>
            </a:solidFill>
            <a:prstDash val="solid"/>
          </a:ln>
        </spPr>
        <crossAx val="10"/>
        <crosses val="autoZero"/>
        <crossBetween val="between"/>
      </valAx>
    </plotArea>
    <legend>
      <legendPos val="r"/>
      <overlay val="0"/>
    </legend>
    <plotVisOnly val="1"/>
    <dispBlanksAs val="gap"/>
  </chart>
</chartSpace>
</file>

<file path=xl/charts/chart64.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 xml:space="preserve">Velocity: </a:t>
            </a:r>
            <a:r>
              <a:rPr lang="ru-RU"/>
              <a:t>тренд и прогноз</a:t>
            </a:r>
          </a:p>
        </rich>
      </tx>
      <overlay val="0"/>
    </title>
    <plotArea>
      <layout/>
      <lineChart>
        <grouping val="standard"/>
        <varyColors val="1"/>
        <ser>
          <idx val="0"/>
          <order val="0"/>
          <spPr>
            <a:ln xmlns:a="http://schemas.openxmlformats.org/drawingml/2006/main" w="26000">
              <a:solidFill>
                <a:srgbClr val="C00000"/>
              </a:solidFill>
              <a:prstDash val="solid"/>
            </a:ln>
          </spPr>
          <marker>
            <symbol val="none"/>
            <spPr>
              <a:ln xmlns:a="http://schemas.openxmlformats.org/drawingml/2006/main">
                <a:prstDash val="solid"/>
              </a:ln>
            </spPr>
          </marker>
          <trendline>
            <trendlineType val="linear"/>
            <forward val="3"/>
            <dispRSqr val="1"/>
            <dispEq val="0"/>
            <trendlineLbl>
              <numFmt formatCode="General" sourceLinked="0"/>
            </trendlineLbl>
          </trendline>
          <cat>
            <numRef>
              <f>'Метрики и прогноз'!$E$3:$E$13</f>
              <numCache>
                <formatCode>General</formatCode>
                <ptCount val="11"/>
                <pt idx="0">
                  <v>1</v>
                </pt>
                <pt idx="1">
                  <v>2</v>
                </pt>
                <pt idx="2">
                  <v>3</v>
                </pt>
                <pt idx="3">
                  <v>4</v>
                </pt>
                <pt idx="4">
                  <v>5</v>
                </pt>
                <pt idx="5">
                  <v>6</v>
                </pt>
                <pt idx="6">
                  <v>7</v>
                </pt>
                <pt idx="7">
                  <v>8</v>
                </pt>
                <pt idx="8">
                  <v>9</v>
                </pt>
                <pt idx="9">
                  <v>10</v>
                </pt>
                <pt idx="10">
                  <v>11</v>
                </pt>
              </numCache>
            </numRef>
          </cat>
          <val>
            <numRef>
              <f>'Метрики и прогноз'!$F$2:$F$13</f>
              <numCache>
                <formatCode>General</formatCode>
                <ptCount val="12"/>
                <pt idx="1">
                  <v>17</v>
                </pt>
                <pt idx="2">
                  <v>21</v>
                </pt>
                <pt idx="3">
                  <v>0</v>
                </pt>
                <pt idx="4">
                  <v>0</v>
                </pt>
                <pt idx="5">
                  <v>0</v>
                </pt>
                <pt idx="6">
                  <v>0</v>
                </pt>
                <pt idx="7">
                  <v>0</v>
                </pt>
                <pt idx="8">
                  <v>0</v>
                </pt>
                <pt idx="9">
                  <v>0</v>
                </pt>
                <pt idx="10">
                  <v>0</v>
                </pt>
                <pt idx="11">
                  <v>0</v>
                </pt>
              </numCache>
            </numRef>
          </val>
          <smooth val="1"/>
        </ser>
        <dLbls>
          <showLegendKey val="0"/>
          <showVal val="0"/>
          <showCatName val="0"/>
          <showSerName val="0"/>
          <showPercent val="0"/>
          <showBubbleSize val="0"/>
        </dLbls>
        <smooth val="0"/>
        <axId val="10"/>
        <axId val="100"/>
      </line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General" sourceLinked="1"/>
        <majorTickMark val="none"/>
        <minorTickMark val="none"/>
        <tickLblPos val="nextTo"/>
        <crossAx val="10"/>
        <crosses val="autoZero"/>
        <crossBetween val="between"/>
      </valAx>
    </plotArea>
    <plotVisOnly val="1"/>
    <dispBlanksAs val="gap"/>
  </chart>
</chartSpace>
</file>

<file path=xl/charts/chart65.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 xml:space="preserve">Throughput </a:t>
            </a:r>
            <a:r>
              <a:rPr lang="ru-RU"/>
              <a:t>по спринтам</a:t>
            </a:r>
          </a:p>
        </rich>
      </tx>
      <overlay val="0"/>
    </title>
    <plotArea>
      <layout/>
      <barChart>
        <barDir val="col"/>
        <grouping val="clustered"/>
        <varyColors val="1"/>
        <ser>
          <idx val="0"/>
          <order val="0"/>
          <tx>
            <strRef>
              <f>'Метрики и прогноз'!$B$11</f>
              <strCache>
                <ptCount val="1"/>
                <pt idx="0">
                  <v>Задач сделано</v>
                </pt>
              </strCache>
            </strRef>
          </tx>
          <spPr>
            <a:solidFill xmlns:a="http://schemas.openxmlformats.org/drawingml/2006/main">
              <a:srgbClr val="4472C4"/>
            </a:solidFill>
            <a:ln xmlns:a="http://schemas.openxmlformats.org/drawingml/2006/main">
              <a:prstDash val="solid"/>
            </a:ln>
          </spPr>
          <invertIfNegative val="1"/>
          <cat>
            <numRef>
              <f>'Метрики и прогноз'!$A$12:$A$22</f>
              <numCache>
                <formatCode>General</formatCode>
                <ptCount val="11"/>
                <pt idx="0">
                  <v>1</v>
                </pt>
                <pt idx="1">
                  <v>2</v>
                </pt>
                <pt idx="2">
                  <v>3</v>
                </pt>
                <pt idx="3">
                  <v>4</v>
                </pt>
                <pt idx="4">
                  <v>5</v>
                </pt>
                <pt idx="5">
                  <v>6</v>
                </pt>
                <pt idx="6">
                  <v>7</v>
                </pt>
                <pt idx="7">
                  <v>8</v>
                </pt>
                <pt idx="8">
                  <v>9</v>
                </pt>
                <pt idx="9">
                  <v>10</v>
                </pt>
                <pt idx="10">
                  <v>11</v>
                </pt>
              </numCache>
            </numRef>
          </cat>
          <val>
            <numRef>
              <f>'Метрики и прогноз'!$B$12:$B$22</f>
              <numCache>
                <formatCode>General</formatCode>
                <ptCount val="11"/>
                <pt idx="0">
                  <v>3</v>
                </pt>
                <pt idx="1">
                  <v>4</v>
                </pt>
                <pt idx="2">
                  <v>0</v>
                </pt>
                <pt idx="3">
                  <v>0</v>
                </pt>
                <pt idx="4">
                  <v>0</v>
                </pt>
                <pt idx="5">
                  <v>0</v>
                </pt>
                <pt idx="6">
                  <v>0</v>
                </pt>
                <pt idx="7">
                  <v>0</v>
                </pt>
                <pt idx="8">
                  <v>0</v>
                </pt>
                <pt idx="9">
                  <v>0</v>
                </pt>
                <pt idx="10">
                  <v>0</v>
                </pt>
              </numCache>
            </numRef>
          </val>
        </ser>
        <dLbls>
          <showLegendKey val="0"/>
          <showVal val="0"/>
          <showCatName val="0"/>
          <showSerName val="0"/>
          <showPercent val="0"/>
          <showBubbleSize val="0"/>
        </dLbls>
        <gapWidth val="150"/>
        <axId val="10"/>
        <axId val="100"/>
      </bar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General" sourceLinked="1"/>
        <majorTickMark val="none"/>
        <minorTickMark val="none"/>
        <tickLblPos val="nextTo"/>
        <crossAx val="10"/>
        <crosses val="autoZero"/>
        <crossBetween val="between"/>
      </valAx>
    </plotArea>
    <plotVisOnly val="1"/>
    <dispBlanksAs val="gap"/>
  </chart>
</chartSpace>
</file>

<file path=xl/charts/chart66.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Парето: причины багов</a:t>
            </a:r>
          </a:p>
        </rich>
      </tx>
      <overlay val="0"/>
    </title>
    <plotArea>
      <layout/>
      <barChart>
        <barDir val="col"/>
        <grouping val="clustered"/>
        <varyColors val="1"/>
        <ser>
          <idx val="0"/>
          <order val="0"/>
          <tx>
            <strRef>
              <f>'Метрики и прогноз'!$B$47</f>
              <strCache>
                <ptCount val="1"/>
                <pt idx="0">
                  <v>Кол-во</v>
                </pt>
              </strCache>
            </strRef>
          </tx>
          <spPr>
            <a:solidFill xmlns:a="http://schemas.openxmlformats.org/drawingml/2006/main">
              <a:srgbClr val="ED7D31"/>
            </a:solidFill>
            <a:ln xmlns:a="http://schemas.openxmlformats.org/drawingml/2006/main">
              <a:prstDash val="solid"/>
            </a:ln>
          </spPr>
          <invertIfNegative val="1"/>
          <cat>
            <strRef>
              <f>'Метрики и прогноз'!$A$48:$A$53</f>
              <strCache>
                <ptCount val="6"/>
                <pt idx="0">
                  <v>Интеграция</v>
                </pt>
                <pt idx="1">
                  <v>Код</v>
                </pt>
                <pt idx="2">
                  <v>Требования</v>
                </pt>
                <pt idx="3">
                  <v>Тестирование</v>
                </pt>
                <pt idx="4">
                  <v>Данные</v>
                </pt>
                <pt idx="5">
                  <v>Инфраструктура</v>
                </pt>
              </strCache>
            </strRef>
          </cat>
          <val>
            <numRef>
              <f>'Метрики и прогноз'!$B$48:$B$53</f>
              <numCache>
                <formatCode>General</formatCode>
                <ptCount val="6"/>
                <pt idx="0">
                  <v>4</v>
                </pt>
                <pt idx="1">
                  <v>3</v>
                </pt>
                <pt idx="2">
                  <v>3</v>
                </pt>
                <pt idx="3">
                  <v>2</v>
                </pt>
                <pt idx="4">
                  <v>1</v>
                </pt>
                <pt idx="5">
                  <v>0</v>
                </pt>
              </numCache>
            </numRef>
          </val>
        </ser>
        <dLbls>
          <showLegendKey val="0"/>
          <showVal val="0"/>
          <showCatName val="0"/>
          <showSerName val="0"/>
          <showPercent val="0"/>
          <showBubbleSize val="0"/>
        </dLbls>
        <gapWidth val="150"/>
        <axId val="10"/>
        <axId val="100"/>
      </barChart>
      <lineChart>
        <grouping val="standard"/>
        <varyColors val="1"/>
        <ser>
          <idx val="1"/>
          <order val="1"/>
          <tx>
            <strRef>
              <f>'Метрики и прогноз'!$C$47</f>
              <strCache>
                <ptCount val="1"/>
                <pt idx="0">
                  <v>Накопл. %</v>
                </pt>
              </strCache>
            </strRef>
          </tx>
          <spPr>
            <a:ln xmlns:a="http://schemas.openxmlformats.org/drawingml/2006/main">
              <a:solidFill>
                <a:srgbClr val="C00000"/>
              </a:solidFill>
              <a:prstDash val="solid"/>
            </a:ln>
          </spPr>
          <marker>
            <symbol val="none"/>
            <spPr>
              <a:ln xmlns:a="http://schemas.openxmlformats.org/drawingml/2006/main">
                <a:prstDash val="solid"/>
              </a:ln>
            </spPr>
          </marker>
          <val>
            <numRef>
              <f>'Метрики и прогноз'!$C$48:$C$53</f>
              <numCache>
                <formatCode>0%</formatCode>
                <ptCount val="6"/>
                <pt idx="0">
                  <v>0.3076923076923077</v>
                </pt>
                <pt idx="1">
                  <v>0.5384615384615384</v>
                </pt>
                <pt idx="2">
                  <v>0.7692307692307693</v>
                </pt>
                <pt idx="3">
                  <v>0.9230769230769231</v>
                </pt>
                <pt idx="4">
                  <v>1</v>
                </pt>
                <pt idx="5">
                  <v>1</v>
                </pt>
              </numCache>
            </numRef>
          </val>
          <smooth val="1"/>
        </ser>
        <dLbls>
          <showLegendKey val="0"/>
          <showVal val="0"/>
          <showCatName val="0"/>
          <showSerName val="0"/>
          <showPercent val="0"/>
          <showBubbleSize val="0"/>
        </dLbls>
        <marker val="1"/>
        <smooth val="0"/>
        <axId val="10"/>
        <axId val="200"/>
      </line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General" sourceLinked="1"/>
        <majorTickMark val="none"/>
        <minorTickMark val="none"/>
        <tickLblPos val="nextTo"/>
        <crossAx val="10"/>
        <crosses val="autoZero"/>
        <crossBetween val="between"/>
      </valAx>
      <valAx>
        <axId val="200"/>
        <scaling>
          <orientation val="minMax"/>
        </scaling>
        <delete val="1"/>
        <axPos val="r"/>
        <majorGridlines/>
        <numFmt formatCode="0%" sourceLinked="0"/>
        <majorTickMark val="none"/>
        <minorTickMark val="none"/>
        <tickLblPos val="nextTo"/>
        <crossAx val="10"/>
        <crosses val="max"/>
        <crossBetween val="between"/>
      </valAx>
    </plotArea>
    <legend>
      <legendPos val="r"/>
      <overlay val="1"/>
    </legend>
    <plotVisOnly val="1"/>
    <dispBlanksAs val="gap"/>
  </chart>
</chartSpace>
</file>

<file path=xl/charts/chart67.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 xml:space="preserve">Нагрузка по ролям: ёмкость </a:t>
            </a:r>
            <a:r>
              <a:rPr lang="en-US"/>
              <a:t xml:space="preserve">vs </a:t>
            </a:r>
            <a:r>
              <a:rPr lang="ru-RU"/>
              <a:t>спрос</a:t>
            </a:r>
          </a:p>
        </rich>
      </tx>
      <overlay val="0"/>
    </title>
    <plotArea>
      <layout/>
      <radarChart>
        <radarStyle val="filled"/>
        <varyColors val="1"/>
        <ser>
          <idx val="0"/>
          <order val="0"/>
          <tx>
            <strRef>
              <f>'Ёмкость на горизонт'!$B$11</f>
              <strCache>
                <ptCount val="1"/>
                <pt idx="0">
                  <v>Ёмкость (дн)</v>
                </pt>
              </strCache>
            </strRef>
          </tx>
          <spPr>
            <a:ln xmlns:a="http://schemas.openxmlformats.org/drawingml/2006/main">
              <a:prstDash val="solid"/>
            </a:ln>
          </spPr>
          <marker>
            <symbol val="none"/>
            <spPr>
              <a:ln xmlns:a="http://schemas.openxmlformats.org/drawingml/2006/main">
                <a:prstDash val="solid"/>
              </a:ln>
            </spPr>
          </marker>
          <cat>
            <strRef>
              <f>'Ёмкость на горизонт'!$A$12:$A$17</f>
              <strCache>
                <ptCount val="6"/>
                <pt idx="0">
                  <v>Backend</v>
                </pt>
                <pt idx="1">
                  <v>Frontend</v>
                </pt>
                <pt idx="2">
                  <v>QA</v>
                </pt>
                <pt idx="3">
                  <v>DevOps</v>
                </pt>
                <pt idx="4">
                  <v>Analyst</v>
                </pt>
                <pt idx="5">
                  <v>Designer</v>
                </pt>
              </strCache>
            </strRef>
          </cat>
          <val>
            <numRef>
              <f>'Ёмкость на горизонт'!$B$12:$B$17</f>
              <numCache>
                <formatCode>#\ ##0.0</formatCode>
                <ptCount val="6"/>
                <pt idx="0">
                  <v>339.9999999999999</v>
                </pt>
                <pt idx="1">
                  <v>258.3999999999999</v>
                </pt>
                <pt idx="2">
                  <v>155.52</v>
                </pt>
                <pt idx="3">
                  <v>69.11999999999999</v>
                </pt>
                <pt idx="4">
                  <v>127.6</v>
                </pt>
                <pt idx="5">
                  <v>69.11999999999999</v>
                </pt>
              </numCache>
            </numRef>
          </val>
        </ser>
        <ser>
          <idx val="1"/>
          <order val="1"/>
          <tx>
            <strRef>
              <f>'Ёмкость на горизонт'!$C$11</f>
              <strCache>
                <ptCount val="1"/>
                <pt idx="0">
                  <v>Спрос (дн)</v>
                </pt>
              </strCache>
            </strRef>
          </tx>
          <spPr>
            <a:ln xmlns:a="http://schemas.openxmlformats.org/drawingml/2006/main">
              <a:prstDash val="solid"/>
            </a:ln>
          </spPr>
          <marker>
            <symbol val="none"/>
            <spPr>
              <a:ln xmlns:a="http://schemas.openxmlformats.org/drawingml/2006/main">
                <a:prstDash val="solid"/>
              </a:ln>
            </spPr>
          </marker>
          <cat>
            <strRef>
              <f>'Ёмкость на горизонт'!$A$12:$A$17</f>
              <strCache>
                <ptCount val="6"/>
                <pt idx="0">
                  <v>Backend</v>
                </pt>
                <pt idx="1">
                  <v>Frontend</v>
                </pt>
                <pt idx="2">
                  <v>QA</v>
                </pt>
                <pt idx="3">
                  <v>DevOps</v>
                </pt>
                <pt idx="4">
                  <v>Analyst</v>
                </pt>
                <pt idx="5">
                  <v>Designer</v>
                </pt>
              </strCache>
            </strRef>
          </cat>
          <val>
            <numRef>
              <f>'Ёмкость на горизонт'!$C$12:$C$17</f>
              <numCache>
                <formatCode>#\ ##0.0</formatCode>
                <ptCount val="6"/>
                <pt idx="0">
                  <v>35</v>
                </pt>
                <pt idx="1">
                  <v>29</v>
                </pt>
                <pt idx="2">
                  <v>20</v>
                </pt>
                <pt idx="3">
                  <v>7</v>
                </pt>
                <pt idx="4">
                  <v>11</v>
                </pt>
                <pt idx="5">
                  <v>5</v>
                </pt>
              </numCache>
            </numRef>
          </val>
        </ser>
        <dLbls>
          <showLegendKey val="0"/>
          <showVal val="0"/>
          <showCatName val="0"/>
          <showSerName val="0"/>
          <showPercent val="0"/>
          <showBubbleSize val="0"/>
        </dLbls>
        <axId val="10"/>
        <axId val="100"/>
      </radarChart>
      <catAx>
        <axId val="10"/>
        <scaling>
          <orientation val="minMax"/>
        </scaling>
        <delete val="1"/>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1"/>
        <axPos val="l"/>
        <majorGridlines/>
        <numFmt formatCode="#\ ##0.0" sourceLinked="1"/>
        <majorTickMark val="none"/>
        <minorTickMark val="none"/>
        <tickLblPos val="nextTo"/>
        <crossAx val="10"/>
        <crosses val="autoZero"/>
        <crossBetween val="between"/>
      </valAx>
    </plotArea>
    <legend>
      <legendPos val="r"/>
      <overlay val="1"/>
    </legend>
    <plotVisOnly val="1"/>
    <dispBlanksAs val="gap"/>
  </chart>
</chartSpace>
</file>

<file path=xl/charts/chart68.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 xml:space="preserve">Burn-up </a:t>
            </a:r>
            <a:r>
              <a:rPr lang="ru-RU"/>
              <a:t>к релизу</a:t>
            </a:r>
          </a:p>
        </rich>
      </tx>
      <overlay val="0"/>
    </title>
    <plotArea>
      <layout/>
      <lineChart>
        <grouping val="standard"/>
        <varyColors val="1"/>
        <ser>
          <idx val="0"/>
          <order val="0"/>
          <tx>
            <strRef>
              <f>'Метрики и прогноз'!$F$18</f>
              <strCache>
                <ptCount val="1"/>
                <pt idx="0">
                  <v>Сделано (накопл.)</v>
                </pt>
              </strCache>
            </strRef>
          </tx>
          <spPr>
            <a:ln xmlns:a="http://schemas.openxmlformats.org/drawingml/2006/main" w="26000">
              <a:solidFill>
                <a:srgbClr val="70AD47"/>
              </a:solidFill>
              <a:prstDash val="solid"/>
            </a:ln>
          </spPr>
          <marker>
            <symbol val="none"/>
            <spPr>
              <a:ln xmlns:a="http://schemas.openxmlformats.org/drawingml/2006/main">
                <a:prstDash val="solid"/>
              </a:ln>
            </spPr>
          </marker>
          <cat>
            <numRef>
              <f>'Метрики и прогноз'!$E$19:$E$29</f>
              <numCache>
                <formatCode>#\ ##0.0</formatCode>
                <ptCount val="11"/>
                <pt idx="0">
                  <v>1</v>
                </pt>
                <pt idx="1">
                  <v>2</v>
                </pt>
                <pt idx="2">
                  <v>3</v>
                </pt>
                <pt idx="3">
                  <v>4</v>
                </pt>
                <pt idx="4">
                  <v>5</v>
                </pt>
                <pt idx="5">
                  <v>6</v>
                </pt>
                <pt idx="6">
                  <v>7</v>
                </pt>
                <pt idx="7">
                  <v>8</v>
                </pt>
                <pt idx="8">
                  <v>9</v>
                </pt>
                <pt idx="9">
                  <v>10</v>
                </pt>
                <pt idx="10">
                  <v>11</v>
                </pt>
              </numCache>
            </numRef>
          </cat>
          <val>
            <numRef>
              <f>'Метрики и прогноз'!$F$19:$F$29</f>
              <numCache>
                <formatCode>#\ ##0.0</formatCode>
                <ptCount val="11"/>
                <pt idx="0">
                  <v>17</v>
                </pt>
                <pt idx="1">
                  <v>38</v>
                </pt>
                <pt idx="2">
                  <v>38</v>
                </pt>
                <pt idx="3">
                  <v>38</v>
                </pt>
                <pt idx="4">
                  <v>38</v>
                </pt>
                <pt idx="5">
                  <v>38</v>
                </pt>
                <pt idx="6">
                  <v>38</v>
                </pt>
                <pt idx="7">
                  <v>38</v>
                </pt>
                <pt idx="8">
                  <v>38</v>
                </pt>
                <pt idx="9">
                  <v>38</v>
                </pt>
                <pt idx="10">
                  <v>38</v>
                </pt>
              </numCache>
            </numRef>
          </val>
          <smooth val="1"/>
        </ser>
        <ser>
          <idx val="1"/>
          <order val="1"/>
          <tx>
            <strRef>
              <f>'Метрики и прогноз'!$G$18</f>
              <strCache>
                <ptCount val="1"/>
                <pt idx="0">
                  <v>Объём (scope)</v>
                </pt>
              </strCache>
            </strRef>
          </tx>
          <spPr>
            <a:ln xmlns:a="http://schemas.openxmlformats.org/drawingml/2006/main">
              <a:solidFill>
                <a:srgbClr val="C00000"/>
              </a:solidFill>
              <a:prstDash val="dash"/>
            </a:ln>
          </spPr>
          <marker>
            <symbol val="none"/>
            <spPr>
              <a:ln xmlns:a="http://schemas.openxmlformats.org/drawingml/2006/main">
                <a:prstDash val="solid"/>
              </a:ln>
            </spPr>
          </marker>
          <cat>
            <numRef>
              <f>'Метрики и прогноз'!$E$19:$E$29</f>
              <numCache>
                <formatCode>#\ ##0.0</formatCode>
                <ptCount val="11"/>
                <pt idx="0">
                  <v>1</v>
                </pt>
                <pt idx="1">
                  <v>2</v>
                </pt>
                <pt idx="2">
                  <v>3</v>
                </pt>
                <pt idx="3">
                  <v>4</v>
                </pt>
                <pt idx="4">
                  <v>5</v>
                </pt>
                <pt idx="5">
                  <v>6</v>
                </pt>
                <pt idx="6">
                  <v>7</v>
                </pt>
                <pt idx="7">
                  <v>8</v>
                </pt>
                <pt idx="8">
                  <v>9</v>
                </pt>
                <pt idx="9">
                  <v>10</v>
                </pt>
                <pt idx="10">
                  <v>11</v>
                </pt>
              </numCache>
            </numRef>
          </cat>
          <val>
            <numRef>
              <f>'Метрики и прогноз'!$G$19:$G$29</f>
              <numCache>
                <formatCode>#\ ##0.0</formatCode>
                <ptCount val="11"/>
                <pt idx="0">
                  <v>107</v>
                </pt>
                <pt idx="1">
                  <v>107</v>
                </pt>
                <pt idx="2">
                  <v>107</v>
                </pt>
                <pt idx="3">
                  <v>107</v>
                </pt>
                <pt idx="4">
                  <v>107</v>
                </pt>
                <pt idx="5">
                  <v>107</v>
                </pt>
                <pt idx="6">
                  <v>107</v>
                </pt>
                <pt idx="7">
                  <v>107</v>
                </pt>
                <pt idx="8">
                  <v>107</v>
                </pt>
                <pt idx="9">
                  <v>107</v>
                </pt>
                <pt idx="10">
                  <v>107</v>
                </pt>
              </numCache>
            </numRef>
          </val>
          <smooth val="1"/>
        </ser>
        <dLbls>
          <showLegendKey val="0"/>
          <showVal val="0"/>
          <showCatName val="0"/>
          <showSerName val="0"/>
          <showPercent val="0"/>
          <showBubbleSize val="0"/>
        </dLbls>
        <smooth val="0"/>
        <axId val="10"/>
        <axId val="100"/>
      </lineChart>
      <catAx>
        <axId val="10"/>
        <scaling>
          <orientation val="minMax"/>
        </scaling>
        <delete val="0"/>
        <axPos val="b"/>
        <numFmt formatCode="#\ ##0.0"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 ##0.0" sourceLinked="1"/>
        <majorTickMark val="none"/>
        <minorTickMark val="none"/>
        <tickLblPos val="nextTo"/>
        <crossAx val="10"/>
        <crosses val="autoZero"/>
        <crossBetween val="between"/>
      </valAx>
    </plotArea>
    <legend>
      <legendPos val="b"/>
      <overlay val="0"/>
    </legend>
    <plotVisOnly val="1"/>
    <dispBlanksAs val="gap"/>
  </chart>
</chartSpace>
</file>

<file path=xl/charts/chart69.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Cycle time (</a:t>
            </a:r>
            <a:r>
              <a:rPr lang="ru-RU"/>
              <a:t>контрольная карта)</a:t>
            </a:r>
          </a:p>
        </rich>
      </tx>
      <overlay val="0"/>
    </title>
    <plotArea>
      <layout/>
      <lineChart>
        <grouping val="standard"/>
        <varyColors val="1"/>
        <ser>
          <idx val="0"/>
          <order val="0"/>
          <tx>
            <strRef>
              <f>'Cycle time'!$G$9</f>
              <strCache>
                <ptCount val="1"/>
                <pt idx="0">
                  <v>Cycle (дн)</v>
                </pt>
              </strCache>
            </strRef>
          </tx>
          <spPr>
            <a:ln xmlns:a="http://schemas.openxmlformats.org/drawingml/2006/main" w="20000">
              <a:solidFill>
                <a:srgbClr val="4472C4"/>
              </a:solidFill>
              <a:prstDash val="solid"/>
            </a:ln>
          </spPr>
          <marker>
            <symbol val="circle"/>
            <size val="7"/>
            <spPr>
              <a:ln xmlns:a="http://schemas.openxmlformats.org/drawingml/2006/main">
                <a:prstDash val="solid"/>
              </a:ln>
            </spPr>
          </marker>
          <cat>
            <strRef>
              <f>'Cycle time'!$A$10:$A$29</f>
              <strCache>
                <ptCount val="20"/>
                <pt idx="0">
                  <v>T-01</v>
                </pt>
                <pt idx="1">
                  <v>T-02</v>
                </pt>
                <pt idx="2">
                  <v>T-09</v>
                </pt>
                <pt idx="3">
                  <v>T-10</v>
                </pt>
                <pt idx="4">
                  <v>T-03</v>
                </pt>
                <pt idx="5">
                  <v>T-04</v>
                </pt>
                <pt idx="6">
                  <v>T-08</v>
                </pt>
                <pt idx="7">
                  <v>T-11</v>
                </pt>
                <pt idx="8">
                  <v>T-12</v>
                </pt>
                <pt idx="9">
                  <v>T-05</v>
                </pt>
                <pt idx="10">
                  <v>T-06</v>
                </pt>
                <pt idx="11">
                  <v>T-07</v>
                </pt>
                <pt idx="12">
                  <v>T-13</v>
                </pt>
                <pt idx="13">
                  <v>T-14</v>
                </pt>
                <pt idx="14">
                  <v>T-15</v>
                </pt>
                <pt idx="15">
                  <v>T-16</v>
                </pt>
                <pt idx="16">
                  <v>T-17</v>
                </pt>
                <pt idx="17">
                  <v>T-18</v>
                </pt>
                <pt idx="18">
                  <v>T-19</v>
                </pt>
                <pt idx="19">
                  <v>T-20</v>
                </pt>
              </strCache>
            </strRef>
          </cat>
          <val>
            <numRef>
              <f>'Cycle time'!$G$10:$G$29</f>
              <numCache>
                <formatCode>General</formatCode>
                <ptCount val="20"/>
                <pt idx="0">
                  <v>3</v>
                </pt>
                <pt idx="1">
                  <v>8</v>
                </pt>
                <pt idx="2">
                  <v>2</v>
                </pt>
                <pt idx="3">
                  <v>#N/A</v>
                </pt>
                <pt idx="4">
                  <v>7</v>
                </pt>
                <pt idx="5">
                  <v>2</v>
                </pt>
                <pt idx="6">
                  <v>7</v>
                </pt>
                <pt idx="7">
                  <v>8</v>
                </pt>
                <pt idx="8">
                  <v>#N/A</v>
                </pt>
                <pt idx="9">
                  <v>#N/A</v>
                </pt>
                <pt idx="10">
                  <v>#N/A</v>
                </pt>
                <pt idx="11">
                  <v>#N/A</v>
                </pt>
                <pt idx="12">
                  <v>#N/A</v>
                </pt>
                <pt idx="13">
                  <v>#N/A</v>
                </pt>
                <pt idx="14">
                  <v>#N/A</v>
                </pt>
                <pt idx="15">
                  <v>#N/A</v>
                </pt>
                <pt idx="16">
                  <v>#N/A</v>
                </pt>
                <pt idx="17">
                  <v>#N/A</v>
                </pt>
                <pt idx="18">
                  <v>#N/A</v>
                </pt>
                <pt idx="19">
                  <v>#N/A</v>
                </pt>
              </numCache>
            </numRef>
          </val>
          <smooth val="1"/>
        </ser>
        <ser>
          <idx val="1"/>
          <order val="1"/>
          <tx>
            <strRef>
              <f>'Cycle time'!$C$9</f>
              <strCache>
                <ptCount val="1"/>
                <pt idx="0">
                  <v>CL</v>
                </pt>
              </strCache>
            </strRef>
          </tx>
          <spPr>
            <a:ln xmlns:a="http://schemas.openxmlformats.org/drawingml/2006/main" w="18000">
              <a:solidFill>
                <a:srgbClr val="000000"/>
              </a:solidFill>
              <a:prstDash val="solid"/>
            </a:ln>
          </spPr>
          <marker>
            <symbol val="none"/>
            <spPr>
              <a:ln xmlns:a="http://schemas.openxmlformats.org/drawingml/2006/main">
                <a:prstDash val="solid"/>
              </a:ln>
            </spPr>
          </marker>
          <cat>
            <strRef>
              <f>'Cycle time'!$A$10:$A$29</f>
              <strCache>
                <ptCount val="20"/>
                <pt idx="0">
                  <v>T-01</v>
                </pt>
                <pt idx="1">
                  <v>T-02</v>
                </pt>
                <pt idx="2">
                  <v>T-09</v>
                </pt>
                <pt idx="3">
                  <v>T-10</v>
                </pt>
                <pt idx="4">
                  <v>T-03</v>
                </pt>
                <pt idx="5">
                  <v>T-04</v>
                </pt>
                <pt idx="6">
                  <v>T-08</v>
                </pt>
                <pt idx="7">
                  <v>T-11</v>
                </pt>
                <pt idx="8">
                  <v>T-12</v>
                </pt>
                <pt idx="9">
                  <v>T-05</v>
                </pt>
                <pt idx="10">
                  <v>T-06</v>
                </pt>
                <pt idx="11">
                  <v>T-07</v>
                </pt>
                <pt idx="12">
                  <v>T-13</v>
                </pt>
                <pt idx="13">
                  <v>T-14</v>
                </pt>
                <pt idx="14">
                  <v>T-15</v>
                </pt>
                <pt idx="15">
                  <v>T-16</v>
                </pt>
                <pt idx="16">
                  <v>T-17</v>
                </pt>
                <pt idx="17">
                  <v>T-18</v>
                </pt>
                <pt idx="18">
                  <v>T-19</v>
                </pt>
                <pt idx="19">
                  <v>T-20</v>
                </pt>
              </strCache>
            </strRef>
          </cat>
          <val>
            <numRef>
              <f>'Cycle time'!$C$10:$C$29</f>
              <numCache>
                <formatCode>General</formatCode>
                <ptCount val="20"/>
                <pt idx="0">
                  <v>5.285714285714286</v>
                </pt>
                <pt idx="1">
                  <v>5.285714285714286</v>
                </pt>
                <pt idx="2">
                  <v>5.285714285714286</v>
                </pt>
                <pt idx="3">
                  <v>5.285714285714286</v>
                </pt>
                <pt idx="4">
                  <v>5.285714285714286</v>
                </pt>
                <pt idx="5">
                  <v>5.285714285714286</v>
                </pt>
                <pt idx="6">
                  <v>5.285714285714286</v>
                </pt>
                <pt idx="7">
                  <v>5.285714285714286</v>
                </pt>
                <pt idx="8">
                  <v>5.285714285714286</v>
                </pt>
                <pt idx="9">
                  <v>5.285714285714286</v>
                </pt>
                <pt idx="10">
                  <v>5.285714285714286</v>
                </pt>
                <pt idx="11">
                  <v>5.285714285714286</v>
                </pt>
                <pt idx="12">
                  <v>5.285714285714286</v>
                </pt>
                <pt idx="13">
                  <v>5.285714285714286</v>
                </pt>
                <pt idx="14">
                  <v>5.285714285714286</v>
                </pt>
                <pt idx="15">
                  <v>5.285714285714286</v>
                </pt>
                <pt idx="16">
                  <v>5.285714285714286</v>
                </pt>
                <pt idx="17">
                  <v>5.285714285714286</v>
                </pt>
                <pt idx="18">
                  <v>5.285714285714286</v>
                </pt>
                <pt idx="19">
                  <v>5.285714285714286</v>
                </pt>
              </numCache>
            </numRef>
          </val>
          <smooth val="1"/>
        </ser>
        <ser>
          <idx val="2"/>
          <order val="2"/>
          <tx>
            <strRef>
              <f>'Cycle time'!$D$9</f>
              <strCache>
                <ptCount val="1"/>
                <pt idx="0">
                  <v>UCL</v>
                </pt>
              </strCache>
            </strRef>
          </tx>
          <spPr>
            <a:ln xmlns:a="http://schemas.openxmlformats.org/drawingml/2006/main">
              <a:solidFill>
                <a:srgbClr val="C00000"/>
              </a:solidFill>
              <a:prstDash val="dash"/>
            </a:ln>
          </spPr>
          <marker>
            <symbol val="none"/>
            <spPr>
              <a:ln xmlns:a="http://schemas.openxmlformats.org/drawingml/2006/main">
                <a:prstDash val="solid"/>
              </a:ln>
            </spPr>
          </marker>
          <cat>
            <strRef>
              <f>'Cycle time'!$A$10:$A$29</f>
              <strCache>
                <ptCount val="20"/>
                <pt idx="0">
                  <v>T-01</v>
                </pt>
                <pt idx="1">
                  <v>T-02</v>
                </pt>
                <pt idx="2">
                  <v>T-09</v>
                </pt>
                <pt idx="3">
                  <v>T-10</v>
                </pt>
                <pt idx="4">
                  <v>T-03</v>
                </pt>
                <pt idx="5">
                  <v>T-04</v>
                </pt>
                <pt idx="6">
                  <v>T-08</v>
                </pt>
                <pt idx="7">
                  <v>T-11</v>
                </pt>
                <pt idx="8">
                  <v>T-12</v>
                </pt>
                <pt idx="9">
                  <v>T-05</v>
                </pt>
                <pt idx="10">
                  <v>T-06</v>
                </pt>
                <pt idx="11">
                  <v>T-07</v>
                </pt>
                <pt idx="12">
                  <v>T-13</v>
                </pt>
                <pt idx="13">
                  <v>T-14</v>
                </pt>
                <pt idx="14">
                  <v>T-15</v>
                </pt>
                <pt idx="15">
                  <v>T-16</v>
                </pt>
                <pt idx="16">
                  <v>T-17</v>
                </pt>
                <pt idx="17">
                  <v>T-18</v>
                </pt>
                <pt idx="18">
                  <v>T-19</v>
                </pt>
                <pt idx="19">
                  <v>T-20</v>
                </pt>
              </strCache>
            </strRef>
          </cat>
          <val>
            <numRef>
              <f>'Cycle time'!$D$10:$D$29</f>
              <numCache>
                <formatCode>General</formatCode>
                <ptCount val="20"/>
                <pt idx="0">
                  <v>13.72033681092886</v>
                </pt>
                <pt idx="1">
                  <v>13.72033681092886</v>
                </pt>
                <pt idx="2">
                  <v>13.72033681092886</v>
                </pt>
                <pt idx="3">
                  <v>13.72033681092886</v>
                </pt>
                <pt idx="4">
                  <v>13.72033681092886</v>
                </pt>
                <pt idx="5">
                  <v>13.72033681092886</v>
                </pt>
                <pt idx="6">
                  <v>13.72033681092886</v>
                </pt>
                <pt idx="7">
                  <v>13.72033681092886</v>
                </pt>
                <pt idx="8">
                  <v>13.72033681092886</v>
                </pt>
                <pt idx="9">
                  <v>13.72033681092886</v>
                </pt>
                <pt idx="10">
                  <v>13.72033681092886</v>
                </pt>
                <pt idx="11">
                  <v>13.72033681092886</v>
                </pt>
                <pt idx="12">
                  <v>13.72033681092886</v>
                </pt>
                <pt idx="13">
                  <v>13.72033681092886</v>
                </pt>
                <pt idx="14">
                  <v>13.72033681092886</v>
                </pt>
                <pt idx="15">
                  <v>13.72033681092886</v>
                </pt>
                <pt idx="16">
                  <v>13.72033681092886</v>
                </pt>
                <pt idx="17">
                  <v>13.72033681092886</v>
                </pt>
                <pt idx="18">
                  <v>13.72033681092886</v>
                </pt>
                <pt idx="19">
                  <v>13.72033681092886</v>
                </pt>
              </numCache>
            </numRef>
          </val>
          <smooth val="1"/>
        </ser>
        <ser>
          <idx val="3"/>
          <order val="3"/>
          <tx>
            <strRef>
              <f>'Cycle time'!$E$9</f>
              <strCache>
                <ptCount val="1"/>
                <pt idx="0">
                  <v>LCL</v>
                </pt>
              </strCache>
            </strRef>
          </tx>
          <spPr>
            <a:ln xmlns:a="http://schemas.openxmlformats.org/drawingml/2006/main">
              <a:solidFill>
                <a:srgbClr val="C00000"/>
              </a:solidFill>
              <a:prstDash val="dash"/>
            </a:ln>
          </spPr>
          <marker>
            <symbol val="none"/>
            <spPr>
              <a:ln xmlns:a="http://schemas.openxmlformats.org/drawingml/2006/main">
                <a:prstDash val="solid"/>
              </a:ln>
            </spPr>
          </marker>
          <cat>
            <strRef>
              <f>'Cycle time'!$A$10:$A$29</f>
              <strCache>
                <ptCount val="20"/>
                <pt idx="0">
                  <v>T-01</v>
                </pt>
                <pt idx="1">
                  <v>T-02</v>
                </pt>
                <pt idx="2">
                  <v>T-09</v>
                </pt>
                <pt idx="3">
                  <v>T-10</v>
                </pt>
                <pt idx="4">
                  <v>T-03</v>
                </pt>
                <pt idx="5">
                  <v>T-04</v>
                </pt>
                <pt idx="6">
                  <v>T-08</v>
                </pt>
                <pt idx="7">
                  <v>T-11</v>
                </pt>
                <pt idx="8">
                  <v>T-12</v>
                </pt>
                <pt idx="9">
                  <v>T-05</v>
                </pt>
                <pt idx="10">
                  <v>T-06</v>
                </pt>
                <pt idx="11">
                  <v>T-07</v>
                </pt>
                <pt idx="12">
                  <v>T-13</v>
                </pt>
                <pt idx="13">
                  <v>T-14</v>
                </pt>
                <pt idx="14">
                  <v>T-15</v>
                </pt>
                <pt idx="15">
                  <v>T-16</v>
                </pt>
                <pt idx="16">
                  <v>T-17</v>
                </pt>
                <pt idx="17">
                  <v>T-18</v>
                </pt>
                <pt idx="18">
                  <v>T-19</v>
                </pt>
                <pt idx="19">
                  <v>T-20</v>
                </pt>
              </strCache>
            </strRef>
          </cat>
          <val>
            <numRef>
              <f>'Cycle time'!$E$10:$E$29</f>
              <numCache>
                <formatCode>General</formatCode>
                <ptCount val="20"/>
                <pt idx="0">
                  <v>0</v>
                </pt>
                <pt idx="1">
                  <v>0</v>
                </pt>
                <pt idx="2">
                  <v>0</v>
                </pt>
                <pt idx="3">
                  <v>0</v>
                </pt>
                <pt idx="4">
                  <v>0</v>
                </pt>
                <pt idx="5">
                  <v>0</v>
                </pt>
                <pt idx="6">
                  <v>0</v>
                </pt>
                <pt idx="7">
                  <v>0</v>
                </pt>
                <pt idx="8">
                  <v>0</v>
                </pt>
                <pt idx="9">
                  <v>0</v>
                </pt>
                <pt idx="10">
                  <v>0</v>
                </pt>
                <pt idx="11">
                  <v>0</v>
                </pt>
                <pt idx="12">
                  <v>0</v>
                </pt>
                <pt idx="13">
                  <v>0</v>
                </pt>
                <pt idx="14">
                  <v>0</v>
                </pt>
                <pt idx="15">
                  <v>0</v>
                </pt>
                <pt idx="16">
                  <v>0</v>
                </pt>
                <pt idx="17">
                  <v>0</v>
                </pt>
                <pt idx="18">
                  <v>0</v>
                </pt>
                <pt idx="19">
                  <v>0</v>
                </pt>
              </numCache>
            </numRef>
          </val>
          <smooth val="1"/>
        </ser>
        <dLbls>
          <showLegendKey val="0"/>
          <showVal val="0"/>
          <showCatName val="0"/>
          <showSerName val="0"/>
          <showPercent val="0"/>
          <showBubbleSize val="0"/>
        </dLbls>
        <marker val="1"/>
        <smooth val="0"/>
        <axId val="10"/>
        <axId val="100"/>
      </line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General" sourceLinked="1"/>
        <majorTickMark val="none"/>
        <minorTickMark val="none"/>
        <tickLblPos val="nextTo"/>
        <crossAx val="10"/>
        <crosses val="autoZero"/>
        <crossBetween val="between"/>
      </valAx>
    </plotArea>
    <legend>
      <legendPos val="b"/>
      <overlay val="0"/>
    </legend>
    <plotVisOnly val="0"/>
    <dispBlanksAs val="gap"/>
  </chart>
</chartSpace>
</file>

<file path=xl/charts/chart70.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Матрица рисков (Вероятность × Влияние)</a:t>
            </a:r>
          </a:p>
        </rich>
      </tx>
      <overlay val="0"/>
    </title>
    <plotArea>
      <layout/>
      <scatterChart>
        <scatterStyle val="lineMarker"/>
        <varyColors val="1"/>
        <ser>
          <idx val="0"/>
          <order val="0"/>
          <tx>
            <v>Риски</v>
          </tx>
          <spPr>
            <a:ln xmlns:a="http://schemas.openxmlformats.org/drawingml/2006/main">
              <a:noFill/>
              <a:prstDash val="solid"/>
            </a:ln>
          </spPr>
          <marker>
            <symbol val="circle"/>
            <size val="9"/>
            <spPr>
              <a:ln xmlns:a="http://schemas.openxmlformats.org/drawingml/2006/main">
                <a:prstDash val="solid"/>
              </a:ln>
            </spPr>
          </marker>
          <xVal>
            <numRef>
              <f>Риски!$C$5:$C$8</f>
              <numCache>
                <formatCode>General</formatCode>
                <ptCount val="4"/>
                <pt idx="0">
                  <v>4</v>
                </pt>
                <pt idx="1">
                  <v>5</v>
                </pt>
                <pt idx="2">
                  <v>3</v>
                </pt>
                <pt idx="3">
                  <v>2</v>
                </pt>
              </numCache>
            </numRef>
          </xVal>
          <yVal>
            <numRef>
              <f>Риски!$D$5:$D$8</f>
              <numCache>
                <formatCode>General</formatCode>
                <ptCount val="4"/>
                <pt idx="0">
                  <v>5</v>
                </pt>
                <pt idx="1">
                  <v>3</v>
                </pt>
                <pt idx="2">
                  <v>4</v>
                </pt>
                <pt idx="3">
                  <v>4</v>
                </pt>
              </numCache>
            </numRef>
          </yVal>
          <smooth val="1"/>
        </ser>
        <dLbls>
          <showLegendKey val="0"/>
          <showVal val="0"/>
          <showCatName val="0"/>
          <showSerName val="0"/>
          <showPercent val="0"/>
          <showBubbleSize val="0"/>
        </dLbls>
        <axId val="10"/>
        <axId val="20"/>
      </scatterChart>
      <valAx>
        <axId val="10"/>
        <scaling>
          <orientation val="minMax"/>
          <max val="5"/>
          <min val="0"/>
        </scaling>
        <delete val="0"/>
        <axPos val="b"/>
        <majorGridlines/>
        <title>
          <tx>
            <rich>
              <a:bodyPr xmlns:a="http://schemas.openxmlformats.org/drawingml/2006/main"/>
              <a:lstStyle xmlns:a="http://schemas.openxmlformats.org/drawingml/2006/main"/>
              <a:p xmlns:a="http://schemas.openxmlformats.org/drawingml/2006/main">
                <a:pPr>
                  <a:defRPr/>
                </a:pPr>
                <a:r>
                  <a:rPr lang="ru-RU"/>
                  <a:t>Вероятность</a:t>
                </a:r>
              </a:p>
            </rich>
          </tx>
          <overlay val="1"/>
        </title>
        <numFmt formatCode="General" sourceLinked="1"/>
        <majorTickMark val="none"/>
        <minorTickMark val="none"/>
        <tickLblPos val="nextTo"/>
        <spPr>
          <a:ln xmlns:a="http://schemas.openxmlformats.org/drawingml/2006/main">
            <a:solidFill>
              <a:srgbClr val="808080"/>
            </a:solidFill>
            <a:prstDash val="solid"/>
          </a:ln>
        </spPr>
        <crossAx val="20"/>
        <crosses val="autoZero"/>
        <crossBetween val="midCat"/>
      </valAx>
      <valAx>
        <axId val="20"/>
        <scaling>
          <orientation val="minMax"/>
          <max val="5"/>
          <min val="0"/>
        </scaling>
        <delete val="0"/>
        <axPos val="l"/>
        <majorGridlines/>
        <title>
          <tx>
            <rich>
              <a:bodyPr xmlns:a="http://schemas.openxmlformats.org/drawingml/2006/main"/>
              <a:lstStyle xmlns:a="http://schemas.openxmlformats.org/drawingml/2006/main"/>
              <a:p xmlns:a="http://schemas.openxmlformats.org/drawingml/2006/main">
                <a:pPr>
                  <a:defRPr/>
                </a:pPr>
                <a:r>
                  <a:rPr lang="ru-RU"/>
                  <a:t>Влияние</a:t>
                </a:r>
              </a:p>
            </rich>
          </tx>
          <overlay val="1"/>
        </title>
        <numFmt formatCode="General" sourceLinked="1"/>
        <majorTickMark val="none"/>
        <minorTickMark val="none"/>
        <tickLblPos val="nextTo"/>
        <spPr>
          <a:ln xmlns:a="http://schemas.openxmlformats.org/drawingml/2006/main">
            <a:solidFill>
              <a:srgbClr val="808080"/>
            </a:solidFill>
            <a:prstDash val="solid"/>
          </a:ln>
        </spPr>
        <crossAx val="10"/>
        <crosses val="autoZero"/>
        <crossBetween val="midCat"/>
      </valAx>
    </plotArea>
    <legend>
      <legendPos val="r"/>
      <overlay val="0"/>
    </legend>
    <plotVisOnly val="1"/>
    <dispBlanksAs val="gap"/>
  </chart>
</chartSpace>
</file>

<file path=xl/charts/chart7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Риски по баллу (Вероятность × Влияние)</a:t>
            </a:r>
          </a:p>
        </rich>
      </tx>
      <overlay val="0"/>
    </title>
    <plotArea>
      <layout/>
      <barChart>
        <barDir val="bar"/>
        <grouping val="clustered"/>
        <varyColors val="1"/>
        <ser>
          <idx val="0"/>
          <order val="0"/>
          <tx>
            <strRef>
              <f>'Матрица рисков'!$E$4</f>
              <strCache>
                <ptCount val="1"/>
                <pt idx="0">
                  <v>Балл</v>
                </pt>
              </strCache>
            </strRef>
          </tx>
          <spPr>
            <a:solidFill xmlns:a="http://schemas.openxmlformats.org/drawingml/2006/main">
              <a:srgbClr val="C00000"/>
            </a:solidFill>
            <a:ln xmlns:a="http://schemas.openxmlformats.org/drawingml/2006/main">
              <a:prstDash val="solid"/>
            </a:ln>
          </spPr>
          <invertIfNegative val="1"/>
          <cat>
            <strRef>
              <f>'Матрица рисков'!$B$5:$B$8</f>
              <strCache>
                <ptCount val="4"/>
                <pt idx="0">
                  <v>Зависимость от внешнего API оплаты</v>
                </pt>
                <pt idx="1">
                  <v>Отпуска в декабре (Спринт 11)</v>
                </pt>
                <pt idx="2">
                  <v>Недооценка интеграции</v>
                </pt>
                <pt idx="3">
                  <v>Текучесть в QA</v>
                </pt>
              </strCache>
            </strRef>
          </cat>
          <val>
            <numRef>
              <f>'Матрица рисков'!$E$5:$E$8</f>
              <numCache>
                <formatCode>General</formatCode>
                <ptCount val="4"/>
                <pt idx="0">
                  <v>20</v>
                </pt>
                <pt idx="1">
                  <v>15</v>
                </pt>
                <pt idx="2">
                  <v>12</v>
                </pt>
                <pt idx="3">
                  <v>8</v>
                </pt>
              </numCache>
            </numRef>
          </val>
        </ser>
        <dLbls>
          <showLegendKey val="0"/>
          <showVal val="0"/>
          <showCatName val="0"/>
          <showSerName val="0"/>
          <showPercent val="0"/>
          <showBubbleSize val="0"/>
        </dLbls>
        <gapWidth val="150"/>
        <axId val="10"/>
        <axId val="100"/>
      </barChart>
      <catAx>
        <axId val="10"/>
        <scaling>
          <orientation val="minMax"/>
        </scaling>
        <delete val="0"/>
        <axPos val="l"/>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b"/>
        <majorGridlines/>
        <numFmt formatCode="General" sourceLinked="1"/>
        <majorTickMark val="none"/>
        <minorTickMark val="none"/>
        <tickLblPos val="nextTo"/>
        <crossAx val="10"/>
        <crosses val="autoZero"/>
        <crossBetween val="between"/>
      </valAx>
    </plotArea>
    <plotVisOnly val="1"/>
    <dispBlanksAs val="gap"/>
  </chart>
</chartSpace>
</file>

<file path=xl/charts/chart7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Дней по исполнителям</a:t>
            </a:r>
          </a:p>
        </rich>
      </tx>
      <overlay val="0"/>
    </title>
    <plotArea>
      <layout/>
      <barChart>
        <barDir val="bar"/>
        <grouping val="clustered"/>
        <varyColors val="1"/>
        <ser>
          <idx val="0"/>
          <order val="0"/>
          <tx>
            <strRef>
              <f>Распределение!$C$4</f>
              <strCache>
                <ptCount val="1"/>
                <pt idx="0">
                  <v>Дней</v>
                </pt>
              </strCache>
            </strRef>
          </tx>
          <spPr>
            <a:solidFill xmlns:a="http://schemas.openxmlformats.org/drawingml/2006/main">
              <a:srgbClr val="8EAADB"/>
            </a:solidFill>
            <a:ln xmlns:a="http://schemas.openxmlformats.org/drawingml/2006/main">
              <a:prstDash val="solid"/>
            </a:ln>
          </spPr>
          <invertIfNegative val="1"/>
          <cat>
            <strRef>
              <f>Распределение!$A$5:$A$17</f>
              <strCache>
                <ptCount val="13"/>
                <pt idx="0">
                  <v>Иванов А.</v>
                </pt>
                <pt idx="1">
                  <v>Петрова М.</v>
                </pt>
                <pt idx="2">
                  <v>Сидоров К.</v>
                </pt>
                <pt idx="3">
                  <v>Кузнецов Д.</v>
                </pt>
                <pt idx="4">
                  <v>Орлова Е.</v>
                </pt>
                <pt idx="5">
                  <v>Смирнов П.</v>
                </pt>
                <pt idx="6">
                  <v>Волкова Н.</v>
                </pt>
                <pt idx="7">
                  <v>Морозов И.</v>
                </pt>
                <pt idx="8">
                  <v>Новиков А.</v>
                </pt>
                <pt idx="9">
                  <v>Фёдорова О.</v>
                </pt>
                <pt idx="10">
                  <v>Козлов В.</v>
                </pt>
                <pt idx="11">
                  <v>Лебедева Т.</v>
                </pt>
                <pt idx="12">
                  <v>Соколов Р.</v>
                </pt>
              </strCache>
            </strRef>
          </cat>
          <val>
            <numRef>
              <f>Распределение!$C$5:$C$17</f>
              <numCache>
                <formatCode>#\ ##0.0</formatCode>
                <ptCount val="13"/>
                <pt idx="0">
                  <v>5</v>
                </pt>
                <pt idx="1">
                  <v>0</v>
                </pt>
                <pt idx="2">
                  <v>5</v>
                </pt>
                <pt idx="3">
                  <v>3</v>
                </pt>
                <pt idx="4">
                  <v>3</v>
                </pt>
                <pt idx="5">
                  <v>0</v>
                </pt>
                <pt idx="6">
                  <v>8</v>
                </pt>
                <pt idx="7">
                  <v>0</v>
                </pt>
                <pt idx="8">
                  <v>0</v>
                </pt>
                <pt idx="9">
                  <v>0</v>
                </pt>
                <pt idx="10">
                  <v>0</v>
                </pt>
                <pt idx="11">
                  <v>0</v>
                </pt>
                <pt idx="12">
                  <v>5</v>
                </pt>
              </numCache>
            </numRef>
          </val>
        </ser>
        <dLbls>
          <showLegendKey val="0"/>
          <showVal val="0"/>
          <showCatName val="0"/>
          <showSerName val="0"/>
          <showPercent val="0"/>
          <showBubbleSize val="0"/>
        </dLbls>
        <gapWidth val="150"/>
        <axId val="10"/>
        <axId val="100"/>
      </barChart>
      <catAx>
        <axId val="10"/>
        <scaling>
          <orientation val="minMax"/>
        </scaling>
        <delete val="0"/>
        <axPos val="l"/>
        <numFmt formatCode="General" sourceLinked="1"/>
        <majorTickMark val="none"/>
        <minorTickMark val="none"/>
        <tickLblPos val="nextTo"/>
        <spPr>
          <a:ln xmlns:a="http://schemas.openxmlformats.org/drawingml/2006/main">
            <a:solidFill>
              <a:srgbClr val="808080"/>
            </a:solidFill>
            <a:prstDash val="solid"/>
          </a:ln>
        </spPr>
        <crossAx val="100"/>
        <crosses val="autoZero"/>
        <auto val="1"/>
        <lblAlgn val="ctr"/>
        <lblOffset val="100"/>
        <noMultiLvlLbl val="1"/>
      </catAx>
      <valAx>
        <axId val="100"/>
        <scaling>
          <orientation val="minMax"/>
        </scaling>
        <delete val="0"/>
        <axPos val="b"/>
        <majorGridlines/>
        <title>
          <tx>
            <rich>
              <a:bodyPr xmlns:a="http://schemas.openxmlformats.org/drawingml/2006/main"/>
              <a:lstStyle xmlns:a="http://schemas.openxmlformats.org/drawingml/2006/main"/>
              <a:p xmlns:a="http://schemas.openxmlformats.org/drawingml/2006/main">
                <a:pPr>
                  <a:defRPr/>
                </a:pPr>
                <a:r>
                  <a:rPr lang="ru-RU"/>
                  <a:t>Дней</a:t>
                </a:r>
              </a:p>
            </rich>
          </tx>
          <overlay val="1"/>
        </title>
        <numFmt formatCode="#\ ##0.0" sourceLinked="1"/>
        <majorTickMark val="none"/>
        <minorTickMark val="none"/>
        <tickLblPos val="nextTo"/>
        <spPr>
          <a:ln xmlns:a="http://schemas.openxmlformats.org/drawingml/2006/main">
            <a:solidFill>
              <a:srgbClr val="808080"/>
            </a:solidFill>
            <a:prstDash val="solid"/>
          </a:ln>
        </spPr>
        <crossAx val="10"/>
        <crosses val="autoZero"/>
        <crossBetween val="between"/>
      </valAx>
    </plotArea>
    <plotVisOnly val="1"/>
    <dispBlanksAs val="gap"/>
  </chart>
</chartSpace>
</file>

<file path=xl/charts/chart73.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 xml:space="preserve">Time to Market </a:t>
            </a:r>
            <a:r>
              <a:rPr lang="ru-RU"/>
              <a:t>по задачам (цель 15 дн, линия тренда)</a:t>
            </a:r>
          </a:p>
        </rich>
      </tx>
      <overlay val="0"/>
    </title>
    <plotArea>
      <layout/>
      <lineChart>
        <grouping val="standard"/>
        <varyColors val="1"/>
        <ser>
          <idx val="0"/>
          <order val="0"/>
          <tx>
            <strRef>
              <f>'Time to Market'!$F$6</f>
              <strCache>
                <ptCount val="1"/>
                <pt idx="0">
                  <v>TTM (дн)</v>
                </pt>
              </strCache>
            </strRef>
          </tx>
          <spPr>
            <a:ln xmlns:a="http://schemas.openxmlformats.org/drawingml/2006/main" w="22000">
              <a:solidFill>
                <a:srgbClr val="4472C4"/>
              </a:solidFill>
              <a:prstDash val="solid"/>
            </a:ln>
          </spPr>
          <marker>
            <symbol val="circle"/>
            <size val="7"/>
            <spPr>
              <a:ln xmlns:a="http://schemas.openxmlformats.org/drawingml/2006/main">
                <a:prstDash val="solid"/>
              </a:ln>
            </spPr>
          </marker>
          <trendline>
            <trendlineType val="linear"/>
            <dispRSqr val="1"/>
            <dispEq val="1"/>
            <trendlineLbl>
              <numFmt formatCode="General" sourceLinked="0"/>
            </trendlineLbl>
          </trendline>
          <cat>
            <strRef>
              <f>'Time to Market'!$A$7:$A$26</f>
              <strCache>
                <ptCount val="20"/>
                <pt idx="0">
                  <v>T-01</v>
                </pt>
                <pt idx="1">
                  <v>T-02</v>
                </pt>
                <pt idx="2">
                  <v>T-09</v>
                </pt>
                <pt idx="3">
                  <v>T-10</v>
                </pt>
                <pt idx="4">
                  <v>T-03</v>
                </pt>
                <pt idx="5">
                  <v>T-04</v>
                </pt>
                <pt idx="6">
                  <v>T-08</v>
                </pt>
                <pt idx="7">
                  <v>T-11</v>
                </pt>
                <pt idx="8">
                  <v>T-12</v>
                </pt>
                <pt idx="9">
                  <v>T-05</v>
                </pt>
                <pt idx="10">
                  <v>T-06</v>
                </pt>
                <pt idx="11">
                  <v>T-07</v>
                </pt>
                <pt idx="12">
                  <v>T-13</v>
                </pt>
                <pt idx="13">
                  <v>T-14</v>
                </pt>
                <pt idx="14">
                  <v>T-15</v>
                </pt>
                <pt idx="15">
                  <v>T-16</v>
                </pt>
                <pt idx="16">
                  <v>T-17</v>
                </pt>
                <pt idx="17">
                  <v>T-18</v>
                </pt>
                <pt idx="18">
                  <v>T-19</v>
                </pt>
                <pt idx="19">
                  <v>T-20</v>
                </pt>
              </strCache>
            </strRef>
          </cat>
          <val>
            <numRef>
              <f>'Time to Market'!$F$7:$F$26</f>
              <numCache>
                <formatCode>General</formatCode>
                <ptCount val="20"/>
                <pt idx="0">
                  <v>25</v>
                </pt>
                <pt idx="1">
                  <v>24</v>
                </pt>
                <pt idx="2">
                  <v>25</v>
                </pt>
                <pt idx="3">
                  <v>23</v>
                </pt>
                <pt idx="4">
                  <v>11</v>
                </pt>
                <pt idx="5">
                  <v>10</v>
                </pt>
                <pt idx="6">
                  <v>9</v>
                </pt>
                <pt idx="7">
                  <v>11</v>
                </pt>
                <pt idx="8">
                  <v>#N/A</v>
                </pt>
                <pt idx="9">
                  <v>23</v>
                </pt>
                <pt idx="10">
                  <v>#N/A</v>
                </pt>
                <pt idx="11">
                  <v>#N/A</v>
                </pt>
                <pt idx="12">
                  <v>24</v>
                </pt>
                <pt idx="13">
                  <v>#N/A</v>
                </pt>
                <pt idx="14">
                  <v>#N/A</v>
                </pt>
                <pt idx="15">
                  <v>#N/A</v>
                </pt>
                <pt idx="16">
                  <v>#N/A</v>
                </pt>
                <pt idx="17">
                  <v>#N/A</v>
                </pt>
                <pt idx="18">
                  <v>#N/A</v>
                </pt>
                <pt idx="19">
                  <v>#N/A</v>
                </pt>
              </numCache>
            </numRef>
          </val>
          <smooth val="1"/>
        </ser>
        <ser>
          <idx val="1"/>
          <order val="1"/>
          <tx>
            <strRef>
              <f>'Time to Market'!$E$6</f>
              <strCache>
                <ptCount val="1"/>
                <pt idx="0">
                  <v>Цель (дн)</v>
                </pt>
              </strCache>
            </strRef>
          </tx>
          <spPr>
            <a:ln xmlns:a="http://schemas.openxmlformats.org/drawingml/2006/main" w="24000">
              <a:solidFill>
                <a:srgbClr val="C00000"/>
              </a:solidFill>
              <a:prstDash val="dash"/>
            </a:ln>
          </spPr>
          <marker>
            <symbol val="none"/>
            <spPr>
              <a:ln xmlns:a="http://schemas.openxmlformats.org/drawingml/2006/main">
                <a:prstDash val="solid"/>
              </a:ln>
            </spPr>
          </marker>
          <cat>
            <strRef>
              <f>'Time to Market'!$A$7:$A$26</f>
              <strCache>
                <ptCount val="20"/>
                <pt idx="0">
                  <v>T-01</v>
                </pt>
                <pt idx="1">
                  <v>T-02</v>
                </pt>
                <pt idx="2">
                  <v>T-09</v>
                </pt>
                <pt idx="3">
                  <v>T-10</v>
                </pt>
                <pt idx="4">
                  <v>T-03</v>
                </pt>
                <pt idx="5">
                  <v>T-04</v>
                </pt>
                <pt idx="6">
                  <v>T-08</v>
                </pt>
                <pt idx="7">
                  <v>T-11</v>
                </pt>
                <pt idx="8">
                  <v>T-12</v>
                </pt>
                <pt idx="9">
                  <v>T-05</v>
                </pt>
                <pt idx="10">
                  <v>T-06</v>
                </pt>
                <pt idx="11">
                  <v>T-07</v>
                </pt>
                <pt idx="12">
                  <v>T-13</v>
                </pt>
                <pt idx="13">
                  <v>T-14</v>
                </pt>
                <pt idx="14">
                  <v>T-15</v>
                </pt>
                <pt idx="15">
                  <v>T-16</v>
                </pt>
                <pt idx="16">
                  <v>T-17</v>
                </pt>
                <pt idx="17">
                  <v>T-18</v>
                </pt>
                <pt idx="18">
                  <v>T-19</v>
                </pt>
                <pt idx="19">
                  <v>T-20</v>
                </pt>
              </strCache>
            </strRef>
          </cat>
          <val>
            <numRef>
              <f>'Time to Market'!$E$7:$E$26</f>
              <numCache>
                <formatCode>0</formatCode>
                <ptCount val="20"/>
                <pt idx="0">
                  <v>21</v>
                </pt>
                <pt idx="1">
                  <v>21</v>
                </pt>
                <pt idx="2">
                  <v>21</v>
                </pt>
                <pt idx="3">
                  <v>21</v>
                </pt>
                <pt idx="4">
                  <v>21</v>
                </pt>
                <pt idx="5">
                  <v>21</v>
                </pt>
                <pt idx="6">
                  <v>21</v>
                </pt>
                <pt idx="7">
                  <v>21</v>
                </pt>
                <pt idx="8">
                  <v>21</v>
                </pt>
                <pt idx="9">
                  <v>21</v>
                </pt>
                <pt idx="10">
                  <v>21</v>
                </pt>
                <pt idx="11">
                  <v>21</v>
                </pt>
                <pt idx="12">
                  <v>21</v>
                </pt>
                <pt idx="13">
                  <v>21</v>
                </pt>
                <pt idx="14">
                  <v>21</v>
                </pt>
                <pt idx="15">
                  <v>21</v>
                </pt>
                <pt idx="16">
                  <v>21</v>
                </pt>
                <pt idx="17">
                  <v>21</v>
                </pt>
                <pt idx="18">
                  <v>21</v>
                </pt>
                <pt idx="19">
                  <v>21</v>
                </pt>
              </numCache>
            </numRef>
          </val>
          <smooth val="1"/>
        </ser>
        <dLbls>
          <showLegendKey val="0"/>
          <showVal val="0"/>
          <showCatName val="0"/>
          <showSerName val="0"/>
          <showPercent val="0"/>
          <showBubbleSize val="0"/>
        </dLbls>
        <marker val="1"/>
        <smooth val="0"/>
        <axId val="10"/>
        <axId val="100"/>
      </line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General" sourceLinked="1"/>
        <majorTickMark val="none"/>
        <minorTickMark val="none"/>
        <tickLblPos val="nextTo"/>
        <crossAx val="10"/>
        <crosses val="autoZero"/>
        <crossBetween val="between"/>
      </valAx>
    </plotArea>
    <legend>
      <legendPos val="b"/>
      <overlay val="0"/>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 Type="http://schemas.openxmlformats.org/officeDocument/2006/relationships/chart" Target="/xl/charts/chart6.xml" Id="rId6"/><Relationship Type="http://schemas.openxmlformats.org/officeDocument/2006/relationships/chart" Target="/xl/charts/chart7.xml" Id="rId7"/><Relationship Type="http://schemas.openxmlformats.org/officeDocument/2006/relationships/chart" Target="/xl/charts/chart8.xml" Id="rId8"/><Relationship Type="http://schemas.openxmlformats.org/officeDocument/2006/relationships/chart" Target="/xl/charts/chart9.xml" Id="rId9"/><Relationship Type="http://schemas.openxmlformats.org/officeDocument/2006/relationships/chart" Target="/xl/charts/chart10.xml" Id="rId10"/><Relationship Type="http://schemas.openxmlformats.org/officeDocument/2006/relationships/chart" Target="/xl/charts/chart11.xml" Id="rId11"/><Relationship Type="http://schemas.openxmlformats.org/officeDocument/2006/relationships/chart" Target="/xl/charts/chart12.xml" Id="rId12"/><Relationship Type="http://schemas.openxmlformats.org/officeDocument/2006/relationships/chart" Target="/xl/charts/chart13.xml" Id="rId13"/><Relationship Type="http://schemas.openxmlformats.org/officeDocument/2006/relationships/chart" Target="/xl/charts/chart14.xml" Id="rId14"/><Relationship Type="http://schemas.openxmlformats.org/officeDocument/2006/relationships/chart" Target="/xl/charts/chart15.xml" Id="rId15"/><Relationship Type="http://schemas.openxmlformats.org/officeDocument/2006/relationships/chart" Target="/xl/charts/chart16.xml" Id="rId16"/><Relationship Type="http://schemas.openxmlformats.org/officeDocument/2006/relationships/chart" Target="/xl/charts/chart17.xml" Id="rId17"/><Relationship Type="http://schemas.openxmlformats.org/officeDocument/2006/relationships/chart" Target="/xl/charts/chart18.xml" Id="rId18"/><Relationship Type="http://schemas.openxmlformats.org/officeDocument/2006/relationships/chart" Target="/xl/charts/chart19.xml" Id="rId19"/><Relationship Type="http://schemas.openxmlformats.org/officeDocument/2006/relationships/chart" Target="/xl/charts/chart20.xml" Id="rId20"/><Relationship Type="http://schemas.openxmlformats.org/officeDocument/2006/relationships/chart" Target="/xl/charts/chart21.xml" Id="rId21"/><Relationship Type="http://schemas.openxmlformats.org/officeDocument/2006/relationships/chart" Target="/xl/charts/chart22.xml" Id="rId22"/><Relationship Type="http://schemas.openxmlformats.org/officeDocument/2006/relationships/chart" Target="/xl/charts/chart23.xml" Id="rId23"/><Relationship Type="http://schemas.openxmlformats.org/officeDocument/2006/relationships/chart" Target="/xl/charts/chart24.xml" Id="rId24"/><Relationship Type="http://schemas.openxmlformats.org/officeDocument/2006/relationships/chart" Target="/xl/charts/chart25.xml" Id="rId25"/><Relationship Type="http://schemas.openxmlformats.org/officeDocument/2006/relationships/chart" Target="/xl/charts/chart26.xml" Id="rId26"/><Relationship Type="http://schemas.openxmlformats.org/officeDocument/2006/relationships/chart" Target="/xl/charts/chart27.xml" Id="rId27"/><Relationship Type="http://schemas.openxmlformats.org/officeDocument/2006/relationships/chart" Target="/xl/charts/chart28.xml" Id="rId28"/><Relationship Type="http://schemas.openxmlformats.org/officeDocument/2006/relationships/chart" Target="/xl/charts/chart29.xml" Id="rId29"/><Relationship Type="http://schemas.openxmlformats.org/officeDocument/2006/relationships/chart" Target="/xl/charts/chart30.xml" Id="rId30"/><Relationship Type="http://schemas.openxmlformats.org/officeDocument/2006/relationships/chart" Target="/xl/charts/chart31.xml" Id="rId31"/><Relationship Type="http://schemas.openxmlformats.org/officeDocument/2006/relationships/chart" Target="/xl/charts/chart32.xml" Id="rId32"/><Relationship Type="http://schemas.openxmlformats.org/officeDocument/2006/relationships/chart" Target="/xl/charts/chart33.xml" Id="rId33"/><Relationship Type="http://schemas.openxmlformats.org/officeDocument/2006/relationships/chart" Target="/xl/charts/chart34.xml" Id="rId34"/><Relationship Type="http://schemas.openxmlformats.org/officeDocument/2006/relationships/chart" Target="/xl/charts/chart35.xml" Id="rId35"/><Relationship Type="http://schemas.openxmlformats.org/officeDocument/2006/relationships/image" Target="/xl/media/image1.png" Id="rId36"/></Relationships>
</file>

<file path=xl/drawings/_rels/drawing2.xml.rels><Relationships xmlns="http://schemas.openxmlformats.org/package/2006/relationships"><Relationship Type="http://schemas.openxmlformats.org/officeDocument/2006/relationships/chart" Target="/xl/charts/chart36.xml" Id="rId1"/><Relationship Type="http://schemas.openxmlformats.org/officeDocument/2006/relationships/chart" Target="/xl/charts/chart37.xml" Id="rId2"/></Relationships>
</file>

<file path=xl/drawings/_rels/drawing3.xml.rels><Relationships xmlns="http://schemas.openxmlformats.org/package/2006/relationships"><Relationship Type="http://schemas.openxmlformats.org/officeDocument/2006/relationships/chart" Target="/xl/charts/chart38.xml" Id="rId1"/><Relationship Type="http://schemas.openxmlformats.org/officeDocument/2006/relationships/chart" Target="/xl/charts/chart39.xml" Id="rId2"/><Relationship Type="http://schemas.openxmlformats.org/officeDocument/2006/relationships/chart" Target="/xl/charts/chart40.xml" Id="rId3"/></Relationships>
</file>

<file path=xl/drawings/_rels/drawing4.xml.rels><Relationships xmlns="http://schemas.openxmlformats.org/package/2006/relationships"><Relationship Type="http://schemas.openxmlformats.org/officeDocument/2006/relationships/chart" Target="/xl/charts/chart41.xml" Id="rId1"/><Relationship Type="http://schemas.openxmlformats.org/officeDocument/2006/relationships/chart" Target="/xl/charts/chart42.xml" Id="rId2"/></Relationships>
</file>

<file path=xl/drawings/_rels/drawing5.xml.rels><Relationships xmlns="http://schemas.openxmlformats.org/package/2006/relationships"><Relationship Type="http://schemas.openxmlformats.org/officeDocument/2006/relationships/chart" Target="/xl/charts/chart43.xml" Id="rId1"/></Relationships>
</file>

<file path=xl/drawings/_rels/drawing6.xml.rels><Relationships xmlns="http://schemas.openxmlformats.org/package/2006/relationships"><Relationship Type="http://schemas.openxmlformats.org/officeDocument/2006/relationships/chart" Target="/xl/charts/chart44.xml" Id="rId1"/></Relationships>
</file>

<file path=xl/drawings/_rels/drawing7.xml.rels><Relationships xmlns="http://schemas.openxmlformats.org/package/2006/relationships"><Relationship Type="http://schemas.openxmlformats.org/officeDocument/2006/relationships/chart" Target="/xl/charts/chart45.xml" Id="rId1"/></Relationships>
</file>

<file path=xl/drawings/_rels/drawing8.xml.rels><Relationships xmlns="http://schemas.openxmlformats.org/package/2006/relationships"><Relationship Type="http://schemas.openxmlformats.org/officeDocument/2006/relationships/chart" Target="/xl/charts/chart46.xml" Id="rId1"/></Relationships>
</file>

<file path=xl/drawings/_rels/drawing9.xml.rels><Relationships xmlns="http://schemas.openxmlformats.org/package/2006/relationships"><Relationship Type="http://schemas.openxmlformats.org/officeDocument/2006/relationships/chart" Target="/xl/charts/chart47.xml" Id="rId1"/></Relationships>
</file>

<file path=xl/drawings/_rels/drawing10.xml.rels><Relationships xmlns="http://schemas.openxmlformats.org/package/2006/relationships"><Relationship Type="http://schemas.openxmlformats.org/officeDocument/2006/relationships/chart" Target="/xl/charts/chart48.xml" Id="rId1"/><Relationship Type="http://schemas.openxmlformats.org/officeDocument/2006/relationships/chart" Target="/xl/charts/chart49.xml" Id="rId2"/><Relationship Type="http://schemas.openxmlformats.org/officeDocument/2006/relationships/chart" Target="/xl/charts/chart50.xml" Id="rId3"/></Relationships>
</file>

<file path=xl/drawings/_rels/drawing11.xml.rels><Relationships xmlns="http://schemas.openxmlformats.org/package/2006/relationships"><Relationship Type="http://schemas.openxmlformats.org/officeDocument/2006/relationships/chart" Target="/xl/charts/chart51.xml" Id="rId1"/></Relationships>
</file>

<file path=xl/drawings/_rels/drawing12.xml.rels><Relationships xmlns="http://schemas.openxmlformats.org/package/2006/relationships"><Relationship Type="http://schemas.openxmlformats.org/officeDocument/2006/relationships/chart" Target="/xl/charts/chart52.xml" Id="rId1"/></Relationships>
</file>

<file path=xl/drawings/_rels/drawing13.xml.rels><Relationships xmlns="http://schemas.openxmlformats.org/package/2006/relationships"><Relationship Type="http://schemas.openxmlformats.org/officeDocument/2006/relationships/chart" Target="/xl/charts/chart53.xml" Id="rId1"/></Relationships>
</file>

<file path=xl/drawings/_rels/drawing14.xml.rels><Relationships xmlns="http://schemas.openxmlformats.org/package/2006/relationships"><Relationship Type="http://schemas.openxmlformats.org/officeDocument/2006/relationships/chart" Target="/xl/charts/chart54.xml" Id="rId1"/></Relationships>
</file>

<file path=xl/drawings/_rels/drawing15.xml.rels><Relationships xmlns="http://schemas.openxmlformats.org/package/2006/relationships"><Relationship Type="http://schemas.openxmlformats.org/officeDocument/2006/relationships/chart" Target="/xl/charts/chart55.xml" Id="rId1"/></Relationships>
</file>

<file path=xl/drawings/_rels/drawing16.xml.rels><Relationships xmlns="http://schemas.openxmlformats.org/package/2006/relationships"><Relationship Type="http://schemas.openxmlformats.org/officeDocument/2006/relationships/chart" Target="/xl/charts/chart56.xml" Id="rId1"/></Relationships>
</file>

<file path=xl/drawings/_rels/drawing17.xml.rels><Relationships xmlns="http://schemas.openxmlformats.org/package/2006/relationships"><Relationship Type="http://schemas.openxmlformats.org/officeDocument/2006/relationships/chart" Target="/xl/charts/chart57.xml" Id="rId1"/><Relationship Type="http://schemas.openxmlformats.org/officeDocument/2006/relationships/chart" Target="/xl/charts/chart58.xml" Id="rId2"/></Relationships>
</file>

<file path=xl/drawings/_rels/drawing18.xml.rels><Relationships xmlns="http://schemas.openxmlformats.org/package/2006/relationships"><Relationship Type="http://schemas.openxmlformats.org/officeDocument/2006/relationships/chart" Target="/xl/charts/chart59.xml" Id="rId1"/></Relationships>
</file>

<file path=xl/drawings/_rels/drawing19.xml.rels><Relationships xmlns="http://schemas.openxmlformats.org/package/2006/relationships"><Relationship Type="http://schemas.openxmlformats.org/officeDocument/2006/relationships/chart" Target="/xl/charts/chart60.xml" Id="rId1"/><Relationship Type="http://schemas.openxmlformats.org/officeDocument/2006/relationships/chart" Target="/xl/charts/chart61.xml" Id="rId2"/><Relationship Type="http://schemas.openxmlformats.org/officeDocument/2006/relationships/chart" Target="/xl/charts/chart62.xml" Id="rId3"/></Relationships>
</file>

<file path=xl/drawings/_rels/drawing20.xml.rels><Relationships xmlns="http://schemas.openxmlformats.org/package/2006/relationships"><Relationship Type="http://schemas.openxmlformats.org/officeDocument/2006/relationships/chart" Target="/xl/charts/chart63.xml" Id="rId1"/></Relationships>
</file>

<file path=xl/drawings/_rels/drawing21.xml.rels><Relationships xmlns="http://schemas.openxmlformats.org/package/2006/relationships"><Relationship Type="http://schemas.openxmlformats.org/officeDocument/2006/relationships/chart" Target="/xl/charts/chart64.xml" Id="rId1"/><Relationship Type="http://schemas.openxmlformats.org/officeDocument/2006/relationships/chart" Target="/xl/charts/chart65.xml" Id="rId2"/><Relationship Type="http://schemas.openxmlformats.org/officeDocument/2006/relationships/chart" Target="/xl/charts/chart66.xml" Id="rId3"/><Relationship Type="http://schemas.openxmlformats.org/officeDocument/2006/relationships/chart" Target="/xl/charts/chart67.xml" Id="rId4"/><Relationship Type="http://schemas.openxmlformats.org/officeDocument/2006/relationships/chart" Target="/xl/charts/chart68.xml" Id="rId5"/></Relationships>
</file>

<file path=xl/drawings/_rels/drawing22.xml.rels><Relationships xmlns="http://schemas.openxmlformats.org/package/2006/relationships"><Relationship Type="http://schemas.openxmlformats.org/officeDocument/2006/relationships/chart" Target="/xl/charts/chart69.xml" Id="rId1"/></Relationships>
</file>

<file path=xl/drawings/_rels/drawing23.xml.rels><Relationships xmlns="http://schemas.openxmlformats.org/package/2006/relationships"><Relationship Type="http://schemas.openxmlformats.org/officeDocument/2006/relationships/chart" Target="/xl/charts/chart70.xml" Id="rId1"/></Relationships>
</file>

<file path=xl/drawings/_rels/drawing24.xml.rels><Relationships xmlns="http://schemas.openxmlformats.org/package/2006/relationships"><Relationship Type="http://schemas.openxmlformats.org/officeDocument/2006/relationships/chart" Target="/xl/charts/chart71.xml" Id="rId1"/><Relationship Type="http://schemas.openxmlformats.org/officeDocument/2006/relationships/image" Target="/xl/media/image2.png" Id="rId2"/></Relationships>
</file>

<file path=xl/drawings/_rels/drawing25.xml.rels><Relationships xmlns="http://schemas.openxmlformats.org/package/2006/relationships"><Relationship Type="http://schemas.openxmlformats.org/officeDocument/2006/relationships/chart" Target="/xl/charts/chart72.xml" Id="rId1"/></Relationships>
</file>

<file path=xl/drawings/_rels/drawing26.xml.rels><Relationships xmlns="http://schemas.openxmlformats.org/package/2006/relationships"><Relationship Type="http://schemas.openxmlformats.org/officeDocument/2006/relationships/chart" Target="/xl/charts/chart73.xml" Id="rId1"/></Relationships>
</file>

<file path=xl/drawings/drawing1.xml><?xml version="1.0" encoding="utf-8"?>
<wsDr xmlns="http://schemas.openxmlformats.org/drawingml/2006/spreadsheetDrawing">
  <oneCellAnchor>
    <from>
      <col>0</col>
      <colOff>0</colOff>
      <row>4</row>
      <rowOff>0</rowOff>
    </from>
    <ext cx="5400000" cy="27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4</row>
      <rowOff>0</rowOff>
    </from>
    <ext cx="5400000" cy="27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24</row>
      <rowOff>0</rowOff>
    </from>
    <ext cx="5400000" cy="270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13</col>
      <colOff>0</colOff>
      <row>24</row>
      <rowOff>0</rowOff>
    </from>
    <ext cx="5400000" cy="270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44</row>
      <rowOff>0</rowOff>
    </from>
    <ext cx="5400000" cy="270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13</col>
      <colOff>0</colOff>
      <row>44</row>
      <rowOff>0</rowOff>
    </from>
    <ext cx="5400000" cy="270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0</col>
      <colOff>0</colOff>
      <row>64</row>
      <rowOff>0</rowOff>
    </from>
    <ext cx="5400000" cy="270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13</col>
      <colOff>0</colOff>
      <row>64</row>
      <rowOff>0</rowOff>
    </from>
    <ext cx="5400000" cy="270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0</col>
      <colOff>0</colOff>
      <row>84</row>
      <rowOff>0</rowOff>
    </from>
    <ext cx="5400000" cy="2700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13</col>
      <colOff>0</colOff>
      <row>84</row>
      <rowOff>0</rowOff>
    </from>
    <ext cx="5400000" cy="2700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0</col>
      <colOff>0</colOff>
      <row>104</row>
      <rowOff>0</rowOff>
    </from>
    <ext cx="5400000" cy="2700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13</col>
      <colOff>0</colOff>
      <row>104</row>
      <rowOff>0</rowOff>
    </from>
    <ext cx="5400000" cy="2700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0</col>
      <colOff>0</colOff>
      <row>124</row>
      <rowOff>0</rowOff>
    </from>
    <ext cx="5400000" cy="2700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oneCellAnchor>
    <from>
      <col>13</col>
      <colOff>0</colOff>
      <row>124</row>
      <rowOff>0</rowOff>
    </from>
    <ext cx="5400000" cy="2700000"/>
    <graphicFrame>
      <nvGraphicFramePr>
        <cNvPr id="14" name="Chart 1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4"/>
        </a:graphicData>
      </a:graphic>
    </graphicFrame>
    <clientData/>
  </oneCellAnchor>
  <oneCellAnchor>
    <from>
      <col>0</col>
      <colOff>0</colOff>
      <row>144</row>
      <rowOff>0</rowOff>
    </from>
    <ext cx="5400000" cy="2700000"/>
    <graphicFrame>
      <nvGraphicFramePr>
        <cNvPr id="15" name="Chart 1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5"/>
        </a:graphicData>
      </a:graphic>
    </graphicFrame>
    <clientData/>
  </oneCellAnchor>
  <oneCellAnchor>
    <from>
      <col>13</col>
      <colOff>0</colOff>
      <row>144</row>
      <rowOff>0</rowOff>
    </from>
    <ext cx="5400000" cy="2700000"/>
    <graphicFrame>
      <nvGraphicFramePr>
        <cNvPr id="16" name="Chart 1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6"/>
        </a:graphicData>
      </a:graphic>
    </graphicFrame>
    <clientData/>
  </oneCellAnchor>
  <oneCellAnchor>
    <from>
      <col>0</col>
      <colOff>0</colOff>
      <row>164</row>
      <rowOff>0</rowOff>
    </from>
    <ext cx="5400000" cy="2700000"/>
    <graphicFrame>
      <nvGraphicFramePr>
        <cNvPr id="17" name="Chart 1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7"/>
        </a:graphicData>
      </a:graphic>
    </graphicFrame>
    <clientData/>
  </oneCellAnchor>
  <oneCellAnchor>
    <from>
      <col>13</col>
      <colOff>0</colOff>
      <row>164</row>
      <rowOff>0</rowOff>
    </from>
    <ext cx="5400000" cy="2700000"/>
    <graphicFrame>
      <nvGraphicFramePr>
        <cNvPr id="18" name="Chart 1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8"/>
        </a:graphicData>
      </a:graphic>
    </graphicFrame>
    <clientData/>
  </oneCellAnchor>
  <oneCellAnchor>
    <from>
      <col>0</col>
      <colOff>0</colOff>
      <row>184</row>
      <rowOff>0</rowOff>
    </from>
    <ext cx="5400000" cy="2700000"/>
    <graphicFrame>
      <nvGraphicFramePr>
        <cNvPr id="19" name="Chart 1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9"/>
        </a:graphicData>
      </a:graphic>
    </graphicFrame>
    <clientData/>
  </oneCellAnchor>
  <oneCellAnchor>
    <from>
      <col>13</col>
      <colOff>0</colOff>
      <row>184</row>
      <rowOff>0</rowOff>
    </from>
    <ext cx="5400000" cy="2700000"/>
    <graphicFrame>
      <nvGraphicFramePr>
        <cNvPr id="20" name="Chart 2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0"/>
        </a:graphicData>
      </a:graphic>
    </graphicFrame>
    <clientData/>
  </oneCellAnchor>
  <oneCellAnchor>
    <from>
      <col>0</col>
      <colOff>0</colOff>
      <row>204</row>
      <rowOff>0</rowOff>
    </from>
    <ext cx="5400000" cy="2700000"/>
    <graphicFrame>
      <nvGraphicFramePr>
        <cNvPr id="21" name="Chart 2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1"/>
        </a:graphicData>
      </a:graphic>
    </graphicFrame>
    <clientData/>
  </oneCellAnchor>
  <oneCellAnchor>
    <from>
      <col>13</col>
      <colOff>0</colOff>
      <row>204</row>
      <rowOff>0</rowOff>
    </from>
    <ext cx="5400000" cy="2700000"/>
    <graphicFrame>
      <nvGraphicFramePr>
        <cNvPr id="22" name="Chart 2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2"/>
        </a:graphicData>
      </a:graphic>
    </graphicFrame>
    <clientData/>
  </oneCellAnchor>
  <oneCellAnchor>
    <from>
      <col>0</col>
      <colOff>0</colOff>
      <row>224</row>
      <rowOff>0</rowOff>
    </from>
    <ext cx="5400000" cy="2700000"/>
    <graphicFrame>
      <nvGraphicFramePr>
        <cNvPr id="23" name="Chart 2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3"/>
        </a:graphicData>
      </a:graphic>
    </graphicFrame>
    <clientData/>
  </oneCellAnchor>
  <oneCellAnchor>
    <from>
      <col>13</col>
      <colOff>0</colOff>
      <row>224</row>
      <rowOff>0</rowOff>
    </from>
    <ext cx="5400000" cy="2700000"/>
    <graphicFrame>
      <nvGraphicFramePr>
        <cNvPr id="24" name="Chart 2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4"/>
        </a:graphicData>
      </a:graphic>
    </graphicFrame>
    <clientData/>
  </oneCellAnchor>
  <oneCellAnchor>
    <from>
      <col>0</col>
      <colOff>0</colOff>
      <row>244</row>
      <rowOff>0</rowOff>
    </from>
    <ext cx="5400000" cy="2700000"/>
    <graphicFrame>
      <nvGraphicFramePr>
        <cNvPr id="25" name="Chart 2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5"/>
        </a:graphicData>
      </a:graphic>
    </graphicFrame>
    <clientData/>
  </oneCellAnchor>
  <oneCellAnchor>
    <from>
      <col>13</col>
      <colOff>0</colOff>
      <row>244</row>
      <rowOff>0</rowOff>
    </from>
    <ext cx="5400000" cy="2700000"/>
    <graphicFrame>
      <nvGraphicFramePr>
        <cNvPr id="26" name="Chart 2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6"/>
        </a:graphicData>
      </a:graphic>
    </graphicFrame>
    <clientData/>
  </oneCellAnchor>
  <oneCellAnchor>
    <from>
      <col>0</col>
      <colOff>0</colOff>
      <row>264</row>
      <rowOff>0</rowOff>
    </from>
    <ext cx="5400000" cy="2700000"/>
    <graphicFrame>
      <nvGraphicFramePr>
        <cNvPr id="27" name="Chart 2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7"/>
        </a:graphicData>
      </a:graphic>
    </graphicFrame>
    <clientData/>
  </oneCellAnchor>
  <oneCellAnchor>
    <from>
      <col>13</col>
      <colOff>0</colOff>
      <row>264</row>
      <rowOff>0</rowOff>
    </from>
    <ext cx="5400000" cy="2700000"/>
    <graphicFrame>
      <nvGraphicFramePr>
        <cNvPr id="28" name="Chart 2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8"/>
        </a:graphicData>
      </a:graphic>
    </graphicFrame>
    <clientData/>
  </oneCellAnchor>
  <oneCellAnchor>
    <from>
      <col>0</col>
      <colOff>0</colOff>
      <row>284</row>
      <rowOff>0</rowOff>
    </from>
    <ext cx="5400000" cy="2700000"/>
    <graphicFrame>
      <nvGraphicFramePr>
        <cNvPr id="29" name="Chart 2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9"/>
        </a:graphicData>
      </a:graphic>
    </graphicFrame>
    <clientData/>
  </oneCellAnchor>
  <oneCellAnchor>
    <from>
      <col>13</col>
      <colOff>0</colOff>
      <row>284</row>
      <rowOff>0</rowOff>
    </from>
    <ext cx="5400000" cy="2700000"/>
    <graphicFrame>
      <nvGraphicFramePr>
        <cNvPr id="30" name="Chart 3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0"/>
        </a:graphicData>
      </a:graphic>
    </graphicFrame>
    <clientData/>
  </oneCellAnchor>
  <oneCellAnchor>
    <from>
      <col>0</col>
      <colOff>0</colOff>
      <row>304</row>
      <rowOff>0</rowOff>
    </from>
    <ext cx="5400000" cy="2700000"/>
    <graphicFrame>
      <nvGraphicFramePr>
        <cNvPr id="31" name="Chart 3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1"/>
        </a:graphicData>
      </a:graphic>
    </graphicFrame>
    <clientData/>
  </oneCellAnchor>
  <oneCellAnchor>
    <from>
      <col>13</col>
      <colOff>0</colOff>
      <row>304</row>
      <rowOff>0</rowOff>
    </from>
    <ext cx="5400000" cy="2700000"/>
    <graphicFrame>
      <nvGraphicFramePr>
        <cNvPr id="32" name="Chart 3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2"/>
        </a:graphicData>
      </a:graphic>
    </graphicFrame>
    <clientData/>
  </oneCellAnchor>
  <oneCellAnchor>
    <from>
      <col>0</col>
      <colOff>0</colOff>
      <row>324</row>
      <rowOff>0</rowOff>
    </from>
    <ext cx="5400000" cy="2700000"/>
    <graphicFrame>
      <nvGraphicFramePr>
        <cNvPr id="33" name="Chart 3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3"/>
        </a:graphicData>
      </a:graphic>
    </graphicFrame>
    <clientData/>
  </oneCellAnchor>
  <oneCellAnchor>
    <from>
      <col>0</col>
      <colOff>0</colOff>
      <row>344</row>
      <rowOff>0</rowOff>
    </from>
    <ext cx="5400000" cy="2700000"/>
    <graphicFrame>
      <nvGraphicFramePr>
        <cNvPr id="34" name="Chart 3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4"/>
        </a:graphicData>
      </a:graphic>
    </graphicFrame>
    <clientData/>
  </oneCellAnchor>
  <oneCellAnchor>
    <from>
      <col>13</col>
      <colOff>0</colOff>
      <row>344</row>
      <rowOff>0</rowOff>
    </from>
    <ext cx="5400000" cy="2700000"/>
    <graphicFrame>
      <nvGraphicFramePr>
        <cNvPr id="35" name="Chart 3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5"/>
        </a:graphicData>
      </a:graphic>
    </graphicFrame>
    <clientData/>
  </oneCellAnchor>
  <oneCellAnchor>
    <from>
      <col>13</col>
      <colOff>0</colOff>
      <row>324</row>
      <rowOff>0</rowOff>
    </from>
    <ext cx="14859000" cy="7810500"/>
    <pic>
      <nvPicPr>
        <cNvPr id="37" name="Image 36" descr="Picture"/>
        <cNvPicPr/>
      </nvPicPr>
      <blipFill>
        <a:blip xmlns:a="http://schemas.openxmlformats.org/drawingml/2006/main" xmlns:r="http://schemas.openxmlformats.org/officeDocument/2006/relationships" cstate="print" r:embed="rId36"/>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wsDr>
</file>

<file path=xl/drawings/drawing2.xml><?xml version="1.0" encoding="utf-8"?>
<wsDr xmlns="http://schemas.openxmlformats.org/drawingml/2006/spreadsheetDrawing">
  <oneCellAnchor>
    <from>
      <col>3</col>
      <colOff>0</colOff>
      <row>5</row>
      <rowOff>0</rowOff>
    </from>
    <ext cx="6120000" cy="27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3</col>
      <colOff>106680</colOff>
      <row>19</row>
      <rowOff>160020</rowOff>
    </from>
    <ext cx="6120000" cy="27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3.xml><?xml version="1.0" encoding="utf-8"?>
<wsDr xmlns="http://schemas.openxmlformats.org/drawingml/2006/spreadsheetDrawing">
  <oneCellAnchor>
    <from>
      <col>13</col>
      <colOff>279400</colOff>
      <row>5</row>
      <rowOff>42333</rowOff>
    </from>
    <ext cx="720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21</row>
      <rowOff>0</rowOff>
    </from>
    <ext cx="720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13</col>
      <colOff>0</colOff>
      <row>38</row>
      <rowOff>0</rowOff>
    </from>
    <ext cx="720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4.xml><?xml version="1.0" encoding="utf-8"?>
<wsDr xmlns="http://schemas.openxmlformats.org/drawingml/2006/spreadsheetDrawing">
  <oneCellAnchor>
    <from>
      <col>8</col>
      <colOff>449580</colOff>
      <row>4</row>
      <rowOff>129540</rowOff>
    </from>
    <ext cx="648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9</col>
      <colOff>0</colOff>
      <row>21</row>
      <rowOff>0</rowOff>
    </from>
    <ext cx="648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5.xml><?xml version="1.0" encoding="utf-8"?>
<wsDr xmlns="http://schemas.openxmlformats.org/drawingml/2006/spreadsheetDrawing">
  <oneCellAnchor>
    <from>
      <col>10</col>
      <colOff>0</colOff>
      <row>3</row>
      <rowOff>0</rowOff>
    </from>
    <ext cx="6120000" cy="30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6.xml><?xml version="1.0" encoding="utf-8"?>
<wsDr xmlns="http://schemas.openxmlformats.org/drawingml/2006/spreadsheetDrawing">
  <oneCellAnchor>
    <from>
      <col>6</col>
      <colOff>0</colOff>
      <row>3</row>
      <rowOff>0</rowOff>
    </from>
    <ext cx="4680000" cy="23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7.xml><?xml version="1.0" encoding="utf-8"?>
<wsDr xmlns="http://schemas.openxmlformats.org/drawingml/2006/spreadsheetDrawing">
  <oneCellAnchor>
    <from>
      <col>6</col>
      <colOff>0</colOff>
      <row>3</row>
      <rowOff>0</rowOff>
    </from>
    <ext cx="864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8.xml><?xml version="1.0" encoding="utf-8"?>
<wsDr xmlns="http://schemas.openxmlformats.org/drawingml/2006/spreadsheetDrawing">
  <oneCellAnchor>
    <from>
      <col>11</col>
      <colOff>167640</colOff>
      <row>4</row>
      <rowOff>76200</rowOff>
    </from>
    <ext cx="648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9.xml><?xml version="1.0" encoding="utf-8"?>
<wsDr xmlns="http://schemas.openxmlformats.org/drawingml/2006/spreadsheetDrawing">
  <oneCellAnchor>
    <from>
      <col>7</col>
      <colOff>342900</colOff>
      <row>4</row>
      <rowOff>99060</rowOff>
    </from>
    <ext cx="4320000" cy="25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0.xml><?xml version="1.0" encoding="utf-8"?>
<wsDr xmlns="http://schemas.openxmlformats.org/drawingml/2006/spreadsheetDrawing">
  <oneCellAnchor>
    <from>
      <col>11</col>
      <colOff>76200</colOff>
      <row>4</row>
      <rowOff>91440</rowOff>
    </from>
    <ext cx="540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10</col>
      <colOff>0</colOff>
      <row>21</row>
      <rowOff>0</rowOff>
    </from>
    <ext cx="540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10</col>
      <colOff>0</colOff>
      <row>39</row>
      <rowOff>0</rowOff>
    </from>
    <ext cx="720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11.xml><?xml version="1.0" encoding="utf-8"?>
<wsDr xmlns="http://schemas.openxmlformats.org/drawingml/2006/spreadsheetDrawing">
  <oneCellAnchor>
    <from>
      <col>7</col>
      <colOff>0</colOff>
      <row>5</row>
      <rowOff>0</rowOff>
    </from>
    <ext cx="612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2.xml><?xml version="1.0" encoding="utf-8"?>
<wsDr xmlns="http://schemas.openxmlformats.org/drawingml/2006/spreadsheetDrawing">
  <oneCellAnchor>
    <from>
      <col>8</col>
      <colOff>0</colOff>
      <row>3</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3.xml><?xml version="1.0" encoding="utf-8"?>
<wsDr xmlns="http://schemas.openxmlformats.org/drawingml/2006/spreadsheetDrawing">
  <oneCellAnchor>
    <from>
      <col>7</col>
      <colOff>38100</colOff>
      <row>5</row>
      <rowOff>83820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4.xml><?xml version="1.0" encoding="utf-8"?>
<wsDr xmlns="http://schemas.openxmlformats.org/drawingml/2006/spreadsheetDrawing">
  <oneCellAnchor>
    <from>
      <col>10</col>
      <colOff>213360</colOff>
      <row>4</row>
      <rowOff>121920</rowOff>
    </from>
    <ext cx="10080000" cy="72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5.xml><?xml version="1.0" encoding="utf-8"?>
<wsDr xmlns="http://schemas.openxmlformats.org/drawingml/2006/spreadsheetDrawing">
  <oneCellAnchor>
    <from>
      <col>12</col>
      <colOff>0</colOff>
      <row>3</row>
      <rowOff>0</rowOff>
    </from>
    <ext cx="4680000" cy="27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6.xml><?xml version="1.0" encoding="utf-8"?>
<wsDr xmlns="http://schemas.openxmlformats.org/drawingml/2006/spreadsheetDrawing">
  <oneCellAnchor>
    <from>
      <col>8</col>
      <colOff>274320</colOff>
      <row>5</row>
      <rowOff>167640</rowOff>
    </from>
    <ext cx="648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7.xml><?xml version="1.0" encoding="utf-8"?>
<wsDr xmlns="http://schemas.openxmlformats.org/drawingml/2006/spreadsheetDrawing">
  <oneCellAnchor>
    <from>
      <col>5</col>
      <colOff>0</colOff>
      <row>7</row>
      <rowOff>53340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4</col>
      <colOff>480060</colOff>
      <row>24</row>
      <rowOff>22860</rowOff>
    </from>
    <ext cx="576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18.xml><?xml version="1.0" encoding="utf-8"?>
<wsDr xmlns="http://schemas.openxmlformats.org/drawingml/2006/spreadsheetDrawing">
  <oneCellAnchor>
    <from>
      <col>9</col>
      <colOff>198120</colOff>
      <row>4</row>
      <rowOff>137160</rowOff>
    </from>
    <ext cx="6903720" cy="322326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9.xml><?xml version="1.0" encoding="utf-8"?>
<wsDr xmlns="http://schemas.openxmlformats.org/drawingml/2006/spreadsheetDrawing">
  <oneCellAnchor>
    <from>
      <col>9</col>
      <colOff>0</colOff>
      <row>21</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9</col>
      <colOff>0</colOff>
      <row>38</row>
      <rowOff>0</rowOff>
    </from>
    <ext cx="576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19</col>
      <colOff>182880</colOff>
      <row>20</row>
      <rowOff>121920</rowOff>
    </from>
    <ext cx="432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20.xml><?xml version="1.0" encoding="utf-8"?>
<wsDr xmlns="http://schemas.openxmlformats.org/drawingml/2006/spreadsheetDrawing">
  <oneCellAnchor>
    <from>
      <col>6</col>
      <colOff>60960</colOff>
      <row>4</row>
      <rowOff>83820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1.xml><?xml version="1.0" encoding="utf-8"?>
<wsDr xmlns="http://schemas.openxmlformats.org/drawingml/2006/spreadsheetDrawing">
  <oneCellAnchor>
    <from>
      <col>7</col>
      <colOff>0</colOff>
      <row>2</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7</col>
      <colOff>0</colOff>
      <row>19</row>
      <rowOff>0</rowOff>
    </from>
    <ext cx="576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7</col>
      <colOff>0</colOff>
      <row>36</row>
      <rowOff>0</rowOff>
    </from>
    <ext cx="576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16</col>
      <colOff>0</colOff>
      <row>2</row>
      <rowOff>0</rowOff>
    </from>
    <ext cx="4320000" cy="324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16</col>
      <colOff>0</colOff>
      <row>19</row>
      <rowOff>0</rowOff>
    </from>
    <ext cx="5760000" cy="288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drawings/drawing22.xml><?xml version="1.0" encoding="utf-8"?>
<wsDr xmlns="http://schemas.openxmlformats.org/drawingml/2006/spreadsheetDrawing">
  <oneCellAnchor>
    <from>
      <col>5</col>
      <colOff>541020</colOff>
      <row>9</row>
      <rowOff>38100</rowOff>
    </from>
    <ext cx="792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3.xml><?xml version="1.0" encoding="utf-8"?>
<wsDr xmlns="http://schemas.openxmlformats.org/drawingml/2006/spreadsheetDrawing">
  <oneCellAnchor>
    <from>
      <col>10</col>
      <colOff>0</colOff>
      <row>3</row>
      <rowOff>0</rowOff>
    </from>
    <ext cx="432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4.xml><?xml version="1.0" encoding="utf-8"?>
<wsDr xmlns="http://schemas.openxmlformats.org/drawingml/2006/spreadsheetDrawing">
  <oneCellAnchor>
    <from>
      <col>10</col>
      <colOff>0</colOff>
      <row>3</row>
      <rowOff>0</rowOff>
    </from>
    <ext cx="6480000" cy="25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20</row>
      <rowOff>0</rowOff>
    </from>
    <ext cx="9906000" cy="5200650"/>
    <pic>
      <nvPicPr>
        <cNvPr id="3"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wsDr>
</file>

<file path=xl/drawings/drawing25.xml><?xml version="1.0" encoding="utf-8"?>
<wsDr xmlns="http://schemas.openxmlformats.org/drawingml/2006/spreadsheetDrawing">
  <oneCellAnchor>
    <from>
      <col>6</col>
      <colOff>457200</colOff>
      <row>4</row>
      <rowOff>76200</rowOff>
    </from>
    <ext cx="576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6.xml><?xml version="1.0" encoding="utf-8"?>
<wsDr xmlns="http://schemas.openxmlformats.org/drawingml/2006/spreadsheetDrawing">
  <oneCellAnchor>
    <from>
      <col>7</col>
      <colOff>0</colOff>
      <row>5</row>
      <rowOff>0</rowOff>
    </from>
    <ext cx="792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5.xml.rels><Relationships xmlns="http://schemas.openxmlformats.org/package/2006/relationships"><Relationship Type="http://schemas.openxmlformats.org/officeDocument/2006/relationships/drawing" Target="/xl/drawings/drawing4.xml" Id="rId1"/></Relationships>
</file>

<file path=xl/worksheets/_rels/sheet6.xml.rels><Relationships xmlns="http://schemas.openxmlformats.org/package/2006/relationships"><Relationship Type="http://schemas.openxmlformats.org/officeDocument/2006/relationships/drawing" Target="/xl/drawings/drawing5.xml" Id="rId1"/></Relationships>
</file>

<file path=xl/worksheets/_rels/sheet7.xml.rels><Relationships xmlns="http://schemas.openxmlformats.org/package/2006/relationships"><Relationship Type="http://schemas.openxmlformats.org/officeDocument/2006/relationships/drawing" Target="/xl/drawings/drawing6.xml" Id="rId1"/></Relationships>
</file>

<file path=xl/worksheets/_rels/sheet8.xml.rels><Relationships xmlns="http://schemas.openxmlformats.org/package/2006/relationships"><Relationship Type="http://schemas.openxmlformats.org/officeDocument/2006/relationships/drawing" Target="/xl/drawings/drawing7.xml" Id="rId1"/></Relationships>
</file>

<file path=xl/worksheets/_rels/sheet9.xml.rels><Relationships xmlns="http://schemas.openxmlformats.org/package/2006/relationships"><Relationship Type="http://schemas.openxmlformats.org/officeDocument/2006/relationships/drawing" Target="/xl/drawings/drawing8.xml" Id="rId1"/></Relationships>
</file>

<file path=xl/worksheets/_rels/sheet10.xml.rels><Relationships xmlns="http://schemas.openxmlformats.org/package/2006/relationships"><Relationship Type="http://schemas.openxmlformats.org/officeDocument/2006/relationships/drawing" Target="/xl/drawings/drawing9.xml" Id="rId1"/></Relationships>
</file>

<file path=xl/worksheets/_rels/sheet11.xml.rels><Relationships xmlns="http://schemas.openxmlformats.org/package/2006/relationships"><Relationship Type="http://schemas.openxmlformats.org/officeDocument/2006/relationships/drawing" Target="/xl/drawings/drawing10.xml" Id="rId1"/></Relationships>
</file>

<file path=xl/worksheets/_rels/sheet13.xml.rels><Relationships xmlns="http://schemas.openxmlformats.org/package/2006/relationships"><Relationship Type="http://schemas.openxmlformats.org/officeDocument/2006/relationships/drawing" Target="/xl/drawings/drawing11.xml" Id="rId1"/></Relationships>
</file>

<file path=xl/worksheets/_rels/sheet14.xml.rels><Relationships xmlns="http://schemas.openxmlformats.org/package/2006/relationships"><Relationship Type="http://schemas.openxmlformats.org/officeDocument/2006/relationships/drawing" Target="/xl/drawings/drawing12.xml" Id="rId1"/></Relationships>
</file>

<file path=xl/worksheets/_rels/sheet15.xml.rels><Relationships xmlns="http://schemas.openxmlformats.org/package/2006/relationships"><Relationship Type="http://schemas.openxmlformats.org/officeDocument/2006/relationships/drawing" Target="/xl/drawings/drawing13.xml" Id="rId1"/></Relationships>
</file>

<file path=xl/worksheets/_rels/sheet16.xml.rels><Relationships xmlns="http://schemas.openxmlformats.org/package/2006/relationships"><Relationship Type="http://schemas.openxmlformats.org/officeDocument/2006/relationships/drawing" Target="/xl/drawings/drawing14.xml" Id="rId1"/></Relationships>
</file>

<file path=xl/worksheets/_rels/sheet17.xml.rels><Relationships xmlns="http://schemas.openxmlformats.org/package/2006/relationships"><Relationship Type="http://schemas.openxmlformats.org/officeDocument/2006/relationships/drawing" Target="/xl/drawings/drawing15.xml" Id="rId1"/></Relationships>
</file>

<file path=xl/worksheets/_rels/sheet20.xml.rels><Relationships xmlns="http://schemas.openxmlformats.org/package/2006/relationships"><Relationship Type="http://schemas.openxmlformats.org/officeDocument/2006/relationships/drawing" Target="/xl/drawings/drawing16.xml" Id="rId1"/></Relationships>
</file>

<file path=xl/worksheets/_rels/sheet22.xml.rels><Relationships xmlns="http://schemas.openxmlformats.org/package/2006/relationships"><Relationship Type="http://schemas.openxmlformats.org/officeDocument/2006/relationships/drawing" Target="/xl/drawings/drawing17.xml" Id="rId1"/></Relationships>
</file>

<file path=xl/worksheets/_rels/sheet23.xml.rels><Relationships xmlns="http://schemas.openxmlformats.org/package/2006/relationships"><Relationship Type="http://schemas.openxmlformats.org/officeDocument/2006/relationships/drawing" Target="/xl/drawings/drawing18.xml" Id="rId1"/></Relationships>
</file>

<file path=xl/worksheets/_rels/sheet24.xml.rels><Relationships xmlns="http://schemas.openxmlformats.org/package/2006/relationships"><Relationship Type="http://schemas.openxmlformats.org/officeDocument/2006/relationships/drawing" Target="/xl/drawings/drawing19.xml" Id="rId1"/></Relationships>
</file>

<file path=xl/worksheets/_rels/sheet25.xml.rels><Relationships xmlns="http://schemas.openxmlformats.org/package/2006/relationships"><Relationship Type="http://schemas.openxmlformats.org/officeDocument/2006/relationships/drawing" Target="/xl/drawings/drawing20.xml" Id="rId1"/></Relationships>
</file>

<file path=xl/worksheets/_rels/sheet26.xml.rels><Relationships xmlns="http://schemas.openxmlformats.org/package/2006/relationships"><Relationship Type="http://schemas.openxmlformats.org/officeDocument/2006/relationships/drawing" Target="/xl/drawings/drawing21.xml" Id="rId1"/></Relationships>
</file>

<file path=xl/worksheets/_rels/sheet27.xml.rels><Relationships xmlns="http://schemas.openxmlformats.org/package/2006/relationships"><Relationship Type="http://schemas.openxmlformats.org/officeDocument/2006/relationships/drawing" Target="/xl/drawings/drawing22.xml" Id="rId1"/></Relationships>
</file>

<file path=xl/worksheets/_rels/sheet28.xml.rels><Relationships xmlns="http://schemas.openxmlformats.org/package/2006/relationships"><Relationship Type="http://schemas.openxmlformats.org/officeDocument/2006/relationships/drawing" Target="/xl/drawings/drawing23.xml" Id="rId1"/></Relationships>
</file>

<file path=xl/worksheets/_rels/sheet29.xml.rels><Relationships xmlns="http://schemas.openxmlformats.org/package/2006/relationships"><Relationship Type="http://schemas.openxmlformats.org/officeDocument/2006/relationships/drawing" Target="/xl/drawings/drawing24.xml" Id="rId1"/></Relationships>
</file>

<file path=xl/worksheets/_rels/sheet30.xml.rels><Relationships xmlns="http://schemas.openxmlformats.org/package/2006/relationships"><Relationship Type="http://schemas.openxmlformats.org/officeDocument/2006/relationships/drawing" Target="/xl/drawings/drawing25.xml" Id="rId1"/></Relationships>
</file>

<file path=xl/worksheets/_rels/sheet31.xml.rels><Relationships xmlns="http://schemas.openxmlformats.org/package/2006/relationships"><Relationship Type="http://schemas.openxmlformats.org/officeDocument/2006/relationships/drawing" Target="/xl/drawings/drawing26.xml" Id="rId1"/></Relationships>
</file>

<file path=xl/worksheets/sheet1.xml><?xml version="1.0" encoding="utf-8"?>
<worksheet xmlns="http://schemas.openxmlformats.org/spreadsheetml/2006/main">
  <sheetPr>
    <outlinePr summaryBelow="1" summaryRight="1"/>
    <pageSetUpPr/>
  </sheetPr>
  <dimension ref="A1:N344"/>
  <sheetViews>
    <sheetView showGridLines="0" topLeftCell="A141" workbookViewId="0">
      <selection activeCell="A1" sqref="A1"/>
    </sheetView>
  </sheetViews>
  <sheetFormatPr baseColWidth="8" defaultRowHeight="14.4"/>
  <cols>
    <col width="12" customWidth="1" min="1" max="1"/>
  </cols>
  <sheetData>
    <row r="1" ht="17.4" customHeight="1">
      <c r="A1" s="213" t="inlineStr">
        <is>
          <t>Дашборды — все диаграммы книги</t>
        </is>
      </c>
    </row>
    <row r="2">
      <c r="A2" s="214" t="inlineStr">
        <is>
          <t>Копии всех диаграмм со всех листов (данные тянутся с исходных листов). Слева указан лист-источник.</t>
        </is>
      </c>
    </row>
    <row r="4">
      <c r="A4" s="222" t="inlineStr">
        <is>
          <t>1. Дашборд</t>
        </is>
      </c>
      <c r="N4" s="222" t="inlineStr">
        <is>
          <t>2. Дашборд</t>
        </is>
      </c>
    </row>
    <row r="24">
      <c r="A24" s="222" t="inlineStr">
        <is>
          <t>3. Дорожная карта</t>
        </is>
      </c>
      <c r="N24" s="222" t="inlineStr">
        <is>
          <t>4. Дорожная карта</t>
        </is>
      </c>
    </row>
    <row r="44">
      <c r="A44" s="222" t="inlineStr">
        <is>
          <t>5. Дорожная карта</t>
        </is>
      </c>
      <c r="N44" s="222" t="inlineStr">
        <is>
          <t>6. Кварталы</t>
        </is>
      </c>
    </row>
    <row r="64">
      <c r="A64" s="222" t="inlineStr">
        <is>
          <t>7. Кварталы</t>
        </is>
      </c>
      <c r="N64" s="222" t="inlineStr">
        <is>
          <t>8. Квартальный roadmap</t>
        </is>
      </c>
    </row>
    <row r="84">
      <c r="A84" s="222" t="inlineStr">
        <is>
          <t>9. Релизы</t>
        </is>
      </c>
      <c r="N84" s="222" t="inlineStr">
        <is>
          <t>10. Вехи</t>
        </is>
      </c>
    </row>
    <row r="104">
      <c r="A104" s="222" t="inlineStr">
        <is>
          <t>11. Технический долг</t>
        </is>
      </c>
      <c r="N104" s="222" t="inlineStr">
        <is>
          <t>12. Технический долг</t>
        </is>
      </c>
    </row>
    <row r="124">
      <c r="A124" s="222" t="inlineStr">
        <is>
          <t>13. Технический долг</t>
        </is>
      </c>
      <c r="N124" s="222" t="inlineStr">
        <is>
          <t>14. Бюджет</t>
        </is>
      </c>
    </row>
    <row r="144">
      <c r="A144" s="222" t="inlineStr">
        <is>
          <t>15. OKR</t>
        </is>
      </c>
      <c r="N144" s="222" t="inlineStr">
        <is>
          <t>16. Ёмкость на горизонт</t>
        </is>
      </c>
    </row>
    <row r="164">
      <c r="A164" s="222" t="inlineStr">
        <is>
          <t>17. Гант</t>
        </is>
      </c>
      <c r="N164" s="222" t="inlineStr">
        <is>
          <t>18. Загрузка по ролям</t>
        </is>
      </c>
    </row>
    <row r="184">
      <c r="A184" s="222" t="inlineStr">
        <is>
          <t>19. Сгорание</t>
        </is>
      </c>
      <c r="N184" s="222" t="inlineStr">
        <is>
          <t>20. Сгорание</t>
        </is>
      </c>
    </row>
    <row r="204">
      <c r="A204" s="222" t="inlineStr">
        <is>
          <t>21. Качество</t>
        </is>
      </c>
      <c r="N204" s="222" t="inlineStr">
        <is>
          <t>22. Баги</t>
        </is>
      </c>
    </row>
    <row r="224">
      <c r="A224" s="222" t="inlineStr">
        <is>
          <t>23. Баги</t>
        </is>
      </c>
      <c r="N224" s="222" t="inlineStr">
        <is>
          <t>24. Баги</t>
        </is>
      </c>
    </row>
    <row r="244">
      <c r="A244" s="222" t="inlineStr">
        <is>
          <t>25. CFD</t>
        </is>
      </c>
      <c r="N244" s="222" t="inlineStr">
        <is>
          <t>26. Метрики и прогноз</t>
        </is>
      </c>
    </row>
    <row r="264">
      <c r="A264" s="222" t="inlineStr">
        <is>
          <t>27. Метрики и прогноз</t>
        </is>
      </c>
      <c r="N264" s="222" t="inlineStr">
        <is>
          <t>28. Метрики и прогноз</t>
        </is>
      </c>
    </row>
    <row r="284">
      <c r="A284" s="222" t="inlineStr">
        <is>
          <t>29. Метрики и прогноз</t>
        </is>
      </c>
      <c r="N284" s="222" t="inlineStr">
        <is>
          <t>30. Метрики и прогноз</t>
        </is>
      </c>
    </row>
    <row r="304">
      <c r="A304" s="222" t="inlineStr">
        <is>
          <t>31. Cycle time</t>
        </is>
      </c>
      <c r="N304" s="222" t="inlineStr">
        <is>
          <t>32. Риски</t>
        </is>
      </c>
    </row>
    <row r="324">
      <c r="A324" s="222" t="inlineStr">
        <is>
          <t>33. Матрица рисков</t>
        </is>
      </c>
      <c r="N324" s="222" t="inlineStr">
        <is>
          <t>34. Матрица рисков</t>
        </is>
      </c>
    </row>
    <row r="344">
      <c r="A344" s="222" t="inlineStr">
        <is>
          <t>35. Распределение</t>
        </is>
      </c>
      <c r="N344" s="222" t="inlineStr">
        <is>
          <t>36. Time to Market</t>
        </is>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K35"/>
  <sheetViews>
    <sheetView showGridLines="0" workbookViewId="0">
      <selection activeCell="A1" sqref="A1"/>
    </sheetView>
  </sheetViews>
  <sheetFormatPr baseColWidth="8" defaultRowHeight="14.4"/>
  <cols>
    <col width="26" customWidth="1" min="1" max="1"/>
    <col width="16" customWidth="1" min="2" max="2"/>
    <col width="11" customWidth="1" min="3" max="11"/>
  </cols>
  <sheetData>
    <row r="1" ht="21" customHeight="1">
      <c r="A1" s="75" t="inlineStr">
        <is>
          <t>Дашборд спринт-планирования</t>
        </is>
      </c>
    </row>
    <row r="3">
      <c r="A3" s="14" t="inlineStr">
        <is>
          <t>Цель спринта:</t>
        </is>
      </c>
      <c r="B3" s="245">
        <f>Параметры!$B$19</f>
        <v/>
      </c>
      <c r="C3" s="242" t="n"/>
      <c r="D3" s="242" t="n"/>
      <c r="E3" s="243" t="n"/>
    </row>
    <row r="4">
      <c r="A4" s="38" t="inlineStr">
        <is>
          <t>Показатели тянутся с других листов; RAG-цвет — по порогам. Правьте исходные данные.</t>
        </is>
      </c>
    </row>
    <row r="6" ht="15.6" customHeight="1">
      <c r="A6" s="58" t="inlineStr">
        <is>
          <t>Текущий спринт</t>
        </is>
      </c>
    </row>
    <row r="7" ht="15.6" customHeight="1">
      <c r="A7" s="32" t="inlineStr">
        <is>
          <t>№ спринта</t>
        </is>
      </c>
      <c r="B7" s="76">
        <f>Параметры!$B$13</f>
        <v/>
      </c>
    </row>
    <row r="8" ht="15.6" customHeight="1">
      <c r="A8" s="32" t="inlineStr">
        <is>
          <t>Трудомощность (дн)</t>
        </is>
      </c>
      <c r="B8" s="77">
        <f>Параметры!$B$14</f>
        <v/>
      </c>
    </row>
    <row r="9" ht="15.6" customHeight="1">
      <c r="A9" s="32" t="inlineStr">
        <is>
          <t>Трудоёмкость (дн)</t>
        </is>
      </c>
      <c r="B9" s="77">
        <f>Параметры!$B$15</f>
        <v/>
      </c>
    </row>
    <row r="10" ht="15.6" customHeight="1">
      <c r="A10" s="32" t="inlineStr">
        <is>
          <t>Загрузка</t>
        </is>
      </c>
      <c r="B10" s="78">
        <f>Параметры!$B$16</f>
        <v/>
      </c>
    </row>
    <row r="11" ht="15.6" customHeight="1">
      <c r="A11" s="32" t="inlineStr">
        <is>
          <t>Баланс (дн)</t>
        </is>
      </c>
      <c r="B11" s="77">
        <f>Параметры!$B$17</f>
        <v/>
      </c>
    </row>
    <row r="12" ht="15.6" customHeight="1">
      <c r="A12" s="32" t="inlineStr">
        <is>
          <t>Готовность DoD</t>
        </is>
      </c>
      <c r="B12" s="78">
        <f>Параметры!$B$29</f>
        <v/>
      </c>
    </row>
    <row r="14" ht="15.6" customHeight="1">
      <c r="A14" s="58" t="inlineStr">
        <is>
          <t>Динамика и прогноз</t>
        </is>
      </c>
    </row>
    <row r="15" ht="15.6" customHeight="1">
      <c r="A15" s="32" t="inlineStr">
        <is>
          <t>Закрытых спринтов</t>
        </is>
      </c>
      <c r="B15" s="76">
        <f>'Дорожная карта'!$C$20</f>
        <v/>
      </c>
    </row>
    <row r="16" ht="15.6" customHeight="1">
      <c r="A16" s="32" t="inlineStr">
        <is>
          <t>Средняя velocity (дн)</t>
        </is>
      </c>
      <c r="B16" s="77">
        <f>'Дорожная карта'!$C$21</f>
        <v/>
      </c>
    </row>
    <row r="17" ht="15.6" customHeight="1">
      <c r="A17" s="32" t="inlineStr">
        <is>
          <t>Средний % выполнения</t>
        </is>
      </c>
      <c r="B17" s="78">
        <f>'Дорожная карта'!$C$22</f>
        <v/>
      </c>
    </row>
    <row r="18" ht="15.6" customHeight="1">
      <c r="A18" s="32" t="inlineStr">
        <is>
          <t>Остаток бэклога (дн)</t>
        </is>
      </c>
      <c r="B18" s="79">
        <f>'Дорожная карта'!$F$20</f>
        <v/>
      </c>
    </row>
    <row r="19" ht="15.6" customHeight="1">
      <c r="A19" s="32" t="inlineStr">
        <is>
          <t>Спринтов до завершения</t>
        </is>
      </c>
      <c r="B19" s="76">
        <f>'Дорожная карта'!$F$22</f>
        <v/>
      </c>
    </row>
    <row r="20" ht="15.6" customHeight="1">
      <c r="A20" s="32" t="inlineStr">
        <is>
          <t>Ожидаемая дата</t>
        </is>
      </c>
      <c r="B20" s="80">
        <f>'Дорожная карта'!$F$23</f>
        <v/>
      </c>
    </row>
    <row r="22" ht="15.6" customHeight="1">
      <c r="A22" s="58" t="inlineStr">
        <is>
          <t>Качество, точность, риски</t>
        </is>
      </c>
    </row>
    <row r="23" ht="15.6" customHeight="1">
      <c r="A23" s="32" t="inlineStr">
        <is>
          <t>Коэфф. точности оценок</t>
        </is>
      </c>
      <c r="B23" s="81">
        <f>Бэклог!$E$47</f>
        <v/>
      </c>
    </row>
    <row r="24" ht="15.6" customHeight="1">
      <c r="A24" s="32" t="inlineStr">
        <is>
          <t>Багов найдено (всего)</t>
        </is>
      </c>
      <c r="B24" s="76">
        <f>COUNTA(Баги!$A$5:$A$64)</f>
        <v/>
      </c>
    </row>
    <row r="25" ht="15.6" customHeight="1">
      <c r="A25" s="32" t="inlineStr">
        <is>
          <t>Багов открыто</t>
        </is>
      </c>
      <c r="B25" s="76">
        <f>COUNTIF(Баги!$F$5:$F$64,"Открыт")</f>
        <v/>
      </c>
    </row>
    <row r="26" ht="15.6" customHeight="1">
      <c r="A26" s="32" t="inlineStr">
        <is>
          <t>Заблокировано задач</t>
        </is>
      </c>
      <c r="B26" s="76">
        <f>COUNTIF(Бэклог!$K$5:$K$44,"Да")</f>
        <v/>
      </c>
    </row>
    <row r="27" ht="15.6" customHeight="1">
      <c r="A27" s="32" t="inlineStr">
        <is>
          <t>Дней в блоке (всего)</t>
        </is>
      </c>
      <c r="B27" s="77">
        <f>SUM(Бэклог!$L$5:$L$44)</f>
        <v/>
      </c>
    </row>
    <row r="29" ht="15.6" customHeight="1">
      <c r="A29" s="91" t="inlineStr">
        <is>
          <t>Поток и scope</t>
        </is>
      </c>
    </row>
    <row r="30" ht="15.6" customHeight="1">
      <c r="A30" s="88" t="inlineStr">
        <is>
          <t>Средний cycle time (дн)</t>
        </is>
      </c>
      <c r="B30" s="114">
        <f>Бэклог!$E$49</f>
        <v/>
      </c>
    </row>
    <row r="31" ht="15.6" customHeight="1">
      <c r="A31" s="88" t="inlineStr">
        <is>
          <t>Задач добавлено (scope)</t>
        </is>
      </c>
      <c r="B31" s="106">
        <f>COUNTIF(Бэклог!$N$5:$N$44,"Да")</f>
        <v/>
      </c>
    </row>
    <row r="32" ht="15.6" customHeight="1">
      <c r="A32" s="223" t="inlineStr">
        <is>
          <t>Средний TTM (дн)</t>
        </is>
      </c>
      <c r="B32" s="224">
        <f>'Time to Market'!$C$4</f>
        <v/>
      </c>
    </row>
    <row r="33">
      <c r="A33" s="82" t="inlineStr">
        <is>
          <t>Velocity по спринтам (для спарклайна):</t>
        </is>
      </c>
    </row>
    <row r="34">
      <c r="A34" s="115">
        <f>'Дорожная карта'!I6</f>
        <v/>
      </c>
      <c r="B34" s="115">
        <f>'Дорожная карта'!I7</f>
        <v/>
      </c>
      <c r="C34" s="115">
        <f>'Дорожная карта'!I8</f>
        <v/>
      </c>
      <c r="D34" s="115">
        <f>'Дорожная карта'!I9</f>
        <v/>
      </c>
      <c r="E34" s="115">
        <f>'Дорожная карта'!I10</f>
        <v/>
      </c>
      <c r="F34" s="115">
        <f>'Дорожная карта'!I11</f>
        <v/>
      </c>
      <c r="G34" s="115">
        <f>'Дорожная карта'!I12</f>
        <v/>
      </c>
      <c r="H34" s="115">
        <f>'Дорожная карта'!I13</f>
        <v/>
      </c>
      <c r="I34" s="115">
        <f>'Дорожная карта'!I14</f>
        <v/>
      </c>
      <c r="J34" s="115">
        <f>'Дорожная карта'!I15</f>
        <v/>
      </c>
      <c r="K34" s="115">
        <f>'Дорожная карта'!I16</f>
        <v/>
      </c>
    </row>
    <row r="35">
      <c r="A35" s="82" t="inlineStr">
        <is>
          <t>Выделите A34:K34 → Вставка → Спарклайны → График (в любую ячейку).</t>
        </is>
      </c>
    </row>
  </sheetData>
  <mergeCells count="1">
    <mergeCell ref="B3:E3"/>
  </mergeCells>
  <conditionalFormatting sqref="B10">
    <cfRule type="cellIs" priority="1" operator="greaterThan" dxfId="2">
      <formula>1</formula>
    </cfRule>
    <cfRule type="cellIs" priority="2" operator="between" dxfId="1">
      <formula>0.9</formula>
      <formula>1</formula>
    </cfRule>
    <cfRule type="cellIs" priority="3" operator="lessThan" dxfId="0">
      <formula>0.9</formula>
    </cfRule>
  </conditionalFormatting>
  <conditionalFormatting sqref="B11">
    <cfRule type="cellIs" priority="4" operator="lessThan" dxfId="2">
      <formula>0</formula>
    </cfRule>
    <cfRule type="cellIs" priority="5" operator="greaterThanOrEqual" dxfId="0">
      <formula>0</formula>
    </cfRule>
  </conditionalFormatting>
  <conditionalFormatting sqref="B12">
    <cfRule type="cellIs" priority="6" operator="lessThan" dxfId="2">
      <formula>0.8</formula>
    </cfRule>
    <cfRule type="cellIs" priority="7" operator="between" dxfId="1">
      <formula>0.8</formula>
      <formula>0.999</formula>
    </cfRule>
    <cfRule type="cellIs" priority="8" operator="greaterThanOrEqual" dxfId="0">
      <formula>1</formula>
    </cfRule>
  </conditionalFormatting>
  <conditionalFormatting sqref="B17">
    <cfRule type="cellIs" priority="9" operator="greaterThanOrEqual" dxfId="0">
      <formula>0.9</formula>
    </cfRule>
    <cfRule type="cellIs" priority="10" operator="between" dxfId="1">
      <formula>0.7</formula>
      <formula>0.899</formula>
    </cfRule>
    <cfRule type="cellIs" priority="11" operator="lessThan" dxfId="2">
      <formula>0.7</formula>
    </cfRule>
  </conditionalFormatting>
  <conditionalFormatting sqref="B23">
    <cfRule type="cellIs" priority="12" operator="between" dxfId="1">
      <formula>0.8</formula>
      <formula>1.2</formula>
    </cfRule>
    <cfRule type="cellIs" priority="13" operator="between" dxfId="0">
      <formula>0.9</formula>
      <formula>1.1</formula>
    </cfRule>
  </conditionalFormatting>
  <conditionalFormatting sqref="B25">
    <cfRule type="cellIs" priority="14" operator="greaterThan" dxfId="2">
      <formula>3</formula>
    </cfRule>
    <cfRule type="cellIs" priority="15" operator="between" dxfId="1">
      <formula>1</formula>
      <formula>3</formula>
    </cfRule>
    <cfRule type="cellIs" priority="16" operator="equal" dxfId="0">
      <formula>0</formula>
    </cfRule>
  </conditionalFormatting>
  <conditionalFormatting sqref="B32">
    <cfRule type="cellIs" priority="17" operator="lessThanOrEqual" dxfId="0">
      <formula>15</formula>
    </cfRule>
    <cfRule type="cellIs" priority="18" operator="greaterThan" dxfId="2">
      <formula>15</formula>
    </cfRule>
  </conditionalFormatting>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C29"/>
  <sheetViews>
    <sheetView showGridLines="0" workbookViewId="0">
      <selection activeCell="B36" sqref="B36"/>
    </sheetView>
  </sheetViews>
  <sheetFormatPr baseColWidth="8" defaultRowHeight="14.4"/>
  <cols>
    <col width="37.6640625" customWidth="1" min="1" max="1"/>
    <col width="16" customWidth="1" min="2" max="2"/>
    <col width="52" customWidth="1" min="3" max="3"/>
  </cols>
  <sheetData>
    <row r="1" ht="17.4" customHeight="1">
      <c r="A1" s="1" t="inlineStr">
        <is>
          <t>Планирование спринта — параметры</t>
        </is>
      </c>
    </row>
    <row r="2">
      <c r="A2" s="2" t="inlineStr">
        <is>
          <t>Двухнедельный спринт. Жёлтые ячейки — заполняются вручную, серые — считаются формулами.</t>
        </is>
      </c>
    </row>
    <row r="4">
      <c r="A4" s="3" t="inlineStr">
        <is>
          <t>Параметр</t>
        </is>
      </c>
      <c r="B4" s="3" t="inlineStr">
        <is>
          <t>Значение</t>
        </is>
      </c>
      <c r="C4" s="3" t="inlineStr">
        <is>
          <t>Комментарий</t>
        </is>
      </c>
    </row>
    <row r="5">
      <c r="A5" s="4" t="inlineStr">
        <is>
          <t>Название спринта</t>
        </is>
      </c>
      <c r="B5" s="5" t="inlineStr">
        <is>
          <t>Sprint 24</t>
        </is>
      </c>
      <c r="C5" s="6" t="inlineStr">
        <is>
          <t>текст</t>
        </is>
      </c>
    </row>
    <row r="6">
      <c r="A6" s="4" t="inlineStr">
        <is>
          <t>Дата начала спринта</t>
        </is>
      </c>
      <c r="B6" s="16" t="n">
        <v>46237</v>
      </c>
      <c r="C6" s="6" t="inlineStr">
        <is>
          <t>дата (пн)</t>
        </is>
      </c>
    </row>
    <row r="7">
      <c r="A7" s="4" t="inlineStr">
        <is>
          <t>Длительность (рабочих дней)</t>
        </is>
      </c>
      <c r="B7" s="5" t="n">
        <v>10</v>
      </c>
      <c r="C7" s="6" t="inlineStr">
        <is>
          <t>справочно (раб. дни теперь из «Календаря»)</t>
        </is>
      </c>
    </row>
    <row r="8">
      <c r="A8" s="4" t="inlineStr">
        <is>
          <t>Часов в рабочем дне</t>
        </is>
      </c>
      <c r="B8" s="5" t="n">
        <v>8</v>
      </c>
      <c r="C8" s="6" t="inlineStr">
        <is>
          <t>справочно (перевод дни↔часы)</t>
        </is>
      </c>
    </row>
    <row r="9">
      <c r="A9" s="4" t="inlineStr">
        <is>
          <t>Focus factor (коэф. фокуса)</t>
        </is>
      </c>
      <c r="B9" s="7" t="n">
        <v>0.8</v>
      </c>
      <c r="C9" s="6" t="inlineStr">
        <is>
          <t>доля продуктивного времени, 0–1</t>
        </is>
      </c>
    </row>
    <row r="10">
      <c r="A10" s="14" t="inlineStr">
        <is>
          <t>Дата отсчёта (сегодня):</t>
        </is>
      </c>
      <c r="B10" s="107" t="n">
        <v>46275</v>
      </c>
      <c r="C10" s="82" t="inlineStr">
        <is>
          <t>Поставьте =СЕГОДНЯ() для реального времени</t>
        </is>
      </c>
    </row>
    <row r="11" ht="17.4" customHeight="1">
      <c r="A11" s="1" t="inlineStr">
        <is>
          <t>Сводка спринта</t>
        </is>
      </c>
    </row>
    <row r="12">
      <c r="A12" s="3" t="inlineStr">
        <is>
          <t>Показатель</t>
        </is>
      </c>
      <c r="B12" s="3" t="inlineStr">
        <is>
          <t>Значение</t>
        </is>
      </c>
      <c r="C12" s="3" t="inlineStr">
        <is>
          <t>Комментарий</t>
        </is>
      </c>
    </row>
    <row r="13">
      <c r="A13" s="32" t="inlineStr">
        <is>
          <t>Номер текущего спринта</t>
        </is>
      </c>
      <c r="B13" s="83">
        <f>MAX(1,COUNTIF('Дорожная карта'!$C$6:$C$16,"&lt;="&amp;$B$10))</f>
        <v/>
      </c>
      <c r="C13" s="34" t="inlineStr">
        <is>
          <t>Авто по дате отсчёта (активный спринт)</t>
        </is>
      </c>
    </row>
    <row r="14">
      <c r="A14" s="32" t="inlineStr">
        <is>
          <t>Трудомощность команды (дн)</t>
        </is>
      </c>
      <c r="B14" s="35">
        <f>SUMIF(Капасити!$A$5:$A$147,$B$13,Капасити!$H$5:$H$147)</f>
        <v/>
      </c>
      <c r="C14" s="34" t="inlineStr">
        <is>
          <t>Капасити выбранного спринта (лист «Капасити»)</t>
        </is>
      </c>
    </row>
    <row r="15">
      <c r="A15" s="32" t="inlineStr">
        <is>
          <t>Трудоёмкость спринта (дн)</t>
        </is>
      </c>
      <c r="B15" s="35">
        <f>SUMIF(Бэклог!$M$5:$M$44,$B$13,Бэклог!$E$5:$E$44)</f>
        <v/>
      </c>
      <c r="C15" s="34" t="inlineStr">
        <is>
          <t>Суммарная оценка запланированных задач</t>
        </is>
      </c>
    </row>
    <row r="16">
      <c r="A16" s="32" t="inlineStr">
        <is>
          <t>Загрузка команды</t>
        </is>
      </c>
      <c r="B16" s="36">
        <f>IFERROR(B15/B14,0)</f>
        <v/>
      </c>
      <c r="C16" s="34" t="inlineStr">
        <is>
          <t>Трудоёмкость / трудомощность. &gt;100% = перегруз</t>
        </is>
      </c>
    </row>
    <row r="17">
      <c r="A17" s="32" t="inlineStr">
        <is>
          <t>Баланс (дн)</t>
        </is>
      </c>
      <c r="B17" s="35">
        <f>B14-B15</f>
        <v/>
      </c>
      <c r="C17" s="34" t="inlineStr">
        <is>
          <t>Свободное капасити (+) или перегруз (−)</t>
        </is>
      </c>
    </row>
    <row r="19" ht="55.2" customHeight="1">
      <c r="A19" s="14" t="inlineStr">
        <is>
          <t>Цель спринта:</t>
        </is>
      </c>
      <c r="B19" s="57" t="inlineStr">
        <is>
          <t>Запустить оформление заказа с онлайн-оплатой</t>
        </is>
      </c>
      <c r="C19" s="38" t="inlineStr">
        <is>
          <t>Одна фраза — зачем этот спринт</t>
        </is>
      </c>
    </row>
    <row r="21" ht="15.6" customHeight="1">
      <c r="A21" s="58" t="inlineStr">
        <is>
          <t>Definition of Done (критерии готовности)</t>
        </is>
      </c>
    </row>
    <row r="22">
      <c r="A22" s="39" t="inlineStr">
        <is>
          <t>Критерий</t>
        </is>
      </c>
      <c r="B22" s="39" t="inlineStr">
        <is>
          <t>Выполнено</t>
        </is>
      </c>
    </row>
    <row r="23">
      <c r="A23" s="59" t="inlineStr">
        <is>
          <t>Код прошёл ревью</t>
        </is>
      </c>
      <c r="B23" s="50" t="inlineStr">
        <is>
          <t>Нет</t>
        </is>
      </c>
    </row>
    <row r="24">
      <c r="A24" s="59" t="inlineStr">
        <is>
          <t>Юнит/интеграционные тесты зелёные</t>
        </is>
      </c>
      <c r="B24" s="50" t="inlineStr">
        <is>
          <t>Нет</t>
        </is>
      </c>
    </row>
    <row r="25">
      <c r="A25" s="59" t="inlineStr">
        <is>
          <t>Документация обновлена</t>
        </is>
      </c>
      <c r="B25" s="50" t="inlineStr">
        <is>
          <t>Нет</t>
        </is>
      </c>
    </row>
    <row r="26">
      <c r="A26" s="59" t="inlineStr">
        <is>
          <t>Развёрнуто на stage</t>
        </is>
      </c>
      <c r="B26" s="50" t="inlineStr">
        <is>
          <t>Нет</t>
        </is>
      </c>
    </row>
    <row r="27">
      <c r="A27" s="59" t="inlineStr">
        <is>
          <t>Принято владельцем продукта</t>
        </is>
      </c>
      <c r="B27" s="50" t="inlineStr">
        <is>
          <t>Нет</t>
        </is>
      </c>
    </row>
    <row r="28">
      <c r="A28" s="59" t="inlineStr">
        <is>
          <t>Нет открытых блокеров</t>
        </is>
      </c>
      <c r="B28" s="50" t="inlineStr">
        <is>
          <t>Нет</t>
        </is>
      </c>
    </row>
    <row r="29">
      <c r="A29" s="32" t="inlineStr">
        <is>
          <t>Готовность DoD</t>
        </is>
      </c>
      <c r="B29" s="60">
        <f>COUNTIF(B23:B28,"Да")/6</f>
        <v/>
      </c>
    </row>
  </sheetData>
  <dataValidations count="1">
    <dataValidation sqref="B23 B24 B25 B26 B27 B28" showDropDown="0" showInputMessage="0" showErrorMessage="0" allowBlank="1" type="list">
      <formula1>"Да,Нет"</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E62"/>
  <sheetViews>
    <sheetView showGridLines="0" zoomScale="90" zoomScaleNormal="90" workbookViewId="0">
      <pane ySplit="5" topLeftCell="A54" activePane="bottomLeft" state="frozen"/>
      <selection pane="bottomLeft" activeCell="K22" sqref="K22"/>
    </sheetView>
  </sheetViews>
  <sheetFormatPr baseColWidth="8" defaultRowHeight="14.4"/>
  <cols>
    <col width="9.77734375" customWidth="1" min="1" max="1"/>
    <col width="29.77734375" customWidth="1" min="2" max="2"/>
    <col width="13" customWidth="1" min="3" max="4"/>
    <col width="22.77734375" customWidth="1" min="5" max="5"/>
    <col width="17" customWidth="1" min="6" max="6"/>
    <col width="20.33203125" customWidth="1" min="7" max="7"/>
    <col width="10" customWidth="1" min="8" max="8"/>
    <col width="13" customWidth="1" min="9" max="9"/>
    <col width="12.109375" customWidth="1" min="10" max="10"/>
    <col width="16.6640625" customWidth="1" min="11" max="11"/>
    <col width="30" customWidth="1" min="12" max="12"/>
    <col width="11" customWidth="1" min="13" max="13"/>
    <col hidden="1" width="13" customWidth="1" min="28" max="31"/>
  </cols>
  <sheetData>
    <row r="1" ht="17.4" customHeight="1">
      <c r="A1" s="1" t="inlineStr">
        <is>
          <t>Дорожная карта спринтов — до конца 2026 года</t>
        </is>
      </c>
    </row>
    <row r="2">
      <c r="A2" s="2" t="inlineStr">
        <is>
          <t>Двухнедельные спринты (10 раб. дней), человеко-дни. Velocity и % выполнения — по закрытым спринтам. Жёлтые ячейки — заполняются вручную (пример замените фактом).</t>
        </is>
      </c>
    </row>
    <row r="3">
      <c r="A3" s="14" t="inlineStr">
        <is>
          <t>Старт Спринта 1:</t>
        </is>
      </c>
      <c r="B3" s="17">
        <f>Параметры!$B$6</f>
        <v/>
      </c>
    </row>
    <row r="5" ht="41.4" customHeight="1">
      <c r="A5" s="3" t="inlineStr">
        <is>
          <t>№</t>
        </is>
      </c>
      <c r="B5" s="3" t="inlineStr">
        <is>
          <t>Спринт</t>
        </is>
      </c>
      <c r="C5" s="3" t="inlineStr">
        <is>
          <t>Начало</t>
        </is>
      </c>
      <c r="D5" s="3" t="inlineStr">
        <is>
          <t>Конец</t>
        </is>
      </c>
      <c r="E5" s="3" t="inlineStr">
        <is>
          <t>Раб.
дней</t>
        </is>
      </c>
      <c r="F5" s="3" t="inlineStr">
        <is>
          <t>Трудомощность
(дн)</t>
        </is>
      </c>
      <c r="G5" s="3" t="inlineStr">
        <is>
          <t>План трудо-
ёмкости (дн)</t>
        </is>
      </c>
      <c r="H5" s="3" t="inlineStr">
        <is>
          <t>Загрузка
(план)</t>
        </is>
      </c>
      <c r="I5" s="3" t="inlineStr">
        <is>
          <t>Факт /
Velocity (дн)</t>
        </is>
      </c>
      <c r="J5" s="3" t="inlineStr">
        <is>
          <t>%
выполн.</t>
        </is>
      </c>
      <c r="K5" s="3" t="inlineStr">
        <is>
          <t>Статус</t>
        </is>
      </c>
      <c r="L5" s="3" t="inlineStr">
        <is>
          <t>Примечание</t>
        </is>
      </c>
      <c r="M5" s="161" t="inlineStr">
        <is>
          <t>Квартал</t>
        </is>
      </c>
      <c r="AB5" t="inlineStr">
        <is>
          <t>≥90%</t>
        </is>
      </c>
      <c r="AC5" t="inlineStr">
        <is>
          <t>70–90%</t>
        </is>
      </c>
      <c r="AD5" t="inlineStr">
        <is>
          <t>&lt;70%</t>
        </is>
      </c>
      <c r="AE5" t="inlineStr">
        <is>
          <t>Цель 100%</t>
        </is>
      </c>
    </row>
    <row r="6">
      <c r="A6" s="9" t="n">
        <v>1</v>
      </c>
      <c r="B6" s="10" t="inlineStr">
        <is>
          <t>Спринт 1</t>
        </is>
      </c>
      <c r="C6" s="18">
        <f>$B$3+(A6-1)*14</f>
        <v/>
      </c>
      <c r="D6" s="18">
        <f>C6+11</f>
        <v/>
      </c>
      <c r="E6" s="84">
        <f>NETWORKDAYS(C6,D6,Календарь!$A$5:$A$29)</f>
        <v/>
      </c>
      <c r="F6" s="23">
        <f>SUMIF(Капасити!$A$5:$A$147,A6,Капасити!$H$5:$H$147)</f>
        <v/>
      </c>
      <c r="G6" s="85">
        <f>SUMIF(Бэклог!$M$5:$M$44,A6,Бэклог!$E$5:$E$44)</f>
        <v/>
      </c>
      <c r="H6" s="8">
        <f>IFERROR(G6/F6,0)</f>
        <v/>
      </c>
      <c r="I6" s="85">
        <f>IF(K6="Закрыт",SUMIFS(Бэклог!$E$5:$E$44,Бэклог!$M$5:$M$44,A6,Бэклог!$F$5:$F$44,"Готово"),"")</f>
        <v/>
      </c>
      <c r="J6" s="8">
        <f>IF(I6="","",IFERROR(I6/G6,0))</f>
        <v/>
      </c>
      <c r="K6" s="86">
        <f>IF(Параметры!$B$10&gt;D6,"Закрыт",IF(Параметры!$B$10&gt;=C6,"Активный","Планируется"))</f>
        <v/>
      </c>
      <c r="L6" s="10" t="n"/>
      <c r="M6" s="162">
        <f>"Q"&amp;ROUNDUP(MONTH(C6)/3,0)&amp;" "&amp;YEAR(C6)</f>
        <v/>
      </c>
      <c r="AB6" s="27">
        <f>IF(AND($J6&lt;&gt;"",$J6&gt;=$C$29),$J6,NA())</f>
        <v/>
      </c>
      <c r="AC6" s="27">
        <f>IF(AND($J6&lt;&gt;"",$J6&gt;=$C$30,$J6&lt;$C$29),$J6,NA())</f>
        <v/>
      </c>
      <c r="AD6" s="27">
        <f>IF(AND($J6&lt;&gt;"",$J6&lt;$C$30),$J6,NA())</f>
        <v/>
      </c>
      <c r="AE6" s="27" t="n">
        <v>1</v>
      </c>
    </row>
    <row r="7">
      <c r="A7" s="9" t="n">
        <v>2</v>
      </c>
      <c r="B7" s="10" t="inlineStr">
        <is>
          <t>Спринт 2</t>
        </is>
      </c>
      <c r="C7" s="18">
        <f>$B$3+(A7-1)*14</f>
        <v/>
      </c>
      <c r="D7" s="18">
        <f>C7+11</f>
        <v/>
      </c>
      <c r="E7" s="84">
        <f>NETWORKDAYS(C7,D7,Календарь!$A$5:$A$29)</f>
        <v/>
      </c>
      <c r="F7" s="23">
        <f>SUMIF(Капасити!$A$5:$A$147,A7,Капасити!$H$5:$H$147)</f>
        <v/>
      </c>
      <c r="G7" s="85">
        <f>SUMIF(Бэклог!$M$5:$M$44,A7,Бэклог!$E$5:$E$44)</f>
        <v/>
      </c>
      <c r="H7" s="8">
        <f>IFERROR(G7/F7,0)</f>
        <v/>
      </c>
      <c r="I7" s="85">
        <f>IF(K7="Закрыт",SUMIFS(Бэклог!$E$5:$E$44,Бэклог!$M$5:$M$44,A7,Бэклог!$F$5:$F$44,"Готово"),"")</f>
        <v/>
      </c>
      <c r="J7" s="8">
        <f>IF(I7="","",IFERROR(I7/G7,0))</f>
        <v/>
      </c>
      <c r="K7" s="86">
        <f>IF(Параметры!$B$10&gt;D7,"Закрыт",IF(Параметры!$B$10&gt;=C7,"Активный","Планируется"))</f>
        <v/>
      </c>
      <c r="L7" s="10" t="n"/>
      <c r="M7" s="162">
        <f>"Q"&amp;ROUNDUP(MONTH(C7)/3,0)&amp;" "&amp;YEAR(C7)</f>
        <v/>
      </c>
      <c r="AB7" s="27">
        <f>IF(AND($J7&lt;&gt;"",$J7&gt;=$C$29),$J7,NA())</f>
        <v/>
      </c>
      <c r="AC7" s="27">
        <f>IF(AND($J7&lt;&gt;"",$J7&gt;=$C$30,$J7&lt;$C$29),$J7,NA())</f>
        <v/>
      </c>
      <c r="AD7" s="27">
        <f>IF(AND($J7&lt;&gt;"",$J7&lt;$C$30),$J7,NA())</f>
        <v/>
      </c>
      <c r="AE7" s="27" t="n">
        <v>1</v>
      </c>
    </row>
    <row r="8">
      <c r="A8" s="9" t="n">
        <v>3</v>
      </c>
      <c r="B8" s="10" t="inlineStr">
        <is>
          <t>Спринт 3</t>
        </is>
      </c>
      <c r="C8" s="18">
        <f>$B$3+(A8-1)*14</f>
        <v/>
      </c>
      <c r="D8" s="18">
        <f>C8+11</f>
        <v/>
      </c>
      <c r="E8" s="84">
        <f>NETWORKDAYS(C8,D8,Календарь!$A$5:$A$29)</f>
        <v/>
      </c>
      <c r="F8" s="23">
        <f>SUMIF(Капасити!$A$5:$A$147,A8,Капасити!$H$5:$H$147)</f>
        <v/>
      </c>
      <c r="G8" s="85">
        <f>SUMIF(Бэклог!$M$5:$M$44,A8,Бэклог!$E$5:$E$44)</f>
        <v/>
      </c>
      <c r="H8" s="8">
        <f>IFERROR(G8/F8,0)</f>
        <v/>
      </c>
      <c r="I8" s="85">
        <f>IF(K8="Закрыт",SUMIFS(Бэклог!$E$5:$E$44,Бэклог!$M$5:$M$44,A8,Бэклог!$F$5:$F$44,"Готово"),"")</f>
        <v/>
      </c>
      <c r="J8" s="8">
        <f>IF(I8="","",IFERROR(I8/G8,0))</f>
        <v/>
      </c>
      <c r="K8" s="86">
        <f>IF(Параметры!$B$10&gt;D8,"Закрыт",IF(Параметры!$B$10&gt;=C8,"Активный","Планируется"))</f>
        <v/>
      </c>
      <c r="L8" s="10" t="n"/>
      <c r="M8" s="162">
        <f>"Q"&amp;ROUNDUP(MONTH(C8)/3,0)&amp;" "&amp;YEAR(C8)</f>
        <v/>
      </c>
      <c r="AB8" s="27">
        <f>IF(AND($J8&lt;&gt;"",$J8&gt;=$C$29),$J8,NA())</f>
        <v/>
      </c>
      <c r="AC8" s="27">
        <f>IF(AND($J8&lt;&gt;"",$J8&gt;=$C$30,$J8&lt;$C$29),$J8,NA())</f>
        <v/>
      </c>
      <c r="AD8" s="27">
        <f>IF(AND($J8&lt;&gt;"",$J8&lt;$C$30),$J8,NA())</f>
        <v/>
      </c>
      <c r="AE8" s="27" t="n">
        <v>1</v>
      </c>
    </row>
    <row r="9">
      <c r="A9" s="9" t="n">
        <v>4</v>
      </c>
      <c r="B9" s="10" t="inlineStr">
        <is>
          <t>Спринт 4</t>
        </is>
      </c>
      <c r="C9" s="18">
        <f>$B$3+(A9-1)*14</f>
        <v/>
      </c>
      <c r="D9" s="18">
        <f>C9+11</f>
        <v/>
      </c>
      <c r="E9" s="84">
        <f>NETWORKDAYS(C9,D9,Календарь!$A$5:$A$29)</f>
        <v/>
      </c>
      <c r="F9" s="23">
        <f>SUMIF(Капасити!$A$5:$A$147,A9,Капасити!$H$5:$H$147)</f>
        <v/>
      </c>
      <c r="G9" s="85">
        <f>SUMIF(Бэклог!$M$5:$M$44,A9,Бэклог!$E$5:$E$44)</f>
        <v/>
      </c>
      <c r="H9" s="8">
        <f>IFERROR(G9/F9,0)</f>
        <v/>
      </c>
      <c r="I9" s="85">
        <f>IF(K9="Закрыт",SUMIFS(Бэклог!$E$5:$E$44,Бэклог!$M$5:$M$44,A9,Бэклог!$F$5:$F$44,"Готово"),"")</f>
        <v/>
      </c>
      <c r="J9" s="8">
        <f>IF(I9="","",IFERROR(I9/G9,0))</f>
        <v/>
      </c>
      <c r="K9" s="86">
        <f>IF(Параметры!$B$10&gt;D9,"Закрыт",IF(Параметры!$B$10&gt;=C9,"Активный","Планируется"))</f>
        <v/>
      </c>
      <c r="L9" s="10" t="n"/>
      <c r="M9" s="162">
        <f>"Q"&amp;ROUNDUP(MONTH(C9)/3,0)&amp;" "&amp;YEAR(C9)</f>
        <v/>
      </c>
      <c r="AB9" s="27">
        <f>IF(AND($J9&lt;&gt;"",$J9&gt;=$C$29),$J9,NA())</f>
        <v/>
      </c>
      <c r="AC9" s="27">
        <f>IF(AND($J9&lt;&gt;"",$J9&gt;=$C$30,$J9&lt;$C$29),$J9,NA())</f>
        <v/>
      </c>
      <c r="AD9" s="27">
        <f>IF(AND($J9&lt;&gt;"",$J9&lt;$C$30),$J9,NA())</f>
        <v/>
      </c>
      <c r="AE9" s="27" t="n">
        <v>1</v>
      </c>
    </row>
    <row r="10">
      <c r="A10" s="9" t="n">
        <v>5</v>
      </c>
      <c r="B10" s="10" t="inlineStr">
        <is>
          <t>Спринт 5</t>
        </is>
      </c>
      <c r="C10" s="18">
        <f>$B$3+(A10-1)*14</f>
        <v/>
      </c>
      <c r="D10" s="18">
        <f>C10+11</f>
        <v/>
      </c>
      <c r="E10" s="84">
        <f>NETWORKDAYS(C10,D10,Календарь!$A$5:$A$29)</f>
        <v/>
      </c>
      <c r="F10" s="23">
        <f>SUMIF(Капасити!$A$5:$A$147,A10,Капасити!$H$5:$H$147)</f>
        <v/>
      </c>
      <c r="G10" s="85">
        <f>SUMIF(Бэклог!$M$5:$M$44,A10,Бэклог!$E$5:$E$44)</f>
        <v/>
      </c>
      <c r="H10" s="8">
        <f>IFERROR(G10/F10,0)</f>
        <v/>
      </c>
      <c r="I10" s="85">
        <f>IF(K10="Закрыт",SUMIFS(Бэклог!$E$5:$E$44,Бэклог!$M$5:$M$44,A10,Бэклог!$F$5:$F$44,"Готово"),"")</f>
        <v/>
      </c>
      <c r="J10" s="8">
        <f>IF(I10="","",IFERROR(I10/G10,0))</f>
        <v/>
      </c>
      <c r="K10" s="86">
        <f>IF(Параметры!$B$10&gt;D10,"Закрыт",IF(Параметры!$B$10&gt;=C10,"Активный","Планируется"))</f>
        <v/>
      </c>
      <c r="L10" s="10" t="n"/>
      <c r="M10" s="162">
        <f>"Q"&amp;ROUNDUP(MONTH(C10)/3,0)&amp;" "&amp;YEAR(C10)</f>
        <v/>
      </c>
      <c r="AB10" s="27">
        <f>IF(AND($J10&lt;&gt;"",$J10&gt;=$C$29),$J10,NA())</f>
        <v/>
      </c>
      <c r="AC10" s="27">
        <f>IF(AND($J10&lt;&gt;"",$J10&gt;=$C$30,$J10&lt;$C$29),$J10,NA())</f>
        <v/>
      </c>
      <c r="AD10" s="27">
        <f>IF(AND($J10&lt;&gt;"",$J10&lt;$C$30),$J10,NA())</f>
        <v/>
      </c>
      <c r="AE10" s="27" t="n">
        <v>1</v>
      </c>
    </row>
    <row r="11">
      <c r="A11" s="9" t="n">
        <v>6</v>
      </c>
      <c r="B11" s="10" t="inlineStr">
        <is>
          <t>Спринт 6</t>
        </is>
      </c>
      <c r="C11" s="18">
        <f>$B$3+(A11-1)*14</f>
        <v/>
      </c>
      <c r="D11" s="18">
        <f>C11+11</f>
        <v/>
      </c>
      <c r="E11" s="84">
        <f>NETWORKDAYS(C11,D11,Календарь!$A$5:$A$29)</f>
        <v/>
      </c>
      <c r="F11" s="23">
        <f>SUMIF(Капасити!$A$5:$A$147,A11,Капасити!$H$5:$H$147)</f>
        <v/>
      </c>
      <c r="G11" s="85">
        <f>SUMIF(Бэклог!$M$5:$M$44,A11,Бэклог!$E$5:$E$44)</f>
        <v/>
      </c>
      <c r="H11" s="8">
        <f>IFERROR(G11/F11,0)</f>
        <v/>
      </c>
      <c r="I11" s="85">
        <f>IF(K11="Закрыт",SUMIFS(Бэклог!$E$5:$E$44,Бэклог!$M$5:$M$44,A11,Бэклог!$F$5:$F$44,"Готово"),"")</f>
        <v/>
      </c>
      <c r="J11" s="8">
        <f>IF(I11="","",IFERROR(I11/G11,0))</f>
        <v/>
      </c>
      <c r="K11" s="86">
        <f>IF(Параметры!$B$10&gt;D11,"Закрыт",IF(Параметры!$B$10&gt;=C11,"Активный","Планируется"))</f>
        <v/>
      </c>
      <c r="L11" s="10" t="n"/>
      <c r="M11" s="162">
        <f>"Q"&amp;ROUNDUP(MONTH(C11)/3,0)&amp;" "&amp;YEAR(C11)</f>
        <v/>
      </c>
      <c r="AB11" s="27">
        <f>IF(AND($J11&lt;&gt;"",$J11&gt;=$C$29),$J11,NA())</f>
        <v/>
      </c>
      <c r="AC11" s="27">
        <f>IF(AND($J11&lt;&gt;"",$J11&gt;=$C$30,$J11&lt;$C$29),$J11,NA())</f>
        <v/>
      </c>
      <c r="AD11" s="27">
        <f>IF(AND($J11&lt;&gt;"",$J11&lt;$C$30),$J11,NA())</f>
        <v/>
      </c>
      <c r="AE11" s="27" t="n">
        <v>1</v>
      </c>
    </row>
    <row r="12">
      <c r="A12" s="9" t="n">
        <v>7</v>
      </c>
      <c r="B12" s="10" t="inlineStr">
        <is>
          <t>Спринт 7</t>
        </is>
      </c>
      <c r="C12" s="18">
        <f>$B$3+(A12-1)*14</f>
        <v/>
      </c>
      <c r="D12" s="18">
        <f>C12+11</f>
        <v/>
      </c>
      <c r="E12" s="84">
        <f>NETWORKDAYS(C12,D12,Календарь!$A$5:$A$29)</f>
        <v/>
      </c>
      <c r="F12" s="23">
        <f>SUMIF(Капасити!$A$5:$A$147,A12,Капасити!$H$5:$H$147)</f>
        <v/>
      </c>
      <c r="G12" s="85">
        <f>SUMIF(Бэклог!$M$5:$M$44,A12,Бэклог!$E$5:$E$44)</f>
        <v/>
      </c>
      <c r="H12" s="8">
        <f>IFERROR(G12/F12,0)</f>
        <v/>
      </c>
      <c r="I12" s="85">
        <f>IF(K12="Закрыт",SUMIFS(Бэклог!$E$5:$E$44,Бэклог!$M$5:$M$44,A12,Бэклог!$F$5:$F$44,"Готово"),"")</f>
        <v/>
      </c>
      <c r="J12" s="8">
        <f>IF(I12="","",IFERROR(I12/G12,0))</f>
        <v/>
      </c>
      <c r="K12" s="86">
        <f>IF(Параметры!$B$10&gt;D12,"Закрыт",IF(Параметры!$B$10&gt;=C12,"Активный","Планируется"))</f>
        <v/>
      </c>
      <c r="L12" s="10" t="n"/>
      <c r="M12" s="162">
        <f>"Q"&amp;ROUNDUP(MONTH(C12)/3,0)&amp;" "&amp;YEAR(C12)</f>
        <v/>
      </c>
      <c r="AB12" s="27">
        <f>IF(AND($J12&lt;&gt;"",$J12&gt;=$C$29),$J12,NA())</f>
        <v/>
      </c>
      <c r="AC12" s="27">
        <f>IF(AND($J12&lt;&gt;"",$J12&gt;=$C$30,$J12&lt;$C$29),$J12,NA())</f>
        <v/>
      </c>
      <c r="AD12" s="27">
        <f>IF(AND($J12&lt;&gt;"",$J12&lt;$C$30),$J12,NA())</f>
        <v/>
      </c>
      <c r="AE12" s="27" t="n">
        <v>1</v>
      </c>
    </row>
    <row r="13">
      <c r="A13" s="9" t="n">
        <v>8</v>
      </c>
      <c r="B13" s="10" t="inlineStr">
        <is>
          <t>Спринт 8</t>
        </is>
      </c>
      <c r="C13" s="18">
        <f>$B$3+(A13-1)*14</f>
        <v/>
      </c>
      <c r="D13" s="18">
        <f>C13+11</f>
        <v/>
      </c>
      <c r="E13" s="84">
        <f>NETWORKDAYS(C13,D13,Календарь!$A$5:$A$29)</f>
        <v/>
      </c>
      <c r="F13" s="23">
        <f>SUMIF(Капасити!$A$5:$A$147,A13,Капасити!$H$5:$H$147)</f>
        <v/>
      </c>
      <c r="G13" s="85">
        <f>SUMIF(Бэклог!$M$5:$M$44,A13,Бэклог!$E$5:$E$44)</f>
        <v/>
      </c>
      <c r="H13" s="8">
        <f>IFERROR(G13/F13,0)</f>
        <v/>
      </c>
      <c r="I13" s="85">
        <f>IF(K13="Закрыт",SUMIFS(Бэклог!$E$5:$E$44,Бэклог!$M$5:$M$44,A13,Бэклог!$F$5:$F$44,"Готово"),"")</f>
        <v/>
      </c>
      <c r="J13" s="8">
        <f>IF(I13="","",IFERROR(I13/G13,0))</f>
        <v/>
      </c>
      <c r="K13" s="86">
        <f>IF(Параметры!$B$10&gt;D13,"Закрыт",IF(Параметры!$B$10&gt;=C13,"Активный","Планируется"))</f>
        <v/>
      </c>
      <c r="L13" s="10" t="n"/>
      <c r="M13" s="162">
        <f>"Q"&amp;ROUNDUP(MONTH(C13)/3,0)&amp;" "&amp;YEAR(C13)</f>
        <v/>
      </c>
      <c r="AB13" s="27">
        <f>IF(AND($J13&lt;&gt;"",$J13&gt;=$C$29),$J13,NA())</f>
        <v/>
      </c>
      <c r="AC13" s="27">
        <f>IF(AND($J13&lt;&gt;"",$J13&gt;=$C$30,$J13&lt;$C$29),$J13,NA())</f>
        <v/>
      </c>
      <c r="AD13" s="27">
        <f>IF(AND($J13&lt;&gt;"",$J13&lt;$C$30),$J13,NA())</f>
        <v/>
      </c>
      <c r="AE13" s="27" t="n">
        <v>1</v>
      </c>
    </row>
    <row r="14">
      <c r="A14" s="9" t="n">
        <v>9</v>
      </c>
      <c r="B14" s="10" t="inlineStr">
        <is>
          <t>Спринт 9</t>
        </is>
      </c>
      <c r="C14" s="18">
        <f>$B$3+(A14-1)*14</f>
        <v/>
      </c>
      <c r="D14" s="18">
        <f>C14+11</f>
        <v/>
      </c>
      <c r="E14" s="84">
        <f>NETWORKDAYS(C14,D14,Календарь!$A$5:$A$29)</f>
        <v/>
      </c>
      <c r="F14" s="23">
        <f>SUMIF(Капасити!$A$5:$A$147,A14,Капасити!$H$5:$H$147)</f>
        <v/>
      </c>
      <c r="G14" s="85">
        <f>SUMIF(Бэклог!$M$5:$M$44,A14,Бэклог!$E$5:$E$44)</f>
        <v/>
      </c>
      <c r="H14" s="8">
        <f>IFERROR(G14/F14,0)</f>
        <v/>
      </c>
      <c r="I14" s="85">
        <f>IF(K14="Закрыт",SUMIFS(Бэклог!$E$5:$E$44,Бэклог!$M$5:$M$44,A14,Бэклог!$F$5:$F$44,"Готово"),"")</f>
        <v/>
      </c>
      <c r="J14" s="8">
        <f>IF(I14="","",IFERROR(I14/G14,0))</f>
        <v/>
      </c>
      <c r="K14" s="86">
        <f>IF(Параметры!$B$10&gt;D14,"Закрыт",IF(Параметры!$B$10&gt;=C14,"Активный","Планируется"))</f>
        <v/>
      </c>
      <c r="L14" s="10" t="n"/>
      <c r="M14" s="162">
        <f>"Q"&amp;ROUNDUP(MONTH(C14)/3,0)&amp;" "&amp;YEAR(C14)</f>
        <v/>
      </c>
      <c r="AB14" s="27">
        <f>IF(AND($J14&lt;&gt;"",$J14&gt;=$C$29),$J14,NA())</f>
        <v/>
      </c>
      <c r="AC14" s="27">
        <f>IF(AND($J14&lt;&gt;"",$J14&gt;=$C$30,$J14&lt;$C$29),$J14,NA())</f>
        <v/>
      </c>
      <c r="AD14" s="27">
        <f>IF(AND($J14&lt;&gt;"",$J14&lt;$C$30),$J14,NA())</f>
        <v/>
      </c>
      <c r="AE14" s="27" t="n">
        <v>1</v>
      </c>
    </row>
    <row r="15">
      <c r="A15" s="9" t="n">
        <v>10</v>
      </c>
      <c r="B15" s="10" t="inlineStr">
        <is>
          <t>Спринт 10</t>
        </is>
      </c>
      <c r="C15" s="18">
        <f>$B$3+(A15-1)*14</f>
        <v/>
      </c>
      <c r="D15" s="18">
        <f>C15+11</f>
        <v/>
      </c>
      <c r="E15" s="84">
        <f>NETWORKDAYS(C15,D15,Календарь!$A$5:$A$29)</f>
        <v/>
      </c>
      <c r="F15" s="23">
        <f>SUMIF(Капасити!$A$5:$A$147,A15,Капасити!$H$5:$H$147)</f>
        <v/>
      </c>
      <c r="G15" s="85">
        <f>SUMIF(Бэклог!$M$5:$M$44,A15,Бэклог!$E$5:$E$44)</f>
        <v/>
      </c>
      <c r="H15" s="8">
        <f>IFERROR(G15/F15,0)</f>
        <v/>
      </c>
      <c r="I15" s="85">
        <f>IF(K15="Закрыт",SUMIFS(Бэклог!$E$5:$E$44,Бэклог!$M$5:$M$44,A15,Бэклог!$F$5:$F$44,"Готово"),"")</f>
        <v/>
      </c>
      <c r="J15" s="8">
        <f>IF(I15="","",IFERROR(I15/G15,0))</f>
        <v/>
      </c>
      <c r="K15" s="86">
        <f>IF(Параметры!$B$10&gt;D15,"Закрыт",IF(Параметры!$B$10&gt;=C15,"Активный","Планируется"))</f>
        <v/>
      </c>
      <c r="L15" s="10" t="n"/>
      <c r="M15" s="162">
        <f>"Q"&amp;ROUNDUP(MONTH(C15)/3,0)&amp;" "&amp;YEAR(C15)</f>
        <v/>
      </c>
      <c r="AB15" s="27">
        <f>IF(AND($J15&lt;&gt;"",$J15&gt;=$C$29),$J15,NA())</f>
        <v/>
      </c>
      <c r="AC15" s="27">
        <f>IF(AND($J15&lt;&gt;"",$J15&gt;=$C$30,$J15&lt;$C$29),$J15,NA())</f>
        <v/>
      </c>
      <c r="AD15" s="27">
        <f>IF(AND($J15&lt;&gt;"",$J15&lt;$C$30),$J15,NA())</f>
        <v/>
      </c>
      <c r="AE15" s="27" t="n">
        <v>1</v>
      </c>
    </row>
    <row r="16" ht="27.6" customHeight="1">
      <c r="A16" s="9" t="n">
        <v>11</v>
      </c>
      <c r="B16" s="10" t="inlineStr">
        <is>
          <t>Спринт 11</t>
        </is>
      </c>
      <c r="C16" s="18">
        <f>$B$3+(A16-1)*14</f>
        <v/>
      </c>
      <c r="D16" s="18">
        <f>C16+11</f>
        <v/>
      </c>
      <c r="E16" s="84">
        <f>NETWORKDAYS(C16,D16,Календарь!$A$5:$A$29)</f>
        <v/>
      </c>
      <c r="F16" s="23">
        <f>SUMIF(Капасити!$A$5:$A$147,A16,Капасити!$H$5:$H$147)</f>
        <v/>
      </c>
      <c r="G16" s="85">
        <f>SUMIF(Бэклог!$M$5:$M$44,A16,Бэклог!$E$5:$E$44)</f>
        <v/>
      </c>
      <c r="H16" s="8">
        <f>IFERROR(G16/F16,0)</f>
        <v/>
      </c>
      <c r="I16" s="85">
        <f>IF(K16="Закрыт",SUMIFS(Бэклог!$E$5:$E$44,Бэклог!$M$5:$M$44,A16,Бэклог!$F$5:$F$44,"Готово"),"")</f>
        <v/>
      </c>
      <c r="J16" s="8">
        <f>IF(I16="","",IFERROR(I16/G16,0))</f>
        <v/>
      </c>
      <c r="K16" s="86">
        <f>IF(Параметры!$B$10&gt;D16,"Закрыт",IF(Параметры!$B$10&gt;=C16,"Активный","Планируется"))</f>
        <v/>
      </c>
      <c r="L16" s="19" t="inlineStr">
        <is>
          <t>Новогодние праздники — сокращённый спринт</t>
        </is>
      </c>
      <c r="M16" s="162">
        <f>"Q"&amp;ROUNDUP(MONTH(C16)/3,0)&amp;" "&amp;YEAR(C16)</f>
        <v/>
      </c>
      <c r="AB16" s="27">
        <f>IF(AND($J16&lt;&gt;"",$J16&gt;=$C$29),$J16,NA())</f>
        <v/>
      </c>
      <c r="AC16" s="27">
        <f>IF(AND($J16&lt;&gt;"",$J16&gt;=$C$30,$J16&lt;$C$29),$J16,NA())</f>
        <v/>
      </c>
      <c r="AD16" s="27">
        <f>IF(AND($J16&lt;&gt;"",$J16&lt;$C$30),$J16,NA())</f>
        <v/>
      </c>
      <c r="AE16" s="27" t="n">
        <v>1</v>
      </c>
    </row>
    <row r="17">
      <c r="A17" s="11" t="n"/>
      <c r="B17" s="12" t="inlineStr">
        <is>
          <t>ИТОГО / среднее</t>
        </is>
      </c>
      <c r="C17" s="11" t="n"/>
      <c r="D17" s="11" t="n"/>
      <c r="E17" s="11" t="n"/>
      <c r="F17" s="21">
        <f>SUM(F6:F16)</f>
        <v/>
      </c>
      <c r="G17" s="21">
        <f>SUM(G6:G16)</f>
        <v/>
      </c>
      <c r="H17" s="20">
        <f>IFERROR(AVERAGE(H6:H16),0)</f>
        <v/>
      </c>
      <c r="I17" s="21">
        <f>SUM(I6:I16)</f>
        <v/>
      </c>
      <c r="J17" s="20">
        <f>IFERROR(I17/G17,0)</f>
        <v/>
      </c>
      <c r="K17" s="11" t="n"/>
      <c r="L17" s="11" t="n"/>
    </row>
    <row r="19" ht="17.4" customHeight="1">
      <c r="B19" s="1" t="inlineStr">
        <is>
          <t>Факт. velocity и выполнение (по закрытым спринтам)</t>
        </is>
      </c>
      <c r="E19" s="58" t="inlineStr">
        <is>
          <t>Прогноз завершения бэклога</t>
        </is>
      </c>
    </row>
    <row r="20">
      <c r="B20" s="4" t="inlineStr">
        <is>
          <t>Закрытых спринтов</t>
        </is>
      </c>
      <c r="C20" s="26">
        <f>COUNTIF(K6:K16,"Закрыт")</f>
        <v/>
      </c>
      <c r="E20" s="32" t="inlineStr">
        <is>
          <t>Остаток бэклога (незакр., дн)</t>
        </is>
      </c>
      <c r="F20" s="87">
        <f>SUMIF(K6:K16,"&lt;&gt;Закрыт",G6:G16)</f>
        <v/>
      </c>
    </row>
    <row r="21">
      <c r="B21" s="4" t="inlineStr">
        <is>
          <t>Средняя velocity (дн)</t>
        </is>
      </c>
      <c r="C21" s="23">
        <f>IFERROR(AVERAGEIF(K6:K16,"Закрыт",I6:I16),0)</f>
        <v/>
      </c>
      <c r="E21" s="32" t="inlineStr">
        <is>
          <t>Средняя velocity (дн)</t>
        </is>
      </c>
      <c r="F21" s="35">
        <f>C21</f>
        <v/>
      </c>
    </row>
    <row r="22">
      <c r="B22" s="4" t="inlineStr">
        <is>
          <t>Средний % выполнения</t>
        </is>
      </c>
      <c r="C22" s="8">
        <f>IFERROR(AVERAGEIF(K6:K16,"Закрыт",J6:J16),0)</f>
        <v/>
      </c>
      <c r="E22" s="32" t="inlineStr">
        <is>
          <t>Спринтов до завершения</t>
        </is>
      </c>
      <c r="F22" s="61">
        <f>IFERROR(ROUNDUP(F20/F21,0),"")</f>
        <v/>
      </c>
    </row>
    <row r="23">
      <c r="B23" s="4" t="inlineStr">
        <is>
          <t>Всего выполнено (дн)</t>
        </is>
      </c>
      <c r="C23" s="23">
        <f>SUMIF(K6:K16,"Закрыт",I6:I16)</f>
        <v/>
      </c>
      <c r="E23" s="32" t="inlineStr">
        <is>
          <t>Ожидаемая дата</t>
        </is>
      </c>
      <c r="F23" s="62">
        <f>IFERROR($B$3+(Параметры!$B$13-1+F22)*14+11,"")</f>
        <v/>
      </c>
    </row>
    <row r="24">
      <c r="B24" s="4" t="inlineStr">
        <is>
          <t>Прогноз velocity на спринт</t>
        </is>
      </c>
      <c r="C24" s="23">
        <f>IFERROR(AVERAGEIF(K6:K16,"Закрыт",I6:I16),0)</f>
        <v/>
      </c>
      <c r="E24" s="38" t="inlineStr">
        <is>
          <t>Остаток = план незакрытых спринтов / средняя velocity закрытых.</t>
        </is>
      </c>
    </row>
    <row r="25">
      <c r="B25" s="2" t="inlineStr">
        <is>
          <t>Velocity = фактически закрытая работа (дн) за спринт.</t>
        </is>
      </c>
      <c r="E25" s="88" t="inlineStr">
        <is>
          <t>Velocity мин / макс (дн)</t>
        </is>
      </c>
      <c r="F25" s="89">
        <f>IFERROR(_xlfn.MINIFS(I6:I16,K6:K16,"Закрыт"),0)&amp;" / "&amp;IFERROR(_xlfn.MAXIFS(I6:I16,K6:K16,"Закрыт"),0)</f>
        <v/>
      </c>
    </row>
    <row r="26">
      <c r="B26" s="2" t="inlineStr">
        <is>
          <t>% выполнения = Факт / План. Прогноз = средняя velocity закрытых спринтов.</t>
        </is>
      </c>
      <c r="E26" s="88" t="inlineStr">
        <is>
          <t>Спринтов (оптимист)</t>
        </is>
      </c>
      <c r="F26" s="90">
        <f>IFERROR(ROUNDUP(F20/_xlfn.MAXIFS(I6:I16,K6:K16,"Закрыт"),0),"")</f>
        <v/>
      </c>
    </row>
    <row r="27">
      <c r="E27" s="88" t="inlineStr">
        <is>
          <t>Спринтов (пессимист)</t>
        </is>
      </c>
      <c r="F27" s="90">
        <f>IFERROR(ROUNDUP(F20/_xlfn.MINIFS(I6:I16,K6:K16,"Закрыт"),0),"")</f>
        <v/>
      </c>
    </row>
    <row r="28" ht="22.8" customHeight="1">
      <c r="B28" s="28" t="inlineStr">
        <is>
          <t>Пороги раскраски (% выполнения)</t>
        </is>
      </c>
      <c r="E28" s="88" t="inlineStr">
        <is>
          <t>Дата оптим/пессим</t>
        </is>
      </c>
      <c r="F28" s="89">
        <f>IFERROR(TEXT($B$3+(Параметры!$B$13-1+F26)*14+11,"DD.MM.YY")&amp;" – "&amp;TEXT($B$3+(Параметры!$B$13-1+F27)*14+11,"DD.MM.YY"),"")</f>
        <v/>
      </c>
    </row>
    <row r="29">
      <c r="B29" s="29" t="inlineStr">
        <is>
          <t>🟢 Зелёный, ≥</t>
        </is>
      </c>
      <c r="C29" s="30" t="n">
        <v>0.9</v>
      </c>
    </row>
    <row r="30">
      <c r="B30" s="29" t="inlineStr">
        <is>
          <t>🟡 Жёлтый, ≥</t>
        </is>
      </c>
      <c r="C30" s="30" t="n">
        <v>0.7</v>
      </c>
    </row>
    <row r="31">
      <c r="B31" s="31" t="inlineStr">
        <is>
          <t>🔴 Красный — ниже жёлтого порога.</t>
        </is>
      </c>
    </row>
    <row r="33" ht="15.6" customHeight="1">
      <c r="A33" s="58" t="inlineStr">
        <is>
          <t>Say/Do и перенос задач</t>
        </is>
      </c>
    </row>
    <row r="34" ht="41.4" customHeight="1">
      <c r="A34" s="39" t="inlineStr">
        <is>
          <t>Спринт</t>
        </is>
      </c>
      <c r="B34" s="39" t="inlineStr">
        <is>
          <t>Задач
план</t>
        </is>
      </c>
      <c r="C34" s="39" t="inlineStr">
        <is>
          <t>Задач
факт</t>
        </is>
      </c>
      <c r="D34" s="39" t="inlineStr">
        <is>
          <t>Перенос
задач</t>
        </is>
      </c>
      <c r="E34" s="39" t="inlineStr">
        <is>
          <t>Say/Do
(задачи)</t>
        </is>
      </c>
      <c r="F34" s="39" t="inlineStr">
        <is>
          <t>Перенос
(дн)</t>
        </is>
      </c>
      <c r="G34" s="39" t="inlineStr">
        <is>
          <t>Say/Do
(дни)</t>
        </is>
      </c>
      <c r="H34" s="92" t="inlineStr">
        <is>
          <t>Добавлено
(дн)</t>
        </is>
      </c>
      <c r="I34" s="92" t="inlineStr">
        <is>
          <t>% разду-
вания</t>
        </is>
      </c>
    </row>
    <row r="35" ht="27.6" customHeight="1">
      <c r="A35" s="63" t="inlineStr">
        <is>
          <t>Спринт 1</t>
        </is>
      </c>
      <c r="B35" s="50" t="n">
        <v>8</v>
      </c>
      <c r="C35" s="50" t="n">
        <v>7</v>
      </c>
      <c r="D35" s="64">
        <f>IF(AND(B35&lt;&gt;"",C35&lt;&gt;""),B35-C35,"")</f>
        <v/>
      </c>
      <c r="E35" s="36">
        <f>IF(AND(B35&lt;&gt;"",C35&lt;&gt;""),IFERROR(C35/B35,""),"")</f>
        <v/>
      </c>
      <c r="F35" s="35">
        <f>IF(I6="","",MAX(0,G6-I6))</f>
        <v/>
      </c>
      <c r="G35" s="36">
        <f>IF(J6="","",J6)</f>
        <v/>
      </c>
      <c r="H35" s="102">
        <f>SUMIFS(Бэклог!$E$5:$E$44,Бэклог!$M$5:$M$44,1,Бэклог!$N$5:$N$44,"Да")</f>
        <v/>
      </c>
      <c r="I35" s="108">
        <f>IFERROR(H35/G6,0)</f>
        <v/>
      </c>
    </row>
    <row r="36" ht="27.6" customHeight="1">
      <c r="A36" s="63" t="inlineStr">
        <is>
          <t>Спринт 2</t>
        </is>
      </c>
      <c r="B36" s="50" t="n">
        <v>10</v>
      </c>
      <c r="C36" s="50" t="n">
        <v>9</v>
      </c>
      <c r="D36" s="64">
        <f>IF(AND(B36&lt;&gt;"",C36&lt;&gt;""),B36-C36,"")</f>
        <v/>
      </c>
      <c r="E36" s="36">
        <f>IF(AND(B36&lt;&gt;"",C36&lt;&gt;""),IFERROR(C36/B36,""),"")</f>
        <v/>
      </c>
      <c r="F36" s="35">
        <f>IF(I7="","",MAX(0,G7-I7))</f>
        <v/>
      </c>
      <c r="G36" s="36">
        <f>IF(J7="","",J7)</f>
        <v/>
      </c>
      <c r="H36" s="102">
        <f>SUMIFS(Бэклог!$E$5:$E$44,Бэклог!$M$5:$M$44,2,Бэклог!$N$5:$N$44,"Да")</f>
        <v/>
      </c>
      <c r="I36" s="108">
        <f>IFERROR(H36/G7,0)</f>
        <v/>
      </c>
    </row>
    <row r="37" ht="27.6" customHeight="1">
      <c r="A37" s="63" t="inlineStr">
        <is>
          <t>Спринт 3</t>
        </is>
      </c>
      <c r="B37" s="50" t="n"/>
      <c r="C37" s="50" t="n"/>
      <c r="D37" s="64">
        <f>IF(AND(B37&lt;&gt;"",C37&lt;&gt;""),B37-C37,"")</f>
        <v/>
      </c>
      <c r="E37" s="36">
        <f>IF(AND(B37&lt;&gt;"",C37&lt;&gt;""),IFERROR(C37/B37,""),"")</f>
        <v/>
      </c>
      <c r="F37" s="35">
        <f>IF(I8="","",MAX(0,G8-I8))</f>
        <v/>
      </c>
      <c r="G37" s="36">
        <f>IF(J8="","",J8)</f>
        <v/>
      </c>
      <c r="H37" s="102">
        <f>SUMIFS(Бэклог!$E$5:$E$44,Бэклог!$M$5:$M$44,3,Бэклог!$N$5:$N$44,"Да")</f>
        <v/>
      </c>
      <c r="I37" s="108">
        <f>IFERROR(H37/G8,0)</f>
        <v/>
      </c>
    </row>
    <row r="38" ht="27.6" customHeight="1">
      <c r="A38" s="63" t="inlineStr">
        <is>
          <t>Спринт 4</t>
        </is>
      </c>
      <c r="B38" s="50" t="n"/>
      <c r="C38" s="50" t="n"/>
      <c r="D38" s="64">
        <f>IF(AND(B38&lt;&gt;"",C38&lt;&gt;""),B38-C38,"")</f>
        <v/>
      </c>
      <c r="E38" s="36">
        <f>IF(AND(B38&lt;&gt;"",C38&lt;&gt;""),IFERROR(C38/B38,""),"")</f>
        <v/>
      </c>
      <c r="F38" s="35">
        <f>IF(I9="","",MAX(0,G9-I9))</f>
        <v/>
      </c>
      <c r="G38" s="36">
        <f>IF(J9="","",J9)</f>
        <v/>
      </c>
      <c r="H38" s="102">
        <f>SUMIFS(Бэклог!$E$5:$E$44,Бэклог!$M$5:$M$44,4,Бэклог!$N$5:$N$44,"Да")</f>
        <v/>
      </c>
      <c r="I38" s="108">
        <f>IFERROR(H38/G9,0)</f>
        <v/>
      </c>
    </row>
    <row r="39" ht="27.6" customHeight="1">
      <c r="A39" s="63" t="inlineStr">
        <is>
          <t>Спринт 5</t>
        </is>
      </c>
      <c r="B39" s="50" t="n"/>
      <c r="C39" s="50" t="n"/>
      <c r="D39" s="64">
        <f>IF(AND(B39&lt;&gt;"",C39&lt;&gt;""),B39-C39,"")</f>
        <v/>
      </c>
      <c r="E39" s="36">
        <f>IF(AND(B39&lt;&gt;"",C39&lt;&gt;""),IFERROR(C39/B39,""),"")</f>
        <v/>
      </c>
      <c r="F39" s="35">
        <f>IF(I10="","",MAX(0,G10-I10))</f>
        <v/>
      </c>
      <c r="G39" s="36">
        <f>IF(J10="","",J10)</f>
        <v/>
      </c>
      <c r="H39" s="102">
        <f>SUMIFS(Бэклог!$E$5:$E$44,Бэклог!$M$5:$M$44,5,Бэклог!$N$5:$N$44,"Да")</f>
        <v/>
      </c>
      <c r="I39" s="108">
        <f>IFERROR(H39/G10,0)</f>
        <v/>
      </c>
    </row>
    <row r="40" ht="27.6" customHeight="1">
      <c r="A40" s="63" t="inlineStr">
        <is>
          <t>Спринт 6</t>
        </is>
      </c>
      <c r="B40" s="50" t="n"/>
      <c r="C40" s="50" t="n"/>
      <c r="D40" s="64">
        <f>IF(AND(B40&lt;&gt;"",C40&lt;&gt;""),B40-C40,"")</f>
        <v/>
      </c>
      <c r="E40" s="36">
        <f>IF(AND(B40&lt;&gt;"",C40&lt;&gt;""),IFERROR(C40/B40,""),"")</f>
        <v/>
      </c>
      <c r="F40" s="35">
        <f>IF(I11="","",MAX(0,G11-I11))</f>
        <v/>
      </c>
      <c r="G40" s="36">
        <f>IF(J11="","",J11)</f>
        <v/>
      </c>
      <c r="H40" s="102">
        <f>SUMIFS(Бэклог!$E$5:$E$44,Бэклог!$M$5:$M$44,6,Бэклог!$N$5:$N$44,"Да")</f>
        <v/>
      </c>
      <c r="I40" s="108">
        <f>IFERROR(H40/G11,0)</f>
        <v/>
      </c>
    </row>
    <row r="41" ht="27.6" customHeight="1">
      <c r="A41" s="63" t="inlineStr">
        <is>
          <t>Спринт 7</t>
        </is>
      </c>
      <c r="B41" s="50" t="n"/>
      <c r="C41" s="50" t="n"/>
      <c r="D41" s="64">
        <f>IF(AND(B41&lt;&gt;"",C41&lt;&gt;""),B41-C41,"")</f>
        <v/>
      </c>
      <c r="E41" s="36">
        <f>IF(AND(B41&lt;&gt;"",C41&lt;&gt;""),IFERROR(C41/B41,""),"")</f>
        <v/>
      </c>
      <c r="F41" s="35">
        <f>IF(I12="","",MAX(0,G12-I12))</f>
        <v/>
      </c>
      <c r="G41" s="36">
        <f>IF(J12="","",J12)</f>
        <v/>
      </c>
      <c r="H41" s="102">
        <f>SUMIFS(Бэклог!$E$5:$E$44,Бэклог!$M$5:$M$44,7,Бэклог!$N$5:$N$44,"Да")</f>
        <v/>
      </c>
      <c r="I41" s="108">
        <f>IFERROR(H41/G12,0)</f>
        <v/>
      </c>
    </row>
    <row r="42" ht="27.6" customHeight="1">
      <c r="A42" s="63" t="inlineStr">
        <is>
          <t>Спринт 8</t>
        </is>
      </c>
      <c r="B42" s="50" t="n"/>
      <c r="C42" s="50" t="n"/>
      <c r="D42" s="64">
        <f>IF(AND(B42&lt;&gt;"",C42&lt;&gt;""),B42-C42,"")</f>
        <v/>
      </c>
      <c r="E42" s="36">
        <f>IF(AND(B42&lt;&gt;"",C42&lt;&gt;""),IFERROR(C42/B42,""),"")</f>
        <v/>
      </c>
      <c r="F42" s="35">
        <f>IF(I13="","",MAX(0,G13-I13))</f>
        <v/>
      </c>
      <c r="G42" s="36">
        <f>IF(J13="","",J13)</f>
        <v/>
      </c>
      <c r="H42" s="102">
        <f>SUMIFS(Бэклог!$E$5:$E$44,Бэклог!$M$5:$M$44,8,Бэклог!$N$5:$N$44,"Да")</f>
        <v/>
      </c>
      <c r="I42" s="108">
        <f>IFERROR(H42/G13,0)</f>
        <v/>
      </c>
    </row>
    <row r="43" ht="27.6" customHeight="1">
      <c r="A43" s="63" t="inlineStr">
        <is>
          <t>Спринт 9</t>
        </is>
      </c>
      <c r="B43" s="50" t="n"/>
      <c r="C43" s="50" t="n"/>
      <c r="D43" s="64">
        <f>IF(AND(B43&lt;&gt;"",C43&lt;&gt;""),B43-C43,"")</f>
        <v/>
      </c>
      <c r="E43" s="36">
        <f>IF(AND(B43&lt;&gt;"",C43&lt;&gt;""),IFERROR(C43/B43,""),"")</f>
        <v/>
      </c>
      <c r="F43" s="35">
        <f>IF(I14="","",MAX(0,G14-I14))</f>
        <v/>
      </c>
      <c r="G43" s="36">
        <f>IF(J14="","",J14)</f>
        <v/>
      </c>
      <c r="H43" s="102">
        <f>SUMIFS(Бэклог!$E$5:$E$44,Бэклог!$M$5:$M$44,9,Бэклог!$N$5:$N$44,"Да")</f>
        <v/>
      </c>
      <c r="I43" s="108">
        <f>IFERROR(H43/G14,0)</f>
        <v/>
      </c>
    </row>
    <row r="44" ht="27.6" customHeight="1">
      <c r="A44" s="63" t="inlineStr">
        <is>
          <t>Спринт 10</t>
        </is>
      </c>
      <c r="B44" s="50" t="n"/>
      <c r="C44" s="50" t="n"/>
      <c r="D44" s="64">
        <f>IF(AND(B44&lt;&gt;"",C44&lt;&gt;""),B44-C44,"")</f>
        <v/>
      </c>
      <c r="E44" s="36">
        <f>IF(AND(B44&lt;&gt;"",C44&lt;&gt;""),IFERROR(C44/B44,""),"")</f>
        <v/>
      </c>
      <c r="F44" s="35">
        <f>IF(I15="","",MAX(0,G15-I15))</f>
        <v/>
      </c>
      <c r="G44" s="36">
        <f>IF(J15="","",J15)</f>
        <v/>
      </c>
      <c r="H44" s="102">
        <f>SUMIFS(Бэклог!$E$5:$E$44,Бэклог!$M$5:$M$44,10,Бэклог!$N$5:$N$44,"Да")</f>
        <v/>
      </c>
      <c r="I44" s="108">
        <f>IFERROR(H44/G15,0)</f>
        <v/>
      </c>
    </row>
    <row r="45" ht="27.6" customHeight="1">
      <c r="A45" s="63" t="inlineStr">
        <is>
          <t>Спринт 11</t>
        </is>
      </c>
      <c r="B45" s="50" t="n"/>
      <c r="C45" s="50" t="n"/>
      <c r="D45" s="64">
        <f>IF(AND(B45&lt;&gt;"",C45&lt;&gt;""),B45-C45,"")</f>
        <v/>
      </c>
      <c r="E45" s="36">
        <f>IF(AND(B45&lt;&gt;"",C45&lt;&gt;""),IFERROR(C45/B45,""),"")</f>
        <v/>
      </c>
      <c r="F45" s="35">
        <f>IF(I16="","",MAX(0,G16-I16))</f>
        <v/>
      </c>
      <c r="G45" s="36">
        <f>IF(J16="","",J16)</f>
        <v/>
      </c>
      <c r="H45" s="102">
        <f>SUMIFS(Бэклог!$E$5:$E$44,Бэклог!$M$5:$M$44,11,Бэклог!$N$5:$N$44,"Да")</f>
        <v/>
      </c>
      <c r="I45" s="108">
        <f>IFERROR(H45/G16,0)</f>
        <v/>
      </c>
    </row>
    <row r="46">
      <c r="A46" s="53" t="inlineStr">
        <is>
          <t>ИТОГО / среднее</t>
        </is>
      </c>
      <c r="B46" s="65" t="n"/>
      <c r="C46" s="65" t="n"/>
      <c r="D46" s="53">
        <f>SUM(D35:D45)</f>
        <v/>
      </c>
      <c r="E46" s="66">
        <f>IFERROR(AVERAGEIF(C35:C45,"&lt;&gt;",E35:E45),0)</f>
        <v/>
      </c>
      <c r="F46" s="54">
        <f>SUM(F35:F45)</f>
        <v/>
      </c>
      <c r="G46" s="65" t="n"/>
    </row>
    <row r="48" ht="15.6" customHeight="1">
      <c r="A48" s="58" t="inlineStr">
        <is>
          <t>Фактическая загрузка и калибровка Focus factor</t>
        </is>
      </c>
    </row>
    <row r="49" ht="27.6" customHeight="1">
      <c r="A49" s="39" t="inlineStr">
        <is>
          <t>Спринт</t>
        </is>
      </c>
      <c r="B49" s="39" t="inlineStr">
        <is>
          <t>Капасити
(дн)</t>
        </is>
      </c>
      <c r="C49" s="39" t="inlineStr">
        <is>
          <t>Факт
(дн)</t>
        </is>
      </c>
      <c r="D49" s="39" t="inlineStr">
        <is>
          <t>Загрузка
факт</t>
        </is>
      </c>
      <c r="E49" s="39" t="inlineStr">
        <is>
          <t>Факт
FF</t>
        </is>
      </c>
    </row>
    <row r="50" ht="27.6" customHeight="1">
      <c r="A50" s="63" t="inlineStr">
        <is>
          <t>Спринт 1</t>
        </is>
      </c>
      <c r="B50" s="35">
        <f>F6</f>
        <v/>
      </c>
      <c r="C50" s="35">
        <f>IF(I6="","",I6)</f>
        <v/>
      </c>
      <c r="D50" s="36">
        <f>IF(I6="","",IFERROR(I6/F6,0))</f>
        <v/>
      </c>
      <c r="E50" s="36">
        <f>IF(I6="","",IFERROR(I6/(F6/Параметры!$B$9),0))</f>
        <v/>
      </c>
    </row>
    <row r="51" ht="27.6" customHeight="1">
      <c r="A51" s="63" t="inlineStr">
        <is>
          <t>Спринт 2</t>
        </is>
      </c>
      <c r="B51" s="35">
        <f>F7</f>
        <v/>
      </c>
      <c r="C51" s="35">
        <f>IF(I7="","",I7)</f>
        <v/>
      </c>
      <c r="D51" s="36">
        <f>IF(I7="","",IFERROR(I7/F7,0))</f>
        <v/>
      </c>
      <c r="E51" s="36">
        <f>IF(I7="","",IFERROR(I7/(F7/Параметры!$B$9),0))</f>
        <v/>
      </c>
    </row>
    <row r="52" ht="27.6" customHeight="1">
      <c r="A52" s="63" t="inlineStr">
        <is>
          <t>Спринт 3</t>
        </is>
      </c>
      <c r="B52" s="35">
        <f>F8</f>
        <v/>
      </c>
      <c r="C52" s="35">
        <f>IF(I8="","",I8)</f>
        <v/>
      </c>
      <c r="D52" s="36">
        <f>IF(I8="","",IFERROR(I8/F8,0))</f>
        <v/>
      </c>
      <c r="E52" s="36">
        <f>IF(I8="","",IFERROR(I8/(F8/Параметры!$B$9),0))</f>
        <v/>
      </c>
    </row>
    <row r="53" ht="27.6" customHeight="1">
      <c r="A53" s="63" t="inlineStr">
        <is>
          <t>Спринт 4</t>
        </is>
      </c>
      <c r="B53" s="35">
        <f>F9</f>
        <v/>
      </c>
      <c r="C53" s="35">
        <f>IF(I9="","",I9)</f>
        <v/>
      </c>
      <c r="D53" s="36">
        <f>IF(I9="","",IFERROR(I9/F9,0))</f>
        <v/>
      </c>
      <c r="E53" s="36">
        <f>IF(I9="","",IFERROR(I9/(F9/Параметры!$B$9),0))</f>
        <v/>
      </c>
    </row>
    <row r="54" ht="27.6" customHeight="1">
      <c r="A54" s="63" t="inlineStr">
        <is>
          <t>Спринт 5</t>
        </is>
      </c>
      <c r="B54" s="35">
        <f>F10</f>
        <v/>
      </c>
      <c r="C54" s="35">
        <f>IF(I10="","",I10)</f>
        <v/>
      </c>
      <c r="D54" s="36">
        <f>IF(I10="","",IFERROR(I10/F10,0))</f>
        <v/>
      </c>
      <c r="E54" s="36">
        <f>IF(I10="","",IFERROR(I10/(F10/Параметры!$B$9),0))</f>
        <v/>
      </c>
    </row>
    <row r="55" ht="27.6" customHeight="1">
      <c r="A55" s="63" t="inlineStr">
        <is>
          <t>Спринт 6</t>
        </is>
      </c>
      <c r="B55" s="35">
        <f>F11</f>
        <v/>
      </c>
      <c r="C55" s="35">
        <f>IF(I11="","",I11)</f>
        <v/>
      </c>
      <c r="D55" s="36">
        <f>IF(I11="","",IFERROR(I11/F11,0))</f>
        <v/>
      </c>
      <c r="E55" s="36">
        <f>IF(I11="","",IFERROR(I11/(F11/Параметры!$B$9),0))</f>
        <v/>
      </c>
    </row>
    <row r="56" ht="27.6" customHeight="1">
      <c r="A56" s="63" t="inlineStr">
        <is>
          <t>Спринт 7</t>
        </is>
      </c>
      <c r="B56" s="35">
        <f>F12</f>
        <v/>
      </c>
      <c r="C56" s="35">
        <f>IF(I12="","",I12)</f>
        <v/>
      </c>
      <c r="D56" s="36">
        <f>IF(I12="","",IFERROR(I12/F12,0))</f>
        <v/>
      </c>
      <c r="E56" s="36">
        <f>IF(I12="","",IFERROR(I12/(F12/Параметры!$B$9),0))</f>
        <v/>
      </c>
    </row>
    <row r="57" ht="27.6" customHeight="1">
      <c r="A57" s="63" t="inlineStr">
        <is>
          <t>Спринт 8</t>
        </is>
      </c>
      <c r="B57" s="35">
        <f>F13</f>
        <v/>
      </c>
      <c r="C57" s="35">
        <f>IF(I13="","",I13)</f>
        <v/>
      </c>
      <c r="D57" s="36">
        <f>IF(I13="","",IFERROR(I13/F13,0))</f>
        <v/>
      </c>
      <c r="E57" s="36">
        <f>IF(I13="","",IFERROR(I13/(F13/Параметры!$B$9),0))</f>
        <v/>
      </c>
    </row>
    <row r="58" ht="27.6" customHeight="1">
      <c r="A58" s="63" t="inlineStr">
        <is>
          <t>Спринт 9</t>
        </is>
      </c>
      <c r="B58" s="35">
        <f>F14</f>
        <v/>
      </c>
      <c r="C58" s="35">
        <f>IF(I14="","",I14)</f>
        <v/>
      </c>
      <c r="D58" s="36">
        <f>IF(I14="","",IFERROR(I14/F14,0))</f>
        <v/>
      </c>
      <c r="E58" s="36">
        <f>IF(I14="","",IFERROR(I14/(F14/Параметры!$B$9),0))</f>
        <v/>
      </c>
    </row>
    <row r="59" ht="27.6" customHeight="1">
      <c r="A59" s="63" t="inlineStr">
        <is>
          <t>Спринт 10</t>
        </is>
      </c>
      <c r="B59" s="35">
        <f>F15</f>
        <v/>
      </c>
      <c r="C59" s="35">
        <f>IF(I15="","",I15)</f>
        <v/>
      </c>
      <c r="D59" s="36">
        <f>IF(I15="","",IFERROR(I15/F15,0))</f>
        <v/>
      </c>
      <c r="E59" s="36">
        <f>IF(I15="","",IFERROR(I15/(F15/Параметры!$B$9),0))</f>
        <v/>
      </c>
    </row>
    <row r="60" ht="27.6" customHeight="1">
      <c r="A60" s="63" t="inlineStr">
        <is>
          <t>Спринт 11</t>
        </is>
      </c>
      <c r="B60" s="35">
        <f>F16</f>
        <v/>
      </c>
      <c r="C60" s="35">
        <f>IF(I16="","",I16)</f>
        <v/>
      </c>
      <c r="D60" s="36">
        <f>IF(I16="","",IFERROR(I16/F16,0))</f>
        <v/>
      </c>
      <c r="E60" s="36">
        <f>IF(I16="","",IFERROR(I16/(F16/Параметры!$B$9),0))</f>
        <v/>
      </c>
    </row>
    <row r="61">
      <c r="A61" s="53" t="inlineStr">
        <is>
          <t>Среднее (закрытые) → рекоменд. FF</t>
        </is>
      </c>
      <c r="B61" s="65" t="n"/>
      <c r="C61" s="65" t="n"/>
      <c r="D61" s="66">
        <f>IFERROR(AVERAGEIF(C50:C60,"&lt;&gt;",D50:D60),0)</f>
        <v/>
      </c>
      <c r="E61" s="66">
        <f>IFERROR(AVERAGEIF(C50:C60,"&lt;&gt;",E50:E60),0)</f>
        <v/>
      </c>
    </row>
    <row r="62">
      <c r="A62" s="38" t="inlineStr">
        <is>
          <t>«Факт FF» — ориентир для параметра Focus factor на «Параметрах».</t>
        </is>
      </c>
    </row>
  </sheetData>
  <dataValidations count="1">
    <dataValidation sqref="K6:K16" showDropDown="0" showInputMessage="0" showErrorMessage="0" allowBlank="1" promptTitle="Статус спринта" prompt="Планируется / Активный / Закрыт" type="list">
      <formula1>"Планируется,Активный,Закрыт"</formula1>
    </dataValidation>
  </dataValidations>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H8"/>
  <sheetViews>
    <sheetView showGridLines="0" workbookViewId="0">
      <pane ySplit="4" topLeftCell="A5" activePane="bottomLeft" state="frozen"/>
      <selection pane="bottomLeft" activeCell="H18" sqref="H18"/>
    </sheetView>
  </sheetViews>
  <sheetFormatPr baseColWidth="8" defaultRowHeight="14.4"/>
  <cols>
    <col width="11" customWidth="1" min="1" max="1"/>
    <col width="9" customWidth="1" min="2" max="2"/>
    <col width="14" customWidth="1" min="3" max="3"/>
    <col width="10" customWidth="1" min="4" max="4"/>
    <col width="11" customWidth="1" min="5" max="5"/>
    <col width="10" customWidth="1" min="6" max="6"/>
    <col width="11" customWidth="1" min="7" max="7"/>
    <col width="36" customWidth="1" min="8" max="8"/>
  </cols>
  <sheetData>
    <row r="1" ht="17.4" customHeight="1">
      <c r="A1" s="163" t="inlineStr">
        <is>
          <t>Поквартальное планирование</t>
        </is>
      </c>
    </row>
    <row r="2">
      <c r="A2" s="164" t="inlineStr">
        <is>
          <t>Агрегация спринтов по кварталам: ёмкость, план, факт и % выполнения. Кварталы — из дат спринтов.</t>
        </is>
      </c>
    </row>
    <row r="4" ht="41.4" customHeight="1">
      <c r="A4" s="161" t="inlineStr">
        <is>
          <t>Квартал</t>
        </is>
      </c>
      <c r="B4" s="161" t="inlineStr">
        <is>
          <t>Спринтов</t>
        </is>
      </c>
      <c r="C4" s="161" t="inlineStr">
        <is>
          <t>Трудомощность
(дн)</t>
        </is>
      </c>
      <c r="D4" s="161" t="inlineStr">
        <is>
          <t>План
(дн)</t>
        </is>
      </c>
      <c r="E4" s="161" t="inlineStr">
        <is>
          <t>Velocity
(дн)</t>
        </is>
      </c>
      <c r="F4" s="161" t="inlineStr">
        <is>
          <t>Загрузка</t>
        </is>
      </c>
      <c r="G4" s="161" t="inlineStr">
        <is>
          <t>% выпол-
нения</t>
        </is>
      </c>
      <c r="H4" s="161" t="inlineStr">
        <is>
          <t>Ключевые вехи / эпики</t>
        </is>
      </c>
    </row>
    <row r="5" ht="27.6" customHeight="1">
      <c r="A5" s="165" t="inlineStr">
        <is>
          <t>Q3 2026</t>
        </is>
      </c>
      <c r="B5" s="166">
        <f>COUNTIF('Дорожная карта'!$M$6:$M$16,A5)</f>
        <v/>
      </c>
      <c r="C5" s="167">
        <f>SUMIF('Дорожная карта'!$M$6:$M$16,A5,'Дорожная карта'!$F$6:$F$16)</f>
        <v/>
      </c>
      <c r="D5" s="167">
        <f>SUMIF('Дорожная карта'!$M$6:$M$16,A5,'Дорожная карта'!$G$6:$G$16)</f>
        <v/>
      </c>
      <c r="E5" s="167">
        <f>SUMIF('Дорожная карта'!$M$6:$M$16,A5,'Дорожная карта'!$I$6:$I$16)</f>
        <v/>
      </c>
      <c r="F5" s="168">
        <f>IFERROR(D5/C5,0)</f>
        <v/>
      </c>
      <c r="G5" s="169">
        <f>IFERROR(E5/D5,0)</f>
        <v/>
      </c>
      <c r="H5" s="244" t="inlineStr">
        <is>
          <t>MVP оформления заказа, интеграция оплаты</t>
        </is>
      </c>
    </row>
    <row r="6">
      <c r="A6" s="165" t="inlineStr">
        <is>
          <t>Q4 2026</t>
        </is>
      </c>
      <c r="B6" s="166">
        <f>COUNTIF('Дорожная карта'!$M$6:$M$16,A6)</f>
        <v/>
      </c>
      <c r="C6" s="167">
        <f>SUMIF('Дорожная карта'!$M$6:$M$16,A6,'Дорожная карта'!$F$6:$F$16)</f>
        <v/>
      </c>
      <c r="D6" s="167">
        <f>SUMIF('Дорожная карта'!$M$6:$M$16,A6,'Дорожная карта'!$G$6:$G$16)</f>
        <v/>
      </c>
      <c r="E6" s="167">
        <f>SUMIF('Дорожная карта'!$M$6:$M$16,A6,'Дорожная карта'!$I$6:$I$16)</f>
        <v/>
      </c>
      <c r="F6" s="168">
        <f>IFERROR(D6/C6,0)</f>
        <v/>
      </c>
      <c r="G6" s="169">
        <f>IFERROR(E6/D6,0)</f>
        <v/>
      </c>
      <c r="H6" s="170" t="inlineStr">
        <is>
          <t>Уведомления, история, регресс</t>
        </is>
      </c>
    </row>
    <row r="7">
      <c r="A7" s="165" t="inlineStr">
        <is>
          <t>Q1 2027</t>
        </is>
      </c>
      <c r="B7" s="166">
        <f>COUNTIF('Дорожная карта'!$M$6:$M$16,A7)</f>
        <v/>
      </c>
      <c r="C7" s="167">
        <f>SUMIF('Дорожная карта'!$M$6:$M$16,A7,'Дорожная карта'!$F$6:$F$16)</f>
        <v/>
      </c>
      <c r="D7" s="167">
        <f>SUMIF('Дорожная карта'!$M$6:$M$16,A7,'Дорожная карта'!$G$6:$G$16)</f>
        <v/>
      </c>
      <c r="E7" s="167">
        <f>SUMIF('Дорожная карта'!$M$6:$M$16,A7,'Дорожная карта'!$I$6:$I$16)</f>
        <v/>
      </c>
      <c r="F7" s="168">
        <f>IFERROR(D7/C7,0)</f>
        <v/>
      </c>
      <c r="G7" s="169">
        <f>IFERROR(E7/D7,0)</f>
        <v/>
      </c>
      <c r="H7" s="170" t="inlineStr">
        <is>
          <t>Стабилизация, релиз</t>
        </is>
      </c>
    </row>
    <row r="8">
      <c r="A8" s="171" t="inlineStr">
        <is>
          <t>ИТОГО / год</t>
        </is>
      </c>
      <c r="B8" s="171">
        <f>SUM(B5:B7)</f>
        <v/>
      </c>
      <c r="C8" s="172">
        <f>SUM(C5:C7)</f>
        <v/>
      </c>
      <c r="D8" s="172">
        <f>SUM(D5:D7)</f>
        <v/>
      </c>
      <c r="E8" s="172">
        <f>SUM(E5:E7)</f>
        <v/>
      </c>
      <c r="F8" s="173">
        <f>IFERROR(D8/C8,0)</f>
        <v/>
      </c>
      <c r="G8" s="173">
        <f>IFERROR(E8/D8,0)</f>
        <v/>
      </c>
      <c r="H8" s="174" t="n"/>
    </row>
  </sheetData>
  <conditionalFormatting sqref="F5:F7">
    <cfRule type="cellIs" priority="1" operator="greaterThan" dxfId="2">
      <formula>1</formula>
    </cfRule>
    <cfRule type="cellIs" priority="2" operator="between" dxfId="1">
      <formula>0.9</formula>
      <formula>1</formula>
    </cfRule>
    <cfRule type="cellIs" priority="3" operator="lessThan" dxfId="0">
      <formula>0.9</formula>
    </cfRule>
  </conditionalFormatting>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I21"/>
  <sheetViews>
    <sheetView showGridLines="0" workbookViewId="0">
      <pane ySplit="4" topLeftCell="A5" activePane="bottomLeft" state="frozen"/>
      <selection pane="bottomLeft" activeCell="A1" sqref="A1"/>
    </sheetView>
  </sheetViews>
  <sheetFormatPr baseColWidth="8" defaultRowHeight="14.4"/>
  <cols>
    <col width="7" customWidth="1" min="1" max="1"/>
    <col width="30" customWidth="1" min="2" max="2"/>
    <col width="12" customWidth="1" min="3" max="3"/>
    <col width="10" customWidth="1" min="4" max="4"/>
    <col width="11" customWidth="1" min="5" max="7"/>
    <col width="7" customWidth="1" min="8" max="8"/>
    <col width="12" customWidth="1" min="9" max="9"/>
  </cols>
  <sheetData>
    <row r="1" ht="17.4" customHeight="1">
      <c r="A1" s="213" t="inlineStr">
        <is>
          <t>Оценка приоритетов по RICE</t>
        </is>
      </c>
    </row>
    <row r="2">
      <c r="A2" s="225" t="inlineStr">
        <is>
          <t>RICE = (Reach × Impact × Confidence) / Effort. Чем выше балл — тем выше приоритет фичи.</t>
        </is>
      </c>
    </row>
    <row r="4" ht="41.4" customHeight="1">
      <c r="A4" s="226" t="inlineStr">
        <is>
          <t>ID</t>
        </is>
      </c>
      <c r="B4" s="226" t="inlineStr">
        <is>
          <t>Фича / инициатива</t>
        </is>
      </c>
      <c r="C4" s="226" t="inlineStr">
        <is>
          <t>Reach
(польз./кв)</t>
        </is>
      </c>
      <c r="D4" s="226" t="inlineStr">
        <is>
          <t>Impact
(влияние)</t>
        </is>
      </c>
      <c r="E4" s="226" t="inlineStr">
        <is>
          <t>Confidence
(увер-ть)</t>
        </is>
      </c>
      <c r="F4" s="226" t="inlineStr">
        <is>
          <t>Effort
(чел-дни)</t>
        </is>
      </c>
      <c r="G4" s="226" t="inlineStr">
        <is>
          <t>RICE
score</t>
        </is>
      </c>
      <c r="H4" s="226" t="inlineStr">
        <is>
          <t>Ранг</t>
        </is>
      </c>
      <c r="I4" s="226" t="inlineStr">
        <is>
          <t>Приоритет</t>
        </is>
      </c>
    </row>
    <row r="5">
      <c r="A5" s="227" t="inlineStr">
        <is>
          <t>F-01</t>
        </is>
      </c>
      <c r="B5" s="228" t="inlineStr">
        <is>
          <t>MVP оформления заказа</t>
        </is>
      </c>
      <c r="C5" s="229" t="n">
        <v>5000</v>
      </c>
      <c r="D5" s="230" t="n">
        <v>3</v>
      </c>
      <c r="E5" s="231" t="n">
        <v>1</v>
      </c>
      <c r="F5" s="230" t="n">
        <v>40</v>
      </c>
      <c r="G5" s="232">
        <f>IFERROR(C5*D5*E5/F5,0)</f>
        <v/>
      </c>
      <c r="H5" s="230">
        <f>IF(G5="","",RANK(G5,$G$5:$G$14))</f>
        <v/>
      </c>
      <c r="I5" s="233">
        <f>IF(G5="","",IF(G5&gt;=0.6*MAX($G$5:$G$14),"Высокий",IF(G5&gt;=0.3*MAX($G$5:$G$14),"Средний","Низкий")))</f>
        <v/>
      </c>
    </row>
    <row r="6">
      <c r="A6" s="227" t="inlineStr">
        <is>
          <t>F-02</t>
        </is>
      </c>
      <c r="B6" s="228" t="inlineStr">
        <is>
          <t>Оплата картой</t>
        </is>
      </c>
      <c r="C6" s="229" t="n">
        <v>5000</v>
      </c>
      <c r="D6" s="230" t="n">
        <v>3</v>
      </c>
      <c r="E6" s="231" t="n">
        <v>0.8</v>
      </c>
      <c r="F6" s="230" t="n">
        <v>25</v>
      </c>
      <c r="G6" s="232">
        <f>IFERROR(C6*D6*E6/F6,0)</f>
        <v/>
      </c>
      <c r="H6" s="230">
        <f>IF(G6="","",RANK(G6,$G$5:$G$14))</f>
        <v/>
      </c>
      <c r="I6" s="233">
        <f>IF(G6="","",IF(G6&gt;=0.6*MAX($G$5:$G$14),"Высокий",IF(G6&gt;=0.3*MAX($G$5:$G$14),"Средний","Низкий")))</f>
        <v/>
      </c>
    </row>
    <row r="7">
      <c r="A7" s="227" t="inlineStr">
        <is>
          <t>F-03</t>
        </is>
      </c>
      <c r="B7" s="228" t="inlineStr">
        <is>
          <t>Промокоды и скидки</t>
        </is>
      </c>
      <c r="C7" s="229" t="n">
        <v>3000</v>
      </c>
      <c r="D7" s="230" t="n">
        <v>1</v>
      </c>
      <c r="E7" s="231" t="n">
        <v>0.8</v>
      </c>
      <c r="F7" s="230" t="n">
        <v>12</v>
      </c>
      <c r="G7" s="232">
        <f>IFERROR(C7*D7*E7/F7,0)</f>
        <v/>
      </c>
      <c r="H7" s="230">
        <f>IF(G7="","",RANK(G7,$G$5:$G$14))</f>
        <v/>
      </c>
      <c r="I7" s="233">
        <f>IF(G7="","",IF(G7&gt;=0.6*MAX($G$5:$G$14),"Высокий",IF(G7&gt;=0.3*MAX($G$5:$G$14),"Средний","Низкий")))</f>
        <v/>
      </c>
    </row>
    <row r="8">
      <c r="A8" s="227" t="inlineStr">
        <is>
          <t>F-04</t>
        </is>
      </c>
      <c r="B8" s="228" t="inlineStr">
        <is>
          <t>Уведомления (e-mail/push)</t>
        </is>
      </c>
      <c r="C8" s="229" t="n">
        <v>4000</v>
      </c>
      <c r="D8" s="230" t="n">
        <v>1</v>
      </c>
      <c r="E8" s="231" t="n">
        <v>0.8</v>
      </c>
      <c r="F8" s="230" t="n">
        <v>15</v>
      </c>
      <c r="G8" s="232">
        <f>IFERROR(C8*D8*E8/F8,0)</f>
        <v/>
      </c>
      <c r="H8" s="230">
        <f>IF(G8="","",RANK(G8,$G$5:$G$14))</f>
        <v/>
      </c>
      <c r="I8" s="233">
        <f>IF(G8="","",IF(G8&gt;=0.6*MAX($G$5:$G$14),"Высокий",IF(G8&gt;=0.3*MAX($G$5:$G$14),"Средний","Низкий")))</f>
        <v/>
      </c>
    </row>
    <row r="9">
      <c r="A9" s="227" t="inlineStr">
        <is>
          <t>F-05</t>
        </is>
      </c>
      <c r="B9" s="228" t="inlineStr">
        <is>
          <t>История заказов</t>
        </is>
      </c>
      <c r="C9" s="229" t="n">
        <v>3500</v>
      </c>
      <c r="D9" s="230" t="n">
        <v>0.5</v>
      </c>
      <c r="E9" s="231" t="n">
        <v>1</v>
      </c>
      <c r="F9" s="230" t="n">
        <v>10</v>
      </c>
      <c r="G9" s="232">
        <f>IFERROR(C9*D9*E9/F9,0)</f>
        <v/>
      </c>
      <c r="H9" s="230">
        <f>IF(G9="","",RANK(G9,$G$5:$G$14))</f>
        <v/>
      </c>
      <c r="I9" s="233">
        <f>IF(G9="","",IF(G9&gt;=0.6*MAX($G$5:$G$14),"Высокий",IF(G9&gt;=0.3*MAX($G$5:$G$14),"Средний","Низкий")))</f>
        <v/>
      </c>
    </row>
    <row r="10">
      <c r="A10" s="227" t="inlineStr">
        <is>
          <t>F-06</t>
        </is>
      </c>
      <c r="B10" s="228" t="inlineStr">
        <is>
          <t>Мобильная вёрстка</t>
        </is>
      </c>
      <c r="C10" s="229" t="n">
        <v>4500</v>
      </c>
      <c r="D10" s="230" t="n">
        <v>2</v>
      </c>
      <c r="E10" s="231" t="n">
        <v>0.8</v>
      </c>
      <c r="F10" s="230" t="n">
        <v>20</v>
      </c>
      <c r="G10" s="232">
        <f>IFERROR(C10*D10*E10/F10,0)</f>
        <v/>
      </c>
      <c r="H10" s="230">
        <f>IF(G10="","",RANK(G10,$G$5:$G$14))</f>
        <v/>
      </c>
      <c r="I10" s="233">
        <f>IF(G10="","",IF(G10&gt;=0.6*MAX($G$5:$G$14),"Высокий",IF(G10&gt;=0.3*MAX($G$5:$G$14),"Средний","Низкий")))</f>
        <v/>
      </c>
    </row>
    <row r="11">
      <c r="A11" s="227" t="inlineStr">
        <is>
          <t>F-07</t>
        </is>
      </c>
      <c r="B11" s="228" t="inlineStr">
        <is>
          <t>Личный кабинет</t>
        </is>
      </c>
      <c r="C11" s="229" t="n">
        <v>3000</v>
      </c>
      <c r="D11" s="230" t="n">
        <v>1</v>
      </c>
      <c r="E11" s="231" t="n">
        <v>0.5</v>
      </c>
      <c r="F11" s="230" t="n">
        <v>18</v>
      </c>
      <c r="G11" s="232">
        <f>IFERROR(C11*D11*E11/F11,0)</f>
        <v/>
      </c>
      <c r="H11" s="230">
        <f>IF(G11="","",RANK(G11,$G$5:$G$14))</f>
        <v/>
      </c>
      <c r="I11" s="233">
        <f>IF(G11="","",IF(G11&gt;=0.6*MAX($G$5:$G$14),"Высокий",IF(G11&gt;=0.3*MAX($G$5:$G$14),"Средний","Низкий")))</f>
        <v/>
      </c>
    </row>
    <row r="12">
      <c r="A12" s="227" t="inlineStr">
        <is>
          <t>F-08</t>
        </is>
      </c>
      <c r="B12" s="228" t="inlineStr">
        <is>
          <t>Рекомендации товаров</t>
        </is>
      </c>
      <c r="C12" s="229" t="n">
        <v>2000</v>
      </c>
      <c r="D12" s="230" t="n">
        <v>2</v>
      </c>
      <c r="E12" s="231" t="n">
        <v>0.5</v>
      </c>
      <c r="F12" s="230" t="n">
        <v>22</v>
      </c>
      <c r="G12" s="232">
        <f>IFERROR(C12*D12*E12/F12,0)</f>
        <v/>
      </c>
      <c r="H12" s="230">
        <f>IF(G12="","",RANK(G12,$G$5:$G$14))</f>
        <v/>
      </c>
      <c r="I12" s="233">
        <f>IF(G12="","",IF(G12&gt;=0.6*MAX($G$5:$G$14),"Высокий",IF(G12&gt;=0.3*MAX($G$5:$G$14),"Средний","Низкий")))</f>
        <v/>
      </c>
    </row>
    <row r="13">
      <c r="A13" s="227" t="inlineStr">
        <is>
          <t>F-09</t>
        </is>
      </c>
      <c r="B13" s="228" t="inlineStr">
        <is>
          <t>Экспорт отчётов</t>
        </is>
      </c>
      <c r="C13" s="229" t="n">
        <v>800</v>
      </c>
      <c r="D13" s="230" t="n">
        <v>0.5</v>
      </c>
      <c r="E13" s="231" t="n">
        <v>0.8</v>
      </c>
      <c r="F13" s="230" t="n">
        <v>8</v>
      </c>
      <c r="G13" s="232">
        <f>IFERROR(C13*D13*E13/F13,0)</f>
        <v/>
      </c>
      <c r="H13" s="230">
        <f>IF(G13="","",RANK(G13,$G$5:$G$14))</f>
        <v/>
      </c>
      <c r="I13" s="233">
        <f>IF(G13="","",IF(G13&gt;=0.6*MAX($G$5:$G$14),"Высокий",IF(G13&gt;=0.3*MAX($G$5:$G$14),"Средний","Низкий")))</f>
        <v/>
      </c>
    </row>
    <row r="14">
      <c r="A14" s="227" t="inlineStr">
        <is>
          <t>F-10</t>
        </is>
      </c>
      <c r="B14" s="228" t="inlineStr">
        <is>
          <t>Мультиязычность</t>
        </is>
      </c>
      <c r="C14" s="229" t="n">
        <v>1500</v>
      </c>
      <c r="D14" s="230" t="n">
        <v>1</v>
      </c>
      <c r="E14" s="231" t="n">
        <v>0.5</v>
      </c>
      <c r="F14" s="230" t="n">
        <v>30</v>
      </c>
      <c r="G14" s="232">
        <f>IFERROR(C14*D14*E14/F14,0)</f>
        <v/>
      </c>
      <c r="H14" s="230">
        <f>IF(G14="","",RANK(G14,$G$5:$G$14))</f>
        <v/>
      </c>
      <c r="I14" s="233">
        <f>IF(G14="","",IF(G14&gt;=0.6*MAX($G$5:$G$14),"Высокий",IF(G14&gt;=0.3*MAX($G$5:$G$14),"Средний","Низкий")))</f>
        <v/>
      </c>
    </row>
    <row r="16">
      <c r="A16" s="222" t="inlineStr">
        <is>
          <t>Шкалы оценки</t>
        </is>
      </c>
    </row>
    <row r="17">
      <c r="A17" s="234" t="inlineStr">
        <is>
          <t>Impact (влияние на пользователя):</t>
        </is>
      </c>
      <c r="B17" s="235" t="inlineStr">
        <is>
          <t>3 — массивное · 2 — высокое · 1 — среднее · 0.5 — низкое · 0.25 — минимальное</t>
        </is>
      </c>
    </row>
    <row r="18">
      <c r="A18" s="234" t="inlineStr">
        <is>
          <t>Confidence (уверенность в оценке):</t>
        </is>
      </c>
      <c r="B18" s="235" t="inlineStr">
        <is>
          <t>100% — высокая · 80% — средняя · 50% — низкая</t>
        </is>
      </c>
    </row>
    <row r="19">
      <c r="A19" s="234" t="inlineStr">
        <is>
          <t>Reach:</t>
        </is>
      </c>
      <c r="B19" s="235" t="inlineStr">
        <is>
          <t>сколько пользователей затронет фича за квартал</t>
        </is>
      </c>
    </row>
    <row r="20">
      <c r="A20" s="234" t="inlineStr">
        <is>
          <t>Effort:</t>
        </is>
      </c>
      <c r="B20" s="235" t="inlineStr">
        <is>
          <t>суммарные трудозатраты команды, человеко-дни</t>
        </is>
      </c>
    </row>
    <row r="21">
      <c r="A21" s="234" t="inlineStr">
        <is>
          <t>Приоритет:</t>
        </is>
      </c>
      <c r="B21" s="235" t="inlineStr">
        <is>
          <t>Высокий ≥ 60% макс. балла · Средний ≥ 30% · иначе Низкий</t>
        </is>
      </c>
    </row>
  </sheetData>
  <conditionalFormatting sqref="G5:G14">
    <cfRule type="colorScale" priority="4">
      <colorScale>
        <cfvo type="min"/>
        <cfvo type="percentile" val="50"/>
        <cfvo type="max"/>
        <color rgb="FFF8696B"/>
        <color rgb="FFFFEB84"/>
        <color rgb="FF63BE7B"/>
      </colorScale>
    </cfRule>
  </conditionalFormatting>
  <conditionalFormatting sqref="I5:I14">
    <cfRule type="cellIs" priority="1" operator="equal" dxfId="9">
      <formula>"Высокий"</formula>
    </cfRule>
    <cfRule type="cellIs" priority="2" operator="equal" dxfId="11">
      <formula>"Средний"</formula>
    </cfRule>
    <cfRule type="cellIs" priority="3" operator="equal" dxfId="12">
      <formula>"Низкий"</formula>
    </cfRule>
  </conditionalFormatting>
  <dataValidations count="2">
    <dataValidation sqref="D5:D14" showDropDown="0" showInputMessage="0" showErrorMessage="0" allowBlank="1" type="list">
      <formula1>"3,2,1,0.5,0.25"</formula1>
    </dataValidation>
    <dataValidation sqref="E5:E14" showDropDown="0" showInputMessage="0" showErrorMessage="0" allowBlank="1" type="list">
      <formula1>"1,0.8,0.5"</formula1>
    </dataValidation>
  </dataValidation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E30"/>
  <sheetViews>
    <sheetView showGridLines="0" workbookViewId="0">
      <pane ySplit="4" topLeftCell="A5" activePane="bottomLeft" state="frozen"/>
      <selection pane="bottomLeft" activeCell="A1" sqref="A1"/>
    </sheetView>
  </sheetViews>
  <sheetFormatPr baseColWidth="8" defaultRowHeight="15"/>
  <cols>
    <col width="10" customWidth="1" min="1" max="1"/>
    <col width="32" customWidth="1" min="2" max="2"/>
    <col width="12" customWidth="1" min="3" max="3"/>
    <col width="14" customWidth="1" min="4" max="4"/>
    <col width="46" customWidth="1" min="5" max="5"/>
  </cols>
  <sheetData>
    <row r="1">
      <c r="A1" s="213" t="inlineStr">
        <is>
          <t>Приоритизация требований по MoSCoW</t>
        </is>
      </c>
    </row>
    <row r="2">
      <c r="A2" s="225" t="inlineStr">
        <is>
          <t>Must / Should / Could / Won't — что обязательно, желательно, возможно и что сознательно откладываем.</t>
        </is>
      </c>
    </row>
    <row r="4">
      <c r="A4" s="246" t="inlineStr">
        <is>
          <t>ID</t>
        </is>
      </c>
      <c r="B4" s="246" t="inlineStr">
        <is>
          <t>Фича / требование</t>
        </is>
      </c>
      <c r="C4" s="246" t="inlineStr">
        <is>
          <t>Категория</t>
        </is>
      </c>
      <c r="D4" s="246" t="inlineStr">
        <is>
          <t>Приоритет</t>
        </is>
      </c>
      <c r="E4" s="246" t="inlineStr">
        <is>
          <t>Обоснование</t>
        </is>
      </c>
    </row>
    <row r="5">
      <c r="A5" s="247" t="inlineStr">
        <is>
          <t>MS-01</t>
        </is>
      </c>
      <c r="B5" s="248" t="inlineStr">
        <is>
          <t>Оформление заказа (MVP)</t>
        </is>
      </c>
      <c r="C5" s="249" t="inlineStr">
        <is>
          <t>Must</t>
        </is>
      </c>
      <c r="D5" s="250">
        <f>IF(C5="Must","Обязательно",IF(C5="Should","Желательно",IF(C5="Could","Возможно",IF(C5="Won't","Не в этот раз",""))))</f>
        <v/>
      </c>
      <c r="E5" s="251" t="inlineStr">
        <is>
          <t>Без этого запуск подписки невозможен</t>
        </is>
      </c>
    </row>
    <row r="6">
      <c r="A6" s="247" t="inlineStr">
        <is>
          <t>MS-02</t>
        </is>
      </c>
      <c r="B6" s="248" t="inlineStr">
        <is>
          <t>Оплата картой</t>
        </is>
      </c>
      <c r="C6" s="249" t="inlineStr">
        <is>
          <t>Must</t>
        </is>
      </c>
      <c r="D6" s="250">
        <f>IF(C6="Must","Обязательно",IF(C6="Should","Желательно",IF(C6="Could","Возможно",IF(C6="Won't","Не в этот раз",""))))</f>
        <v/>
      </c>
      <c r="E6" s="251" t="inlineStr">
        <is>
          <t>Ключевой сценарий монетизации</t>
        </is>
      </c>
    </row>
    <row r="7">
      <c r="A7" s="247" t="inlineStr">
        <is>
          <t>MS-03</t>
        </is>
      </c>
      <c r="B7" s="248" t="inlineStr">
        <is>
          <t>Каталог товаров и цены</t>
        </is>
      </c>
      <c r="C7" s="249" t="inlineStr">
        <is>
          <t>Must</t>
        </is>
      </c>
      <c r="D7" s="250">
        <f>IF(C7="Must","Обязательно",IF(C7="Should","Желательно",IF(C7="Could","Возможно",IF(C7="Won't","Не в этот раз",""))))</f>
        <v/>
      </c>
      <c r="E7" s="251" t="inlineStr">
        <is>
          <t>Данные для оформления заказа</t>
        </is>
      </c>
    </row>
    <row r="8">
      <c r="A8" s="247" t="inlineStr">
        <is>
          <t>MS-04</t>
        </is>
      </c>
      <c r="B8" s="248" t="inlineStr">
        <is>
          <t>Личный кабинет (базовый)</t>
        </is>
      </c>
      <c r="C8" s="249" t="inlineStr">
        <is>
          <t>Must</t>
        </is>
      </c>
      <c r="D8" s="250">
        <f>IF(C8="Must","Обязательно",IF(C8="Should","Желательно",IF(C8="Could","Возможно",IF(C8="Won't","Не в этот раз",""))))</f>
        <v/>
      </c>
      <c r="E8" s="251" t="inlineStr">
        <is>
          <t>Управление подпиской</t>
        </is>
      </c>
    </row>
    <row r="9">
      <c r="A9" s="247" t="inlineStr">
        <is>
          <t>MS-05</t>
        </is>
      </c>
      <c r="B9" s="248" t="inlineStr">
        <is>
          <t>Промокоды и скидки</t>
        </is>
      </c>
      <c r="C9" s="249" t="inlineStr">
        <is>
          <t>Should</t>
        </is>
      </c>
      <c r="D9" s="250">
        <f>IF(C9="Must","Обязательно",IF(C9="Should","Желательно",IF(C9="Could","Возможно",IF(C9="Won't","Не в этот раз",""))))</f>
        <v/>
      </c>
      <c r="E9" s="251" t="inlineStr">
        <is>
          <t>Повышает конверсию, но релиз возможен без них</t>
        </is>
      </c>
    </row>
    <row r="10">
      <c r="A10" s="247" t="inlineStr">
        <is>
          <t>MS-06</t>
        </is>
      </c>
      <c r="B10" s="248" t="inlineStr">
        <is>
          <t>Уведомления (e-mail/push)</t>
        </is>
      </c>
      <c r="C10" s="249" t="inlineStr">
        <is>
          <t>Should</t>
        </is>
      </c>
      <c r="D10" s="250">
        <f>IF(C10="Must","Обязательно",IF(C10="Should","Желательно",IF(C10="Could","Возможно",IF(C10="Won't","Не в этот раз",""))))</f>
        <v/>
      </c>
      <c r="E10" s="251" t="inlineStr">
        <is>
          <t>Удержание пользователей</t>
        </is>
      </c>
    </row>
    <row r="11">
      <c r="A11" s="247" t="inlineStr">
        <is>
          <t>MS-07</t>
        </is>
      </c>
      <c r="B11" s="248" t="inlineStr">
        <is>
          <t>История заказов</t>
        </is>
      </c>
      <c r="C11" s="249" t="inlineStr">
        <is>
          <t>Should</t>
        </is>
      </c>
      <c r="D11" s="250">
        <f>IF(C11="Must","Обязательно",IF(C11="Should","Желательно",IF(C11="Could","Возможно",IF(C11="Won't","Не в этот раз",""))))</f>
        <v/>
      </c>
      <c r="E11" s="251" t="inlineStr">
        <is>
          <t>Ожидаемо пользователями</t>
        </is>
      </c>
    </row>
    <row r="12">
      <c r="A12" s="247" t="inlineStr">
        <is>
          <t>MS-08</t>
        </is>
      </c>
      <c r="B12" s="248" t="inlineStr">
        <is>
          <t>Рекомендации товаров</t>
        </is>
      </c>
      <c r="C12" s="249" t="inlineStr">
        <is>
          <t>Could</t>
        </is>
      </c>
      <c r="D12" s="250">
        <f>IF(C12="Must","Обязательно",IF(C12="Should","Желательно",IF(C12="Could","Возможно",IF(C12="Won't","Не в этот раз",""))))</f>
        <v/>
      </c>
      <c r="E12" s="251" t="inlineStr">
        <is>
          <t>Если останется время</t>
        </is>
      </c>
    </row>
    <row r="13">
      <c r="A13" s="247" t="inlineStr">
        <is>
          <t>MS-09</t>
        </is>
      </c>
      <c r="B13" s="248" t="inlineStr">
        <is>
          <t>Мультиязычность</t>
        </is>
      </c>
      <c r="C13" s="249" t="inlineStr">
        <is>
          <t>Could</t>
        </is>
      </c>
      <c r="D13" s="250">
        <f>IF(C13="Must","Обязательно",IF(C13="Should","Желательно",IF(C13="Could","Возможно",IF(C13="Won't","Не в этот раз",""))))</f>
        <v/>
      </c>
      <c r="E13" s="251" t="inlineStr">
        <is>
          <t>Для будущих рынков</t>
        </is>
      </c>
    </row>
    <row r="14">
      <c r="A14" s="247" t="inlineStr">
        <is>
          <t>MS-10</t>
        </is>
      </c>
      <c r="B14" s="248" t="inlineStr">
        <is>
          <t>Экспорт отчётов</t>
        </is>
      </c>
      <c r="C14" s="249" t="inlineStr">
        <is>
          <t>Could</t>
        </is>
      </c>
      <c r="D14" s="250">
        <f>IF(C14="Must","Обязательно",IF(C14="Should","Желательно",IF(C14="Could","Возможно",IF(C14="Won't","Не в этот раз",""))))</f>
        <v/>
      </c>
      <c r="E14" s="251" t="inlineStr">
        <is>
          <t>Удобно, но не критично</t>
        </is>
      </c>
    </row>
    <row r="15">
      <c r="A15" s="247" t="inlineStr">
        <is>
          <t>MS-11</t>
        </is>
      </c>
      <c r="B15" s="248" t="inlineStr">
        <is>
          <t>Программа лояльности / бонусы</t>
        </is>
      </c>
      <c r="C15" s="249" t="inlineStr">
        <is>
          <t>Won't</t>
        </is>
      </c>
      <c r="D15" s="250">
        <f>IF(C15="Must","Обязательно",IF(C15="Should","Желательно",IF(C15="Could","Возможно",IF(C15="Won't","Не в этот раз",""))))</f>
        <v/>
      </c>
      <c r="E15" s="251" t="inlineStr">
        <is>
          <t>Отдельная инициатива на следующий квартал</t>
        </is>
      </c>
    </row>
    <row r="16">
      <c r="A16" s="247" t="inlineStr">
        <is>
          <t>MS-12</t>
        </is>
      </c>
      <c r="B16" s="248" t="inlineStr">
        <is>
          <t>Офлайн-режим приложения</t>
        </is>
      </c>
      <c r="C16" s="249" t="inlineStr">
        <is>
          <t>Won't</t>
        </is>
      </c>
      <c r="D16" s="250">
        <f>IF(C16="Must","Обязательно",IF(C16="Should","Желательно",IF(C16="Could","Возможно",IF(C16="Won't","Не в этот раз",""))))</f>
        <v/>
      </c>
      <c r="E16" s="251" t="inlineStr">
        <is>
          <t>Вне scope текущего релиза</t>
        </is>
      </c>
    </row>
    <row r="18">
      <c r="A18" s="222" t="inlineStr">
        <is>
          <t>Сводка по категориям</t>
        </is>
      </c>
    </row>
    <row r="19">
      <c r="A19" s="252" t="inlineStr">
        <is>
          <t>Категория</t>
        </is>
      </c>
      <c r="B19" s="252" t="inlineStr">
        <is>
          <t>Кол-во</t>
        </is>
      </c>
    </row>
    <row r="20">
      <c r="A20" s="253" t="inlineStr">
        <is>
          <t>Must</t>
        </is>
      </c>
      <c r="B20" s="250">
        <f>COUNTIF($C$5:$C$16,"Must")</f>
        <v/>
      </c>
    </row>
    <row r="21">
      <c r="A21" s="254" t="inlineStr">
        <is>
          <t>Should</t>
        </is>
      </c>
      <c r="B21" s="250">
        <f>COUNTIF($C$5:$C$16,"Should")</f>
        <v/>
      </c>
    </row>
    <row r="22">
      <c r="A22" s="255" t="inlineStr">
        <is>
          <t>Could</t>
        </is>
      </c>
      <c r="B22" s="250">
        <f>COUNTIF($C$5:$C$16,"Could")</f>
        <v/>
      </c>
    </row>
    <row r="23">
      <c r="A23" s="256" t="inlineStr">
        <is>
          <t>Won't</t>
        </is>
      </c>
      <c r="B23" s="250">
        <f>COUNTIF($C$5:$C$16,"Won't")</f>
        <v/>
      </c>
    </row>
    <row r="25">
      <c r="A25" s="222" t="inlineStr">
        <is>
          <t>Методология MoSCoW</t>
        </is>
      </c>
    </row>
    <row r="26">
      <c r="A26" s="234" t="inlineStr">
        <is>
          <t>Must have — обязательно:</t>
        </is>
      </c>
      <c r="B26" s="235" t="inlineStr">
        <is>
          <t>критично для релиза, без этого продукт не запускается</t>
        </is>
      </c>
    </row>
    <row r="27">
      <c r="A27" s="234" t="inlineStr">
        <is>
          <t>Should have — желательно:</t>
        </is>
      </c>
      <c r="B27" s="235" t="inlineStr">
        <is>
          <t>важно и болезненно без него, но релиз технически возможен</t>
        </is>
      </c>
    </row>
    <row r="28">
      <c r="A28" s="234" t="inlineStr">
        <is>
          <t>Could have — возможно:</t>
        </is>
      </c>
      <c r="B28" s="235" t="inlineStr">
        <is>
          <t>желательно, реализуем при наличии времени и ресурсов</t>
        </is>
      </c>
    </row>
    <row r="29">
      <c r="A29" s="234" t="inlineStr">
        <is>
          <t>Won't have — не в этот раз:</t>
        </is>
      </c>
      <c r="B29" s="235" t="inlineStr">
        <is>
          <t>сознательно отложено, вне scope текущего релиза</t>
        </is>
      </c>
    </row>
    <row r="30">
      <c r="A30" s="234" t="inlineStr">
        <is>
          <t>Правило баланса:</t>
        </is>
      </c>
      <c r="B30" s="235" t="inlineStr">
        <is>
          <t>доля Must ≤ ~60% ёмкости спринта — иначе не остаётся буфера на риски</t>
        </is>
      </c>
    </row>
  </sheetData>
  <conditionalFormatting sqref="C5:C16">
    <cfRule type="cellIs" priority="1" operator="equal" dxfId="47">
      <formula>"Must"</formula>
    </cfRule>
    <cfRule type="cellIs" priority="2" operator="equal" dxfId="48">
      <formula>"Should"</formula>
    </cfRule>
    <cfRule type="cellIs" priority="3" operator="equal" dxfId="49">
      <formula>"Could"</formula>
    </cfRule>
    <cfRule type="cellIs" priority="4" operator="equal" dxfId="50">
      <formula>"Won't"</formula>
    </cfRule>
  </conditionalFormatting>
  <dataValidations count="1">
    <dataValidation sqref="C5:C16" showDropDown="0" showInputMessage="0" showErrorMessage="0" allowBlank="1" type="list">
      <formula1>"Must,Should,Could,Won't"</formula1>
    </dataValidation>
  </dataValidation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E28"/>
  <sheetViews>
    <sheetView showGridLines="0" workbookViewId="0">
      <pane ySplit="4" topLeftCell="A17" activePane="bottomLeft" state="frozen"/>
      <selection pane="bottomLeft" activeCell="A1" sqref="A1"/>
    </sheetView>
  </sheetViews>
  <sheetFormatPr baseColWidth="8" defaultRowHeight="14.4"/>
  <cols>
    <col width="12" customWidth="1" min="1" max="1"/>
    <col width="26" customWidth="1" min="2" max="2"/>
    <col width="12" customWidth="1" min="3" max="3"/>
    <col width="14" customWidth="1" min="4" max="4"/>
    <col width="10" customWidth="1" min="5" max="5"/>
  </cols>
  <sheetData>
    <row r="1" ht="17.4" customHeight="1">
      <c r="A1" s="163" t="inlineStr">
        <is>
          <t>Квартальный roadmap (спринты и вехи по кварталам)</t>
        </is>
      </c>
    </row>
    <row r="2">
      <c r="A2" s="164" t="inlineStr">
        <is>
          <t>Бары спринтов на шкале дат, цвет = квартал. Вехи — в таблице ниже.</t>
        </is>
      </c>
    </row>
    <row r="4" ht="27.6" customHeight="1">
      <c r="A4" s="161" t="inlineStr">
        <is>
          <t>Спринт</t>
        </is>
      </c>
      <c r="B4" s="161" t="inlineStr">
        <is>
          <t>Квартал</t>
        </is>
      </c>
      <c r="C4" s="161" t="inlineStr">
        <is>
          <t>Начало</t>
        </is>
      </c>
      <c r="D4" s="161" t="inlineStr">
        <is>
          <t>Конец</t>
        </is>
      </c>
      <c r="E4" s="161" t="inlineStr">
        <is>
          <t>Длит. (дн)</t>
        </is>
      </c>
    </row>
    <row r="5">
      <c r="A5" s="190" t="inlineStr">
        <is>
          <t>Спринт 1</t>
        </is>
      </c>
      <c r="B5" s="162">
        <f>'Дорожная карта'!M6</f>
        <v/>
      </c>
      <c r="C5" s="191">
        <f>'Дорожная карта'!C6</f>
        <v/>
      </c>
      <c r="D5" s="191">
        <f>'Дорожная карта'!D6</f>
        <v/>
      </c>
      <c r="E5" s="192">
        <f>D5-C5</f>
        <v/>
      </c>
    </row>
    <row r="6">
      <c r="A6" s="190" t="inlineStr">
        <is>
          <t>Спринт 2</t>
        </is>
      </c>
      <c r="B6" s="162">
        <f>'Дорожная карта'!M7</f>
        <v/>
      </c>
      <c r="C6" s="191">
        <f>'Дорожная карта'!C7</f>
        <v/>
      </c>
      <c r="D6" s="191">
        <f>'Дорожная карта'!D7</f>
        <v/>
      </c>
      <c r="E6" s="192">
        <f>D6-C6</f>
        <v/>
      </c>
    </row>
    <row r="7">
      <c r="A7" s="190" t="inlineStr">
        <is>
          <t>Спринт 3</t>
        </is>
      </c>
      <c r="B7" s="162">
        <f>'Дорожная карта'!M8</f>
        <v/>
      </c>
      <c r="C7" s="191">
        <f>'Дорожная карта'!C8</f>
        <v/>
      </c>
      <c r="D7" s="191">
        <f>'Дорожная карта'!D8</f>
        <v/>
      </c>
      <c r="E7" s="192">
        <f>D7-C7</f>
        <v/>
      </c>
    </row>
    <row r="8">
      <c r="A8" s="190" t="inlineStr">
        <is>
          <t>Спринт 4</t>
        </is>
      </c>
      <c r="B8" s="162">
        <f>'Дорожная карта'!M9</f>
        <v/>
      </c>
      <c r="C8" s="191">
        <f>'Дорожная карта'!C9</f>
        <v/>
      </c>
      <c r="D8" s="191">
        <f>'Дорожная карта'!D9</f>
        <v/>
      </c>
      <c r="E8" s="192">
        <f>D8-C8</f>
        <v/>
      </c>
    </row>
    <row r="9">
      <c r="A9" s="190" t="inlineStr">
        <is>
          <t>Спринт 5</t>
        </is>
      </c>
      <c r="B9" s="162">
        <f>'Дорожная карта'!M10</f>
        <v/>
      </c>
      <c r="C9" s="191">
        <f>'Дорожная карта'!C10</f>
        <v/>
      </c>
      <c r="D9" s="191">
        <f>'Дорожная карта'!D10</f>
        <v/>
      </c>
      <c r="E9" s="192">
        <f>D9-C9</f>
        <v/>
      </c>
    </row>
    <row r="10">
      <c r="A10" s="190" t="inlineStr">
        <is>
          <t>Спринт 6</t>
        </is>
      </c>
      <c r="B10" s="162">
        <f>'Дорожная карта'!M11</f>
        <v/>
      </c>
      <c r="C10" s="191">
        <f>'Дорожная карта'!C11</f>
        <v/>
      </c>
      <c r="D10" s="191">
        <f>'Дорожная карта'!D11</f>
        <v/>
      </c>
      <c r="E10" s="192">
        <f>D10-C10</f>
        <v/>
      </c>
    </row>
    <row r="11">
      <c r="A11" s="190" t="inlineStr">
        <is>
          <t>Спринт 7</t>
        </is>
      </c>
      <c r="B11" s="162">
        <f>'Дорожная карта'!M12</f>
        <v/>
      </c>
      <c r="C11" s="191">
        <f>'Дорожная карта'!C12</f>
        <v/>
      </c>
      <c r="D11" s="191">
        <f>'Дорожная карта'!D12</f>
        <v/>
      </c>
      <c r="E11" s="192">
        <f>D11-C11</f>
        <v/>
      </c>
    </row>
    <row r="12">
      <c r="A12" s="190" t="inlineStr">
        <is>
          <t>Спринт 8</t>
        </is>
      </c>
      <c r="B12" s="162">
        <f>'Дорожная карта'!M13</f>
        <v/>
      </c>
      <c r="C12" s="191">
        <f>'Дорожная карта'!C13</f>
        <v/>
      </c>
      <c r="D12" s="191">
        <f>'Дорожная карта'!D13</f>
        <v/>
      </c>
      <c r="E12" s="192">
        <f>D12-C12</f>
        <v/>
      </c>
    </row>
    <row r="13">
      <c r="A13" s="190" t="inlineStr">
        <is>
          <t>Спринт 9</t>
        </is>
      </c>
      <c r="B13" s="162">
        <f>'Дорожная карта'!M14</f>
        <v/>
      </c>
      <c r="C13" s="191">
        <f>'Дорожная карта'!C14</f>
        <v/>
      </c>
      <c r="D13" s="191">
        <f>'Дорожная карта'!D14</f>
        <v/>
      </c>
      <c r="E13" s="192">
        <f>D13-C13</f>
        <v/>
      </c>
    </row>
    <row r="14">
      <c r="A14" s="190" t="inlineStr">
        <is>
          <t>Спринт 10</t>
        </is>
      </c>
      <c r="B14" s="162">
        <f>'Дорожная карта'!M15</f>
        <v/>
      </c>
      <c r="C14" s="191">
        <f>'Дорожная карта'!C15</f>
        <v/>
      </c>
      <c r="D14" s="191">
        <f>'Дорожная карта'!D15</f>
        <v/>
      </c>
      <c r="E14" s="192">
        <f>D14-C14</f>
        <v/>
      </c>
    </row>
    <row r="15">
      <c r="A15" s="190" t="inlineStr">
        <is>
          <t>Спринт 11</t>
        </is>
      </c>
      <c r="B15" s="162">
        <f>'Дорожная карта'!M16</f>
        <v/>
      </c>
      <c r="C15" s="191">
        <f>'Дорожная карта'!C16</f>
        <v/>
      </c>
      <c r="D15" s="191">
        <f>'Дорожная карта'!D16</f>
        <v/>
      </c>
      <c r="E15" s="192">
        <f>D15-C15</f>
        <v/>
      </c>
    </row>
    <row r="17">
      <c r="A17" s="14" t="inlineStr">
        <is>
          <t>Легенда кварталов:</t>
        </is>
      </c>
    </row>
    <row r="18">
      <c r="A18" s="193" t="inlineStr">
        <is>
          <t>Q3 2026</t>
        </is>
      </c>
    </row>
    <row r="19">
      <c r="A19" s="194" t="inlineStr">
        <is>
          <t>Q4 2026</t>
        </is>
      </c>
    </row>
    <row r="20">
      <c r="A20" s="195" t="inlineStr">
        <is>
          <t>Q1 2027</t>
        </is>
      </c>
    </row>
    <row r="22" ht="15.6" customHeight="1">
      <c r="A22" s="176" t="inlineStr">
        <is>
          <t>Вехи</t>
        </is>
      </c>
    </row>
    <row r="23">
      <c r="A23" s="161" t="inlineStr">
        <is>
          <t>ID</t>
        </is>
      </c>
      <c r="B23" s="161" t="inlineStr">
        <is>
          <t>Веха</t>
        </is>
      </c>
      <c r="C23" s="161" t="inlineStr">
        <is>
          <t>Дата</t>
        </is>
      </c>
      <c r="D23" s="161" t="inlineStr">
        <is>
          <t>Статус</t>
        </is>
      </c>
    </row>
    <row r="24">
      <c r="A24" s="177">
        <f>Вехи!A5</f>
        <v/>
      </c>
      <c r="B24" s="190">
        <f>Вехи!B5</f>
        <v/>
      </c>
      <c r="C24" s="196">
        <f>Вехи!D5</f>
        <v/>
      </c>
      <c r="D24" s="177">
        <f>Вехи!E5</f>
        <v/>
      </c>
    </row>
    <row r="25" ht="27.6" customHeight="1">
      <c r="A25" s="177">
        <f>Вехи!A6</f>
        <v/>
      </c>
      <c r="B25" s="190">
        <f>Вехи!B6</f>
        <v/>
      </c>
      <c r="C25" s="196">
        <f>Вехи!D6</f>
        <v/>
      </c>
      <c r="D25" s="177">
        <f>Вехи!E6</f>
        <v/>
      </c>
    </row>
    <row r="26" ht="27.6" customHeight="1">
      <c r="A26" s="177">
        <f>Вехи!A7</f>
        <v/>
      </c>
      <c r="B26" s="190">
        <f>Вехи!B7</f>
        <v/>
      </c>
      <c r="C26" s="196">
        <f>Вехи!D7</f>
        <v/>
      </c>
      <c r="D26" s="177">
        <f>Вехи!E7</f>
        <v/>
      </c>
    </row>
    <row r="27" ht="27.6" customHeight="1">
      <c r="A27" s="177">
        <f>Вехи!A8</f>
        <v/>
      </c>
      <c r="B27" s="190">
        <f>Вехи!B8</f>
        <v/>
      </c>
      <c r="C27" s="196">
        <f>Вехи!D8</f>
        <v/>
      </c>
      <c r="D27" s="177">
        <f>Вехи!E8</f>
        <v/>
      </c>
    </row>
    <row r="28" ht="27.6" customHeight="1">
      <c r="A28" s="177">
        <f>Вехи!A9</f>
        <v/>
      </c>
      <c r="B28" s="190">
        <f>Вехи!B9</f>
        <v/>
      </c>
      <c r="C28" s="196">
        <f>Вехи!D9</f>
        <v/>
      </c>
      <c r="D28" s="177">
        <f>Вехи!E9</f>
        <v/>
      </c>
    </row>
  </sheetData>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K9"/>
  <sheetViews>
    <sheetView showGridLines="0" workbookViewId="0">
      <pane ySplit="4" topLeftCell="A5" activePane="bottomLeft" state="frozen"/>
      <selection pane="bottomLeft" activeCell="J18" sqref="J18"/>
    </sheetView>
  </sheetViews>
  <sheetFormatPr baseColWidth="8" defaultRowHeight="14.4"/>
  <cols>
    <col width="7" customWidth="1" min="1" max="1"/>
    <col width="26" customWidth="1" min="2" max="2"/>
    <col width="8" customWidth="1" min="3" max="4"/>
    <col width="13" customWidth="1" min="5" max="6"/>
    <col width="8" customWidth="1" min="7" max="8"/>
    <col width="10" customWidth="1" min="9" max="9"/>
    <col width="11" customWidth="1" min="10" max="10"/>
    <col width="9" customWidth="1" min="11" max="11"/>
  </cols>
  <sheetData>
    <row r="1" ht="17.4" customHeight="1">
      <c r="A1" s="198" t="inlineStr">
        <is>
          <t>Релизы</t>
        </is>
      </c>
    </row>
    <row r="2">
      <c r="A2" s="199" t="inlineStr">
        <is>
          <t>Версии релизов и их содержимое (стори/задачи/дефекты) по диапазону спринтов.</t>
        </is>
      </c>
    </row>
    <row r="4" ht="27.6" customHeight="1">
      <c r="A4" s="200" t="inlineStr">
        <is>
          <t>ID</t>
        </is>
      </c>
      <c r="B4" s="200" t="inlineStr">
        <is>
          <t>Релиз</t>
        </is>
      </c>
      <c r="C4" s="200" t="inlineStr">
        <is>
          <t>Спр. от</t>
        </is>
      </c>
      <c r="D4" s="200" t="inlineStr">
        <is>
          <t>Спр. до</t>
        </is>
      </c>
      <c r="E4" s="200" t="inlineStr">
        <is>
          <t>Дата</t>
        </is>
      </c>
      <c r="F4" s="200" t="inlineStr">
        <is>
          <t>Статус</t>
        </is>
      </c>
      <c r="G4" s="200" t="inlineStr">
        <is>
          <t>Стори</t>
        </is>
      </c>
      <c r="H4" s="200" t="inlineStr">
        <is>
          <t>Задач</t>
        </is>
      </c>
      <c r="I4" s="200" t="inlineStr">
        <is>
          <t>Дефектов</t>
        </is>
      </c>
      <c r="J4" s="200" t="inlineStr">
        <is>
          <t>Объём (дн)</t>
        </is>
      </c>
      <c r="K4" s="200" t="inlineStr">
        <is>
          <t>Вех (шт)</t>
        </is>
      </c>
    </row>
    <row r="5">
      <c r="A5" s="201" t="inlineStr">
        <is>
          <t>R-1</t>
        </is>
      </c>
      <c r="B5" s="202" t="inlineStr">
        <is>
          <t>Внутренний релиз (MVP)</t>
        </is>
      </c>
      <c r="C5" s="201" t="n">
        <v>1</v>
      </c>
      <c r="D5" s="201" t="n">
        <v>2</v>
      </c>
      <c r="E5" s="203">
        <f>SUMIF('Дорожная карта'!$A$6:$A$16,D5,'Дорожная карта'!$D$6:$D$16)</f>
        <v/>
      </c>
      <c r="F5" s="204" t="inlineStr">
        <is>
          <t>Готово</t>
        </is>
      </c>
      <c r="G5" s="205">
        <f>COUNTIFS(Бэклог!$U$5:$U$44,"История",Бэклог!$M$5:$M$44,"&gt;="&amp;C5,Бэклог!$M$5:$M$44,"&lt;="&amp;D5)</f>
        <v/>
      </c>
      <c r="H5" s="205">
        <f>COUNTIFS(Бэклог!$U$5:$U$44,"Задача",Бэклог!$M$5:$M$44,"&gt;="&amp;C5,Бэклог!$M$5:$M$44,"&lt;="&amp;D5)</f>
        <v/>
      </c>
      <c r="I5" s="205">
        <f>COUNTIFS(Баги!$D$5:$D$64,"&gt;="&amp;C5,Баги!$D$5:$D$64,"&lt;="&amp;D5)</f>
        <v/>
      </c>
      <c r="J5" s="206">
        <f>SUMIFS(Бэклог!$E$5:$E$44,Бэклог!$M$5:$M$44,"&gt;="&amp;C5,Бэклог!$M$5:$M$44,"&lt;="&amp;D5)</f>
        <v/>
      </c>
      <c r="K5" s="209">
        <f>COUNTIF(Вехи!$G$5:$G$9,A5)</f>
        <v/>
      </c>
    </row>
    <row r="6">
      <c r="A6" s="201" t="inlineStr">
        <is>
          <t>R-2</t>
        </is>
      </c>
      <c r="B6" s="202" t="inlineStr">
        <is>
          <t>Бета для площадок</t>
        </is>
      </c>
      <c r="C6" s="201" t="n">
        <v>3</v>
      </c>
      <c r="D6" s="201" t="n">
        <v>4</v>
      </c>
      <c r="E6" s="203">
        <f>SUMIF('Дорожная карта'!$A$6:$A$16,D6,'Дорожная карта'!$D$6:$D$16)</f>
        <v/>
      </c>
      <c r="F6" s="204" t="inlineStr">
        <is>
          <t>В работе</t>
        </is>
      </c>
      <c r="G6" s="205">
        <f>COUNTIFS(Бэклог!$U$5:$U$44,"История",Бэклог!$M$5:$M$44,"&gt;="&amp;C6,Бэклог!$M$5:$M$44,"&lt;="&amp;D6)</f>
        <v/>
      </c>
      <c r="H6" s="205">
        <f>COUNTIFS(Бэклог!$U$5:$U$44,"Задача",Бэклог!$M$5:$M$44,"&gt;="&amp;C6,Бэклог!$M$5:$M$44,"&lt;="&amp;D6)</f>
        <v/>
      </c>
      <c r="I6" s="205">
        <f>COUNTIFS(Баги!$D$5:$D$64,"&gt;="&amp;C6,Баги!$D$5:$D$64,"&lt;="&amp;D6)</f>
        <v/>
      </c>
      <c r="J6" s="206">
        <f>SUMIFS(Бэклог!$E$5:$E$44,Бэклог!$M$5:$M$44,"&gt;="&amp;C6,Бэклог!$M$5:$M$44,"&lt;="&amp;D6)</f>
        <v/>
      </c>
      <c r="K6" s="209">
        <f>COUNTIF(Вехи!$G$5:$G$9,A6)</f>
        <v/>
      </c>
    </row>
    <row r="7" ht="27.6" customHeight="1">
      <c r="A7" s="201" t="inlineStr">
        <is>
          <t>R-3</t>
        </is>
      </c>
      <c r="B7" s="202" t="inlineStr">
        <is>
          <t>Публичный релиз 1.0</t>
        </is>
      </c>
      <c r="C7" s="201" t="n">
        <v>5</v>
      </c>
      <c r="D7" s="201" t="n">
        <v>6</v>
      </c>
      <c r="E7" s="203">
        <f>SUMIF('Дорожная карта'!$A$6:$A$16,D7,'Дорожная карта'!$D$6:$D$16)</f>
        <v/>
      </c>
      <c r="F7" s="204" t="inlineStr">
        <is>
          <t>Планируется</t>
        </is>
      </c>
      <c r="G7" s="205">
        <f>COUNTIFS(Бэклог!$U$5:$U$44,"История",Бэклог!$M$5:$M$44,"&gt;="&amp;C7,Бэклог!$M$5:$M$44,"&lt;="&amp;D7)</f>
        <v/>
      </c>
      <c r="H7" s="205">
        <f>COUNTIFS(Бэклог!$U$5:$U$44,"Задача",Бэклог!$M$5:$M$44,"&gt;="&amp;C7,Бэклог!$M$5:$M$44,"&lt;="&amp;D7)</f>
        <v/>
      </c>
      <c r="I7" s="205">
        <f>COUNTIFS(Баги!$D$5:$D$64,"&gt;="&amp;C7,Баги!$D$5:$D$64,"&lt;="&amp;D7)</f>
        <v/>
      </c>
      <c r="J7" s="206">
        <f>SUMIFS(Бэклог!$E$5:$E$44,Бэклог!$M$5:$M$44,"&gt;="&amp;C7,Бэклог!$M$5:$M$44,"&lt;="&amp;D7)</f>
        <v/>
      </c>
      <c r="K7" s="209">
        <f>COUNTIF(Вехи!$G$5:$G$9,A7)</f>
        <v/>
      </c>
    </row>
    <row r="8" ht="27.6" customHeight="1">
      <c r="A8" s="201" t="inlineStr">
        <is>
          <t>R-4</t>
        </is>
      </c>
      <c r="B8" s="202" t="inlineStr">
        <is>
          <t>Релиз 1.1 — уведомления</t>
        </is>
      </c>
      <c r="C8" s="201" t="n">
        <v>7</v>
      </c>
      <c r="D8" s="201" t="n">
        <v>8</v>
      </c>
      <c r="E8" s="203">
        <f>SUMIF('Дорожная карта'!$A$6:$A$16,D8,'Дорожная карта'!$D$6:$D$16)</f>
        <v/>
      </c>
      <c r="F8" s="204" t="inlineStr">
        <is>
          <t>Планируется</t>
        </is>
      </c>
      <c r="G8" s="205">
        <f>COUNTIFS(Бэклог!$U$5:$U$44,"История",Бэклог!$M$5:$M$44,"&gt;="&amp;C8,Бэклог!$M$5:$M$44,"&lt;="&amp;D8)</f>
        <v/>
      </c>
      <c r="H8" s="205">
        <f>COUNTIFS(Бэклог!$U$5:$U$44,"Задача",Бэклог!$M$5:$M$44,"&gt;="&amp;C8,Бэклог!$M$5:$M$44,"&lt;="&amp;D8)</f>
        <v/>
      </c>
      <c r="I8" s="205">
        <f>COUNTIFS(Баги!$D$5:$D$64,"&gt;="&amp;C8,Баги!$D$5:$D$64,"&lt;="&amp;D8)</f>
        <v/>
      </c>
      <c r="J8" s="206">
        <f>SUMIFS(Бэклог!$E$5:$E$44,Бэклог!$M$5:$M$44,"&gt;="&amp;C8,Бэклог!$M$5:$M$44,"&lt;="&amp;D8)</f>
        <v/>
      </c>
      <c r="K8" s="209">
        <f>COUNTIF(Вехи!$G$5:$G$9,A8)</f>
        <v/>
      </c>
    </row>
    <row r="9" ht="27.6" customHeight="1">
      <c r="A9" s="201" t="inlineStr">
        <is>
          <t>R-5</t>
        </is>
      </c>
      <c r="B9" s="202" t="inlineStr">
        <is>
          <t>GA / Стабилизация</t>
        </is>
      </c>
      <c r="C9" s="201" t="n">
        <v>9</v>
      </c>
      <c r="D9" s="201" t="n">
        <v>10</v>
      </c>
      <c r="E9" s="203">
        <f>SUMIF('Дорожная карта'!$A$6:$A$16,D9,'Дорожная карта'!$D$6:$D$16)</f>
        <v/>
      </c>
      <c r="F9" s="204" t="inlineStr">
        <is>
          <t>Планируется</t>
        </is>
      </c>
      <c r="G9" s="205">
        <f>COUNTIFS(Бэклог!$U$5:$U$44,"История",Бэклог!$M$5:$M$44,"&gt;="&amp;C9,Бэклог!$M$5:$M$44,"&lt;="&amp;D9)</f>
        <v/>
      </c>
      <c r="H9" s="205">
        <f>COUNTIFS(Бэклог!$U$5:$U$44,"Задача",Бэклог!$M$5:$M$44,"&gt;="&amp;C9,Бэклог!$M$5:$M$44,"&lt;="&amp;D9)</f>
        <v/>
      </c>
      <c r="I9" s="205">
        <f>COUNTIFS(Баги!$D$5:$D$64,"&gt;="&amp;C9,Баги!$D$5:$D$64,"&lt;="&amp;D9)</f>
        <v/>
      </c>
      <c r="J9" s="206">
        <f>SUMIFS(Бэклог!$E$5:$E$44,Бэклог!$M$5:$M$44,"&gt;="&amp;C9,Бэклог!$M$5:$M$44,"&lt;="&amp;D9)</f>
        <v/>
      </c>
      <c r="K9" s="209">
        <f>COUNTIF(Вехи!$G$5:$G$9,A9)</f>
        <v/>
      </c>
    </row>
  </sheetData>
  <dataValidations count="1">
    <dataValidation sqref="F5 F6 F7 F8 F9" showDropDown="0" showInputMessage="0" showErrorMessage="0" allowBlank="1" type="list">
      <formula1>"Планируется,В работе,Готово,Задержка"</formula1>
    </dataValidation>
  </dataValidations>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G15"/>
  <sheetViews>
    <sheetView showGridLines="0" tabSelected="1" workbookViewId="0">
      <pane ySplit="4" topLeftCell="A5" activePane="bottomLeft" state="frozen"/>
      <selection pane="bottomLeft" activeCell="F12" sqref="F12"/>
    </sheetView>
  </sheetViews>
  <sheetFormatPr baseColWidth="8" defaultRowHeight="14.4"/>
  <cols>
    <col width="7" customWidth="1" min="1" max="1"/>
    <col width="26" customWidth="1" min="2" max="2"/>
    <col width="8" customWidth="1" min="3" max="3"/>
    <col width="14" customWidth="1" min="4" max="4"/>
    <col width="13" customWidth="1" min="5" max="5"/>
    <col width="15" customWidth="1" min="6" max="6"/>
    <col width="9" customWidth="1" min="7" max="7"/>
  </cols>
  <sheetData>
    <row r="1" ht="17.4" customHeight="1">
      <c r="A1" s="198" t="inlineStr">
        <is>
          <t>Вехи (контрольные точки)</t>
        </is>
      </c>
    </row>
    <row r="2">
      <c r="A2" s="199" t="inlineStr">
        <is>
          <t>Ключевые контрольные точки проекта. Дата = конец спринта.</t>
        </is>
      </c>
    </row>
    <row r="4" ht="27.6" customHeight="1">
      <c r="A4" s="200" t="inlineStr">
        <is>
          <t>ID</t>
        </is>
      </c>
      <c r="B4" s="200" t="inlineStr">
        <is>
          <t>Веха</t>
        </is>
      </c>
      <c r="C4" s="200" t="inlineStr">
        <is>
          <t>Спринт</t>
        </is>
      </c>
      <c r="D4" s="200" t="inlineStr">
        <is>
          <t>Дата</t>
        </is>
      </c>
      <c r="E4" s="200" t="inlineStr">
        <is>
          <t>Статус</t>
        </is>
      </c>
      <c r="F4" s="200" t="inlineStr">
        <is>
          <t>Ответственный</t>
        </is>
      </c>
      <c r="G4" s="200" t="inlineStr">
        <is>
          <t>Релиз</t>
        </is>
      </c>
    </row>
    <row r="5">
      <c r="A5" s="201" t="inlineStr">
        <is>
          <t>V-1</t>
        </is>
      </c>
      <c r="B5" s="202" t="inlineStr">
        <is>
          <t>Старт проекта</t>
        </is>
      </c>
      <c r="C5" s="201" t="n">
        <v>1</v>
      </c>
      <c r="D5" s="203">
        <f>SUMIF('Дорожная карта'!$A$6:$A$16,C5,'Дорожная карта'!$D$6:$D$16)</f>
        <v/>
      </c>
      <c r="E5" s="201" t="inlineStr">
        <is>
          <t>Готово</t>
        </is>
      </c>
      <c r="F5" s="201" t="inlineStr">
        <is>
          <t>Иванов А.</t>
        </is>
      </c>
      <c r="G5" s="201" t="inlineStr">
        <is>
          <t>R-1</t>
        </is>
      </c>
    </row>
    <row r="6">
      <c r="A6" s="201" t="inlineStr">
        <is>
          <t>V-2</t>
        </is>
      </c>
      <c r="B6" s="202" t="inlineStr">
        <is>
          <t>Дизайн утверждён</t>
        </is>
      </c>
      <c r="C6" s="201" t="n">
        <v>2</v>
      </c>
      <c r="D6" s="203">
        <f>SUMIF('Дорожная карта'!$A$6:$A$16,C6,'Дорожная карта'!$D$6:$D$16)</f>
        <v/>
      </c>
      <c r="E6" s="201" t="inlineStr">
        <is>
          <t>Готово</t>
        </is>
      </c>
      <c r="F6" s="201" t="inlineStr">
        <is>
          <t>Петрова М.</t>
        </is>
      </c>
      <c r="G6" s="201" t="inlineStr">
        <is>
          <t>R-1</t>
        </is>
      </c>
    </row>
    <row r="7" ht="27.6" customHeight="1">
      <c r="A7" s="201" t="inlineStr">
        <is>
          <t>V-3</t>
        </is>
      </c>
      <c r="B7" s="202" t="inlineStr">
        <is>
          <t>Feature freeze</t>
        </is>
      </c>
      <c r="C7" s="201" t="n">
        <v>5</v>
      </c>
      <c r="D7" s="203">
        <f>SUMIF('Дорожная карта'!$A$6:$A$16,C7,'Дорожная карта'!$D$6:$D$16)</f>
        <v/>
      </c>
      <c r="E7" s="201" t="inlineStr">
        <is>
          <t>Планируется</t>
        </is>
      </c>
      <c r="F7" s="201" t="inlineStr">
        <is>
          <t>Кузнецов Д.</t>
        </is>
      </c>
      <c r="G7" s="201" t="inlineStr">
        <is>
          <t>R-3</t>
        </is>
      </c>
    </row>
    <row r="8" ht="27.6" customHeight="1">
      <c r="A8" s="201" t="inlineStr">
        <is>
          <t>V-4</t>
        </is>
      </c>
      <c r="B8" s="202" t="inlineStr">
        <is>
          <t>Code freeze</t>
        </is>
      </c>
      <c r="C8" s="201" t="n">
        <v>6</v>
      </c>
      <c r="D8" s="203">
        <f>SUMIF('Дорожная карта'!$A$6:$A$16,C8,'Дорожная карта'!$D$6:$D$16)</f>
        <v/>
      </c>
      <c r="E8" s="201" t="inlineStr">
        <is>
          <t>Планируется</t>
        </is>
      </c>
      <c r="F8" s="201" t="inlineStr">
        <is>
          <t>Иванов А.</t>
        </is>
      </c>
      <c r="G8" s="201" t="inlineStr">
        <is>
          <t>R-3</t>
        </is>
      </c>
    </row>
    <row r="9" ht="27.6" customHeight="1">
      <c r="A9" s="201" t="inlineStr">
        <is>
          <t>V-5</t>
        </is>
      </c>
      <c r="B9" s="202" t="inlineStr">
        <is>
          <t>Go-live / запуск</t>
        </is>
      </c>
      <c r="C9" s="201" t="n">
        <v>7</v>
      </c>
      <c r="D9" s="203">
        <f>SUMIF('Дорожная карта'!$A$6:$A$16,C9,'Дорожная карта'!$D$6:$D$16)</f>
        <v/>
      </c>
      <c r="E9" s="201" t="inlineStr">
        <is>
          <t>Планируется</t>
        </is>
      </c>
      <c r="F9" s="201" t="inlineStr">
        <is>
          <t>Сидоров К.</t>
        </is>
      </c>
      <c r="G9" s="201" t="inlineStr">
        <is>
          <t>R-4</t>
        </is>
      </c>
    </row>
    <row r="11" ht="15.6" customHeight="1">
      <c r="A11" s="207" t="inlineStr">
        <is>
          <t>Статус вех</t>
        </is>
      </c>
    </row>
    <row r="12" ht="41.4" customHeight="1">
      <c r="A12" s="208" t="inlineStr">
        <is>
          <t>Планируется</t>
        </is>
      </c>
      <c r="B12" s="209">
        <f>COUNTIF(E5:E9,"Планируется")</f>
        <v/>
      </c>
    </row>
    <row r="13" ht="41.4" customHeight="1">
      <c r="A13" s="208" t="inlineStr">
        <is>
          <t>В работе</t>
        </is>
      </c>
      <c r="B13" s="209">
        <f>COUNTIF(E5:E9,"В работе")</f>
        <v/>
      </c>
    </row>
    <row r="14" ht="27.6" customHeight="1">
      <c r="A14" s="208" t="inlineStr">
        <is>
          <t>Готово</t>
        </is>
      </c>
      <c r="B14" s="209">
        <f>COUNTIF(E5:E9,"Готово")</f>
        <v/>
      </c>
    </row>
    <row r="15" ht="27.6" customHeight="1">
      <c r="A15" s="208" t="inlineStr">
        <is>
          <t>Задержка</t>
        </is>
      </c>
      <c r="B15" s="209">
        <f>COUNTIF(E5:E9,"Задержка")</f>
        <v/>
      </c>
    </row>
  </sheetData>
  <dataValidations count="2">
    <dataValidation sqref="E5 E6 E7 E8 E9" showDropDown="0" showInputMessage="0" showErrorMessage="0" allowBlank="1" type="list">
      <formula1>"Планируется,В работе,Готово,Задержка"</formula1>
    </dataValidation>
    <dataValidation sqref="G5 G6 G7 G8 G9" showDropDown="0" showInputMessage="0" showErrorMessage="0" allowBlank="1" type="list">
      <formula1>"R-1,R-2,R-3,R-4,R-5"</formula1>
    </dataValidation>
  </dataValidations>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K39"/>
  <sheetViews>
    <sheetView showGridLines="0" topLeftCell="C1" workbookViewId="0">
      <pane ySplit="4" topLeftCell="A5" activePane="bottomLeft" state="frozen"/>
      <selection pane="bottomLeft" activeCell="A1" sqref="A1"/>
    </sheetView>
  </sheetViews>
  <sheetFormatPr baseColWidth="8" defaultRowHeight="14.4"/>
  <cols>
    <col width="16.6640625" customWidth="1" min="1" max="1"/>
    <col width="30" customWidth="1" min="2" max="2"/>
    <col width="12" customWidth="1" min="3" max="3"/>
    <col width="14" customWidth="1" min="4" max="4"/>
    <col width="10" customWidth="1" min="5" max="5"/>
    <col width="12" customWidth="1" min="6" max="6"/>
    <col width="11" customWidth="1" min="7" max="7"/>
    <col width="8" customWidth="1" min="8" max="8"/>
    <col width="11" customWidth="1" min="9" max="9"/>
    <col width="9" customWidth="1" min="10" max="10"/>
    <col width="10.77734375" customWidth="1" min="11" max="11"/>
  </cols>
  <sheetData>
    <row r="1" ht="17.4" customHeight="1">
      <c r="A1" s="198" t="inlineStr">
        <is>
          <t>Технический долг</t>
        </is>
      </c>
    </row>
    <row r="2">
      <c r="A2" s="199" t="inlineStr">
        <is>
          <t>Реестр техдолга: область, тип, влияние, оценка, план спринта, статус.</t>
        </is>
      </c>
    </row>
    <row r="4" ht="41.4" customHeight="1">
      <c r="A4" s="200" t="inlineStr">
        <is>
          <t>ID</t>
        </is>
      </c>
      <c r="B4" s="200" t="inlineStr">
        <is>
          <t>Описание</t>
        </is>
      </c>
      <c r="C4" s="200" t="inlineStr">
        <is>
          <t>Область</t>
        </is>
      </c>
      <c r="D4" s="200" t="inlineStr">
        <is>
          <t>Тип</t>
        </is>
      </c>
      <c r="E4" s="200" t="inlineStr">
        <is>
          <t>Влияние</t>
        </is>
      </c>
      <c r="F4" s="200" t="inlineStr">
        <is>
          <t>Оценка (дн)</t>
        </is>
      </c>
      <c r="G4" s="200" t="inlineStr">
        <is>
          <t>Приоритет</t>
        </is>
      </c>
      <c r="H4" s="200" t="inlineStr">
        <is>
          <t>Спринт</t>
        </is>
      </c>
      <c r="I4" s="200" t="inlineStr">
        <is>
          <t>Статус</t>
        </is>
      </c>
      <c r="J4" s="200" t="inlineStr">
        <is>
          <t>Спринт
создан</t>
        </is>
      </c>
      <c r="K4" s="200" t="inlineStr">
        <is>
          <t>Спринт
погашен</t>
        </is>
      </c>
    </row>
    <row r="5" ht="27.6" customHeight="1">
      <c r="A5" s="201" t="inlineStr">
        <is>
          <t>TD-1</t>
        </is>
      </c>
      <c r="B5" s="202" t="inlineStr">
        <is>
          <t>Рефакторинг модуля авторизации</t>
        </is>
      </c>
      <c r="C5" s="201" t="inlineStr">
        <is>
          <t>Auth</t>
        </is>
      </c>
      <c r="D5" s="201" t="inlineStr">
        <is>
          <t>Код</t>
        </is>
      </c>
      <c r="E5" s="201" t="inlineStr">
        <is>
          <t>High</t>
        </is>
      </c>
      <c r="F5" s="210" t="n">
        <v>3</v>
      </c>
      <c r="G5" s="201" t="inlineStr">
        <is>
          <t>High</t>
        </is>
      </c>
      <c r="H5" s="201" t="n">
        <v>4</v>
      </c>
      <c r="I5" s="201" t="inlineStr">
        <is>
          <t>Закрыт</t>
        </is>
      </c>
      <c r="J5" s="212" t="n">
        <v>1</v>
      </c>
      <c r="K5" s="212" t="n">
        <v>3</v>
      </c>
    </row>
    <row r="6" ht="27.6" customHeight="1">
      <c r="A6" s="201" t="inlineStr">
        <is>
          <t>TD-2</t>
        </is>
      </c>
      <c r="B6" s="202" t="inlineStr">
        <is>
          <t>Автотесты оформления заказа</t>
        </is>
      </c>
      <c r="C6" s="201" t="inlineStr">
        <is>
          <t>Checkout</t>
        </is>
      </c>
      <c r="D6" s="201" t="inlineStr">
        <is>
          <t>Тесты</t>
        </is>
      </c>
      <c r="E6" s="201" t="inlineStr">
        <is>
          <t>High</t>
        </is>
      </c>
      <c r="F6" s="210" t="n">
        <v>2</v>
      </c>
      <c r="G6" s="201" t="inlineStr">
        <is>
          <t>High</t>
        </is>
      </c>
      <c r="H6" s="201" t="n">
        <v>3</v>
      </c>
      <c r="I6" s="201" t="inlineStr">
        <is>
          <t>Закрыт</t>
        </is>
      </c>
      <c r="J6" s="212" t="n">
        <v>2</v>
      </c>
      <c r="K6" s="212" t="n">
        <v>4</v>
      </c>
    </row>
    <row r="7">
      <c r="A7" s="201" t="inlineStr">
        <is>
          <t>TD-3</t>
        </is>
      </c>
      <c r="B7" s="202" t="inlineStr">
        <is>
          <t>Убрать дубли в API заказов</t>
        </is>
      </c>
      <c r="C7" s="201" t="inlineStr">
        <is>
          <t>API</t>
        </is>
      </c>
      <c r="D7" s="201" t="inlineStr">
        <is>
          <t>Архитектура</t>
        </is>
      </c>
      <c r="E7" s="201" t="inlineStr">
        <is>
          <t>Medium</t>
        </is>
      </c>
      <c r="F7" s="210" t="n">
        <v>2</v>
      </c>
      <c r="G7" s="201" t="inlineStr">
        <is>
          <t>Medium</t>
        </is>
      </c>
      <c r="H7" s="201" t="n">
        <v>5</v>
      </c>
      <c r="I7" s="201" t="inlineStr">
        <is>
          <t>Открыт</t>
        </is>
      </c>
      <c r="J7" s="212" t="n">
        <v>3</v>
      </c>
      <c r="K7" s="212" t="n"/>
    </row>
    <row r="8" ht="27.6" customHeight="1">
      <c r="A8" s="201" t="inlineStr">
        <is>
          <t>TD-4</t>
        </is>
      </c>
      <c r="B8" s="202" t="inlineStr">
        <is>
          <t>Обновить документацию API</t>
        </is>
      </c>
      <c r="C8" s="201" t="inlineStr">
        <is>
          <t>Docs</t>
        </is>
      </c>
      <c r="D8" s="201" t="inlineStr">
        <is>
          <t>Документация</t>
        </is>
      </c>
      <c r="E8" s="201" t="inlineStr">
        <is>
          <t>Low</t>
        </is>
      </c>
      <c r="F8" s="210" t="n">
        <v>1</v>
      </c>
      <c r="G8" s="201" t="inlineStr">
        <is>
          <t>Low</t>
        </is>
      </c>
      <c r="H8" s="201" t="n">
        <v>6</v>
      </c>
      <c r="I8" s="201" t="inlineStr">
        <is>
          <t>Открыт</t>
        </is>
      </c>
      <c r="J8" s="212" t="n">
        <v>4</v>
      </c>
      <c r="K8" s="212" t="n"/>
    </row>
    <row r="9" ht="27.6" customHeight="1">
      <c r="A9" s="201" t="inlineStr">
        <is>
          <t>TD-5</t>
        </is>
      </c>
      <c r="B9" s="202" t="inlineStr">
        <is>
          <t>Мониторинг и алерты платежей</t>
        </is>
      </c>
      <c r="C9" s="201" t="inlineStr">
        <is>
          <t>Payments</t>
        </is>
      </c>
      <c r="D9" s="201" t="inlineStr">
        <is>
          <t>Инфраструктура</t>
        </is>
      </c>
      <c r="E9" s="201" t="inlineStr">
        <is>
          <t>Medium</t>
        </is>
      </c>
      <c r="F9" s="210" t="n">
        <v>2</v>
      </c>
      <c r="G9" s="201" t="inlineStr">
        <is>
          <t>Medium</t>
        </is>
      </c>
      <c r="H9" s="201" t="n">
        <v>5</v>
      </c>
      <c r="I9" s="201" t="inlineStr">
        <is>
          <t>В работе</t>
        </is>
      </c>
      <c r="J9" s="212" t="n">
        <v>3</v>
      </c>
      <c r="K9" s="212" t="n"/>
    </row>
    <row r="10">
      <c r="A10" s="201" t="inlineStr">
        <is>
          <t>TD-6</t>
        </is>
      </c>
      <c r="B10" s="202" t="inlineStr">
        <is>
          <t>Оптимизация запросов БД</t>
        </is>
      </c>
      <c r="C10" s="201" t="inlineStr">
        <is>
          <t>DB</t>
        </is>
      </c>
      <c r="D10" s="201" t="inlineStr">
        <is>
          <t>Код</t>
        </is>
      </c>
      <c r="E10" s="201" t="inlineStr">
        <is>
          <t>Medium</t>
        </is>
      </c>
      <c r="F10" s="210" t="n">
        <v>3</v>
      </c>
      <c r="G10" s="201" t="inlineStr">
        <is>
          <t>Medium</t>
        </is>
      </c>
      <c r="H10" s="201" t="n">
        <v>7</v>
      </c>
      <c r="I10" s="201" t="inlineStr">
        <is>
          <t>Открыт</t>
        </is>
      </c>
      <c r="J10" s="212" t="n">
        <v>5</v>
      </c>
      <c r="K10" s="212" t="n"/>
    </row>
    <row r="12" ht="15.6" customHeight="1">
      <c r="A12" s="207" t="inlineStr">
        <is>
          <t>По типу</t>
        </is>
      </c>
    </row>
    <row r="13">
      <c r="A13" s="200" t="inlineStr">
        <is>
          <t>Тип</t>
        </is>
      </c>
      <c r="B13" s="200" t="inlineStr">
        <is>
          <t>Оценка (дн)</t>
        </is>
      </c>
      <c r="C13" s="200" t="inlineStr">
        <is>
          <t>Кол-во</t>
        </is>
      </c>
    </row>
    <row r="14" ht="27.6" customHeight="1">
      <c r="A14" s="208" t="inlineStr">
        <is>
          <t>Архитектура</t>
        </is>
      </c>
      <c r="B14" s="206">
        <f>SUMIF($D$5:$D$10,A14,$F$5:$F$10)</f>
        <v/>
      </c>
      <c r="C14" s="205">
        <f>COUNTIF($D$5:$D$10,A14)</f>
        <v/>
      </c>
    </row>
    <row r="15">
      <c r="A15" s="208" t="inlineStr">
        <is>
          <t>Код</t>
        </is>
      </c>
      <c r="B15" s="206">
        <f>SUMIF($D$5:$D$10,A15,$F$5:$F$10)</f>
        <v/>
      </c>
      <c r="C15" s="205">
        <f>COUNTIF($D$5:$D$10,A15)</f>
        <v/>
      </c>
    </row>
    <row r="16">
      <c r="A16" s="208" t="inlineStr">
        <is>
          <t>Тесты</t>
        </is>
      </c>
      <c r="B16" s="206">
        <f>SUMIF($D$5:$D$10,A16,$F$5:$F$10)</f>
        <v/>
      </c>
      <c r="C16" s="205">
        <f>COUNTIF($D$5:$D$10,A16)</f>
        <v/>
      </c>
    </row>
    <row r="17">
      <c r="A17" s="208" t="inlineStr">
        <is>
          <t>Инфраструктура</t>
        </is>
      </c>
      <c r="B17" s="206">
        <f>SUMIF($D$5:$D$10,A17,$F$5:$F$10)</f>
        <v/>
      </c>
      <c r="C17" s="205">
        <f>COUNTIF($D$5:$D$10,A17)</f>
        <v/>
      </c>
    </row>
    <row r="18">
      <c r="A18" s="208" t="inlineStr">
        <is>
          <t>Документация</t>
        </is>
      </c>
      <c r="B18" s="206">
        <f>SUMIF($D$5:$D$10,A18,$F$5:$F$10)</f>
        <v/>
      </c>
      <c r="C18" s="205">
        <f>COUNTIF($D$5:$D$10,A18)</f>
        <v/>
      </c>
    </row>
    <row r="20" ht="15.6" customHeight="1">
      <c r="A20" s="207" t="inlineStr">
        <is>
          <t>По статусу</t>
        </is>
      </c>
    </row>
    <row r="21">
      <c r="A21" s="200" t="inlineStr">
        <is>
          <t>Статус</t>
        </is>
      </c>
      <c r="B21" s="200" t="inlineStr">
        <is>
          <t>Кол-во</t>
        </is>
      </c>
    </row>
    <row r="22">
      <c r="A22" s="208" t="inlineStr">
        <is>
          <t>Открыт</t>
        </is>
      </c>
      <c r="B22" s="205">
        <f>COUNTIF($I$5:$I$10,A22)</f>
        <v/>
      </c>
    </row>
    <row r="23">
      <c r="A23" s="208" t="inlineStr">
        <is>
          <t>В работе</t>
        </is>
      </c>
      <c r="B23" s="205">
        <f>COUNTIF($I$5:$I$10,A23)</f>
        <v/>
      </c>
    </row>
    <row r="24">
      <c r="A24" s="208" t="inlineStr">
        <is>
          <t>Закрыт</t>
        </is>
      </c>
      <c r="B24" s="205">
        <f>COUNTIF($I$5:$I$10,A24)</f>
        <v/>
      </c>
    </row>
    <row r="27" ht="15.6" customHeight="1">
      <c r="A27" s="207" t="inlineStr">
        <is>
          <t>Тренд техдолга (создано / погашено по спринтам)</t>
        </is>
      </c>
    </row>
    <row r="28" ht="27.6" customHeight="1">
      <c r="A28" s="200" t="inlineStr">
        <is>
          <t>Спринт</t>
        </is>
      </c>
      <c r="B28" s="200" t="inlineStr">
        <is>
          <t>Создано</t>
        </is>
      </c>
      <c r="C28" s="200" t="inlineStr">
        <is>
          <t>Погашено</t>
        </is>
      </c>
      <c r="D28" s="200" t="inlineStr">
        <is>
          <t>Открыто (накопит.)</t>
        </is>
      </c>
    </row>
    <row r="29">
      <c r="A29" s="208" t="n">
        <v>1</v>
      </c>
      <c r="B29" s="205">
        <f>COUNTIF($J$5:$J$10,A29)</f>
        <v/>
      </c>
      <c r="C29" s="205">
        <f>COUNTIF($K$5:$K$10,A29)</f>
        <v/>
      </c>
      <c r="D29" s="209">
        <f>B29-C29</f>
        <v/>
      </c>
    </row>
    <row r="30">
      <c r="A30" s="208" t="n">
        <v>2</v>
      </c>
      <c r="B30" s="205">
        <f>COUNTIF($J$5:$J$10,A30)</f>
        <v/>
      </c>
      <c r="C30" s="205">
        <f>COUNTIF($K$5:$K$10,A30)</f>
        <v/>
      </c>
      <c r="D30" s="209">
        <f>D29+B30-C30</f>
        <v/>
      </c>
    </row>
    <row r="31">
      <c r="A31" s="208" t="n">
        <v>3</v>
      </c>
      <c r="B31" s="205">
        <f>COUNTIF($J$5:$J$10,A31)</f>
        <v/>
      </c>
      <c r="C31" s="205">
        <f>COUNTIF($K$5:$K$10,A31)</f>
        <v/>
      </c>
      <c r="D31" s="209">
        <f>D30+B31-C31</f>
        <v/>
      </c>
    </row>
    <row r="32">
      <c r="A32" s="208" t="n">
        <v>4</v>
      </c>
      <c r="B32" s="205">
        <f>COUNTIF($J$5:$J$10,A32)</f>
        <v/>
      </c>
      <c r="C32" s="205">
        <f>COUNTIF($K$5:$K$10,A32)</f>
        <v/>
      </c>
      <c r="D32" s="209">
        <f>D31+B32-C32</f>
        <v/>
      </c>
    </row>
    <row r="33">
      <c r="A33" s="208" t="n">
        <v>5</v>
      </c>
      <c r="B33" s="205">
        <f>COUNTIF($J$5:$J$10,A33)</f>
        <v/>
      </c>
      <c r="C33" s="205">
        <f>COUNTIF($K$5:$K$10,A33)</f>
        <v/>
      </c>
      <c r="D33" s="209">
        <f>D32+B33-C33</f>
        <v/>
      </c>
    </row>
    <row r="34">
      <c r="A34" s="208" t="n">
        <v>6</v>
      </c>
      <c r="B34" s="205">
        <f>COUNTIF($J$5:$J$10,A34)</f>
        <v/>
      </c>
      <c r="C34" s="205">
        <f>COUNTIF($K$5:$K$10,A34)</f>
        <v/>
      </c>
      <c r="D34" s="209">
        <f>D33+B34-C34</f>
        <v/>
      </c>
    </row>
    <row r="35">
      <c r="A35" s="208" t="n">
        <v>7</v>
      </c>
      <c r="B35" s="205">
        <f>COUNTIF($J$5:$J$10,A35)</f>
        <v/>
      </c>
      <c r="C35" s="205">
        <f>COUNTIF($K$5:$K$10,A35)</f>
        <v/>
      </c>
      <c r="D35" s="209">
        <f>D34+B35-C35</f>
        <v/>
      </c>
    </row>
    <row r="36">
      <c r="A36" s="208" t="n">
        <v>8</v>
      </c>
      <c r="B36" s="205">
        <f>COUNTIF($J$5:$J$10,A36)</f>
        <v/>
      </c>
      <c r="C36" s="205">
        <f>COUNTIF($K$5:$K$10,A36)</f>
        <v/>
      </c>
      <c r="D36" s="209">
        <f>D35+B36-C36</f>
        <v/>
      </c>
    </row>
    <row r="37">
      <c r="A37" s="208" t="n">
        <v>9</v>
      </c>
      <c r="B37" s="205">
        <f>COUNTIF($J$5:$J$10,A37)</f>
        <v/>
      </c>
      <c r="C37" s="205">
        <f>COUNTIF($K$5:$K$10,A37)</f>
        <v/>
      </c>
      <c r="D37" s="209">
        <f>D36+B37-C37</f>
        <v/>
      </c>
    </row>
    <row r="38">
      <c r="A38" s="208" t="n">
        <v>10</v>
      </c>
      <c r="B38" s="205">
        <f>COUNTIF($J$5:$J$10,A38)</f>
        <v/>
      </c>
      <c r="C38" s="205">
        <f>COUNTIF($K$5:$K$10,A38)</f>
        <v/>
      </c>
      <c r="D38" s="209">
        <f>D37+B38-C38</f>
        <v/>
      </c>
    </row>
    <row r="39">
      <c r="A39" s="208" t="n">
        <v>11</v>
      </c>
      <c r="B39" s="205">
        <f>COUNTIF($J$5:$J$10,A39)</f>
        <v/>
      </c>
      <c r="C39" s="205">
        <f>COUNTIF($K$5:$K$10,A39)</f>
        <v/>
      </c>
      <c r="D39" s="209">
        <f>D38+B39-C39</f>
        <v/>
      </c>
    </row>
  </sheetData>
  <dataValidations count="3">
    <dataValidation sqref="D5 D6 D7 D8 D9 D10" showDropDown="0" showInputMessage="0" showErrorMessage="0" allowBlank="1" type="list">
      <formula1>"Архитектура,Код,Тесты,Инфраструктура,Документация"</formula1>
    </dataValidation>
    <dataValidation sqref="E5 E6 E7 E8 E9 E10" showDropDown="0" showInputMessage="0" showErrorMessage="0" allowBlank="1" type="list">
      <formula1>"High,Medium,Low"</formula1>
    </dataValidation>
    <dataValidation sqref="I5 I6 I7 I8 I9 I10" showDropDown="0" showInputMessage="0" showErrorMessage="0" allowBlank="1" type="list">
      <formula1>"Открыт,В работе,Закрыт"</formula1>
    </dataValidation>
  </dataValidations>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G11"/>
  <sheetViews>
    <sheetView showGridLines="0" workbookViewId="0">
      <pane ySplit="4" topLeftCell="A5" activePane="bottomLeft" state="frozen"/>
      <selection pane="bottomLeft" activeCell="F14" sqref="F14"/>
    </sheetView>
  </sheetViews>
  <sheetFormatPr baseColWidth="8" defaultRowHeight="14.4"/>
  <cols>
    <col width="8" customWidth="1" min="1" max="1"/>
    <col width="28" customWidth="1" min="2" max="2"/>
    <col width="24" customWidth="1" min="3" max="3"/>
    <col width="30" customWidth="1" min="4" max="4"/>
    <col width="15" customWidth="1" min="5" max="5"/>
    <col width="11" customWidth="1" min="6" max="7"/>
  </cols>
  <sheetData>
    <row r="1" ht="17.4" customHeight="1">
      <c r="A1" s="163" t="inlineStr">
        <is>
          <t>Ретроспективы и action items</t>
        </is>
      </c>
    </row>
    <row r="2">
      <c r="A2" s="164" t="inlineStr">
        <is>
          <t>Итоги спринтов и улучшения с трекингом выполнения.</t>
        </is>
      </c>
    </row>
    <row r="4" ht="27.6" customHeight="1">
      <c r="A4" s="161" t="inlineStr">
        <is>
          <t>Спринт</t>
        </is>
      </c>
      <c r="B4" s="161" t="inlineStr">
        <is>
          <t>Что прошло хорошо</t>
        </is>
      </c>
      <c r="C4" s="161" t="inlineStr">
        <is>
          <t>Что улучшить</t>
        </is>
      </c>
      <c r="D4" s="161" t="inlineStr">
        <is>
          <t>Action item</t>
        </is>
      </c>
      <c r="E4" s="161" t="inlineStr">
        <is>
          <t>Ответственный</t>
        </is>
      </c>
      <c r="F4" s="161" t="inlineStr">
        <is>
          <t>Срок</t>
        </is>
      </c>
      <c r="G4" s="161" t="inlineStr">
        <is>
          <t>Статус</t>
        </is>
      </c>
    </row>
    <row r="5" ht="27.6" customHeight="1">
      <c r="A5" s="175" t="n">
        <v>1</v>
      </c>
      <c r="B5" s="170" t="inlineStr">
        <is>
          <t>Быстрый старт, реалистичная оценка</t>
        </is>
      </c>
      <c r="C5" s="170" t="inlineStr">
        <is>
          <t>Мало тестовых данных</t>
        </is>
      </c>
      <c r="D5" s="170" t="inlineStr">
        <is>
          <t>Подготовить набор тест-данных</t>
        </is>
      </c>
      <c r="E5" s="175" t="inlineStr">
        <is>
          <t>Сидоров К.</t>
        </is>
      </c>
      <c r="F5" s="175" t="inlineStr">
        <is>
          <t>Спринт 2</t>
        </is>
      </c>
      <c r="G5" s="175" t="inlineStr">
        <is>
          <t>Сделано</t>
        </is>
      </c>
    </row>
    <row r="6">
      <c r="A6" s="175" t="n">
        <v>1</v>
      </c>
      <c r="B6" s="170" t="inlineStr">
        <is>
          <t>Хорошее демо</t>
        </is>
      </c>
      <c r="C6" s="170" t="inlineStr">
        <is>
          <t>Долгий код-ревью</t>
        </is>
      </c>
      <c r="D6" s="170" t="inlineStr">
        <is>
          <t>SLA на ревью — 1 день</t>
        </is>
      </c>
      <c r="E6" s="175" t="inlineStr">
        <is>
          <t>Иванов А.</t>
        </is>
      </c>
      <c r="F6" s="175" t="inlineStr">
        <is>
          <t>Спринт 2</t>
        </is>
      </c>
      <c r="G6" s="175" t="inlineStr">
        <is>
          <t>Сделано</t>
        </is>
      </c>
    </row>
    <row r="7" ht="27.6" customHeight="1">
      <c r="A7" s="175" t="n">
        <v>2</v>
      </c>
      <c r="B7" s="170" t="inlineStr">
        <is>
          <t>Стабильные демо</t>
        </is>
      </c>
      <c r="C7" s="170" t="inlineStr">
        <is>
          <t>Скоуп рос по ходу</t>
        </is>
      </c>
      <c r="D7" s="170" t="inlineStr">
        <is>
          <t>Фиксировать скоуп на планировании</t>
        </is>
      </c>
      <c r="E7" s="175" t="inlineStr">
        <is>
          <t>Кузнецов Д.</t>
        </is>
      </c>
      <c r="F7" s="175" t="inlineStr">
        <is>
          <t>Спринт 3</t>
        </is>
      </c>
      <c r="G7" s="175" t="inlineStr">
        <is>
          <t>В работе</t>
        </is>
      </c>
    </row>
    <row r="8" ht="27.6" customHeight="1">
      <c r="A8" s="175" t="n">
        <v>2</v>
      </c>
      <c r="B8" s="170" t="inlineStr">
        <is>
          <t>Слаженная работа QA</t>
        </is>
      </c>
      <c r="C8" s="170" t="inlineStr">
        <is>
          <t>Блокеры по внешнему API</t>
        </is>
      </c>
      <c r="D8" s="170" t="inlineStr">
        <is>
          <t>Ранняя интеграция / моки</t>
        </is>
      </c>
      <c r="E8" s="175" t="inlineStr">
        <is>
          <t>Иванов А.</t>
        </is>
      </c>
      <c r="F8" s="175" t="inlineStr">
        <is>
          <t>Спринт 3</t>
        </is>
      </c>
      <c r="G8" s="175" t="inlineStr">
        <is>
          <t>Открыт</t>
        </is>
      </c>
    </row>
    <row r="10">
      <c r="A10" s="14" t="inlineStr">
        <is>
          <t>Закрыто action items:</t>
        </is>
      </c>
      <c r="D10" s="14">
        <f>COUNTIF(G5:G8,"Сделано")&amp;" / "&amp;COUNTA(G5:G8)</f>
        <v/>
      </c>
    </row>
    <row r="11">
      <c r="A11" s="14" t="inlineStr">
        <is>
          <t>% закрытых:</t>
        </is>
      </c>
      <c r="D11" s="179">
        <f>IFERROR(COUNTIF(G5:G8,"Сделано")/COUNTA(G5:G8),0)</f>
        <v/>
      </c>
    </row>
  </sheetData>
  <dataValidations count="1">
    <dataValidation sqref="G5 G6 G7 G8" showDropDown="0" showInputMessage="0" showErrorMessage="0" allowBlank="1" type="list">
      <formula1>"Открыт,В работе,Сделано"</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21"/>
  <sheetViews>
    <sheetView showGridLines="0" workbookViewId="0">
      <pane ySplit="6" topLeftCell="A7" activePane="bottomLeft" state="frozen"/>
      <selection pane="bottomLeft" activeCell="A1" sqref="A1"/>
    </sheetView>
  </sheetViews>
  <sheetFormatPr baseColWidth="8" defaultRowHeight="14.4"/>
  <cols>
    <col width="26" customWidth="1" min="1" max="1"/>
    <col width="13" customWidth="1" min="2" max="2"/>
    <col width="15" customWidth="1" min="3" max="3"/>
    <col width="18" customWidth="1" min="4" max="4"/>
    <col width="12" customWidth="1" min="5" max="5"/>
    <col width="17" customWidth="1" min="6" max="6"/>
  </cols>
  <sheetData>
    <row r="1" ht="17.4" customHeight="1">
      <c r="A1" s="163" t="inlineStr">
        <is>
          <t>Бюджет и стоимость</t>
        </is>
      </c>
    </row>
    <row r="3">
      <c r="A3" s="14" t="inlineStr">
        <is>
          <t>Ставка (₽/чел-день):</t>
        </is>
      </c>
      <c r="C3" s="180" t="n">
        <v>8000</v>
      </c>
    </row>
    <row r="4">
      <c r="A4" s="14" t="inlineStr">
        <is>
          <t>Бюджет проекта (₽):</t>
        </is>
      </c>
      <c r="C4" s="180" t="n">
        <v>8000000</v>
      </c>
    </row>
    <row r="6" ht="27.6" customHeight="1">
      <c r="A6" s="161" t="inlineStr">
        <is>
          <t>Спринт</t>
        </is>
      </c>
      <c r="B6" s="161" t="inlineStr">
        <is>
          <t>Капасити (дн)</t>
        </is>
      </c>
      <c r="C6" s="161" t="inlineStr">
        <is>
          <t>Стоимость (₽)</t>
        </is>
      </c>
      <c r="D6" s="161" t="inlineStr">
        <is>
          <t>Накопл. стоимость (₽)</t>
        </is>
      </c>
      <c r="E6" s="161" t="inlineStr">
        <is>
          <t>Velocity (дн)</t>
        </is>
      </c>
      <c r="F6" s="161" t="inlineStr">
        <is>
          <t>Цена velocity-дня (₽)</t>
        </is>
      </c>
    </row>
    <row r="7">
      <c r="A7" s="177" t="n">
        <v>1</v>
      </c>
      <c r="B7" s="167">
        <f>'Дорожная карта'!F6</f>
        <v/>
      </c>
      <c r="C7" s="181">
        <f>B7*$C$3</f>
        <v/>
      </c>
      <c r="D7" s="181">
        <f>C7</f>
        <v/>
      </c>
      <c r="E7" s="167">
        <f>'Дорожная карта'!I6</f>
        <v/>
      </c>
      <c r="F7" s="181">
        <f>IF(E7="","",IFERROR(C7/E7,0))</f>
        <v/>
      </c>
    </row>
    <row r="8">
      <c r="A8" s="177" t="n">
        <v>2</v>
      </c>
      <c r="B8" s="167">
        <f>'Дорожная карта'!F7</f>
        <v/>
      </c>
      <c r="C8" s="181">
        <f>B8*$C$3</f>
        <v/>
      </c>
      <c r="D8" s="181">
        <f>D7+C8</f>
        <v/>
      </c>
      <c r="E8" s="167">
        <f>'Дорожная карта'!I7</f>
        <v/>
      </c>
      <c r="F8" s="181">
        <f>IF(E8="","",IFERROR(C8/E8,0))</f>
        <v/>
      </c>
    </row>
    <row r="9">
      <c r="A9" s="177" t="n">
        <v>3</v>
      </c>
      <c r="B9" s="167">
        <f>'Дорожная карта'!F8</f>
        <v/>
      </c>
      <c r="C9" s="181">
        <f>B9*$C$3</f>
        <v/>
      </c>
      <c r="D9" s="181">
        <f>D8+C9</f>
        <v/>
      </c>
      <c r="E9" s="167">
        <f>'Дорожная карта'!I8</f>
        <v/>
      </c>
      <c r="F9" s="181">
        <f>IF(E9="","",IFERROR(C9/E9,0))</f>
        <v/>
      </c>
    </row>
    <row r="10">
      <c r="A10" s="177" t="n">
        <v>4</v>
      </c>
      <c r="B10" s="167">
        <f>'Дорожная карта'!F9</f>
        <v/>
      </c>
      <c r="C10" s="181">
        <f>B10*$C$3</f>
        <v/>
      </c>
      <c r="D10" s="181">
        <f>D9+C10</f>
        <v/>
      </c>
      <c r="E10" s="167">
        <f>'Дорожная карта'!I9</f>
        <v/>
      </c>
      <c r="F10" s="181">
        <f>IF(E10="","",IFERROR(C10/E10,0))</f>
        <v/>
      </c>
    </row>
    <row r="11">
      <c r="A11" s="177" t="n">
        <v>5</v>
      </c>
      <c r="B11" s="167">
        <f>'Дорожная карта'!F10</f>
        <v/>
      </c>
      <c r="C11" s="181">
        <f>B11*$C$3</f>
        <v/>
      </c>
      <c r="D11" s="181">
        <f>D10+C11</f>
        <v/>
      </c>
      <c r="E11" s="167">
        <f>'Дорожная карта'!I10</f>
        <v/>
      </c>
      <c r="F11" s="181">
        <f>IF(E11="","",IFERROR(C11/E11,0))</f>
        <v/>
      </c>
    </row>
    <row r="12">
      <c r="A12" s="177" t="n">
        <v>6</v>
      </c>
      <c r="B12" s="167">
        <f>'Дорожная карта'!F11</f>
        <v/>
      </c>
      <c r="C12" s="181">
        <f>B12*$C$3</f>
        <v/>
      </c>
      <c r="D12" s="181">
        <f>D11+C12</f>
        <v/>
      </c>
      <c r="E12" s="167">
        <f>'Дорожная карта'!I11</f>
        <v/>
      </c>
      <c r="F12" s="181">
        <f>IF(E12="","",IFERROR(C12/E12,0))</f>
        <v/>
      </c>
    </row>
    <row r="13">
      <c r="A13" s="177" t="n">
        <v>7</v>
      </c>
      <c r="B13" s="167">
        <f>'Дорожная карта'!F12</f>
        <v/>
      </c>
      <c r="C13" s="181">
        <f>B13*$C$3</f>
        <v/>
      </c>
      <c r="D13" s="181">
        <f>D12+C13</f>
        <v/>
      </c>
      <c r="E13" s="167">
        <f>'Дорожная карта'!I12</f>
        <v/>
      </c>
      <c r="F13" s="181">
        <f>IF(E13="","",IFERROR(C13/E13,0))</f>
        <v/>
      </c>
    </row>
    <row r="14">
      <c r="A14" s="177" t="n">
        <v>8</v>
      </c>
      <c r="B14" s="167">
        <f>'Дорожная карта'!F13</f>
        <v/>
      </c>
      <c r="C14" s="181">
        <f>B14*$C$3</f>
        <v/>
      </c>
      <c r="D14" s="181">
        <f>D13+C14</f>
        <v/>
      </c>
      <c r="E14" s="167">
        <f>'Дорожная карта'!I13</f>
        <v/>
      </c>
      <c r="F14" s="181">
        <f>IF(E14="","",IFERROR(C14/E14,0))</f>
        <v/>
      </c>
    </row>
    <row r="15">
      <c r="A15" s="177" t="n">
        <v>9</v>
      </c>
      <c r="B15" s="167">
        <f>'Дорожная карта'!F14</f>
        <v/>
      </c>
      <c r="C15" s="181">
        <f>B15*$C$3</f>
        <v/>
      </c>
      <c r="D15" s="181">
        <f>D14+C15</f>
        <v/>
      </c>
      <c r="E15" s="167">
        <f>'Дорожная карта'!I14</f>
        <v/>
      </c>
      <c r="F15" s="181">
        <f>IF(E15="","",IFERROR(C15/E15,0))</f>
        <v/>
      </c>
    </row>
    <row r="16">
      <c r="A16" s="177" t="n">
        <v>10</v>
      </c>
      <c r="B16" s="167">
        <f>'Дорожная карта'!F15</f>
        <v/>
      </c>
      <c r="C16" s="181">
        <f>B16*$C$3</f>
        <v/>
      </c>
      <c r="D16" s="181">
        <f>D15+C16</f>
        <v/>
      </c>
      <c r="E16" s="167">
        <f>'Дорожная карта'!I15</f>
        <v/>
      </c>
      <c r="F16" s="181">
        <f>IF(E16="","",IFERROR(C16/E16,0))</f>
        <v/>
      </c>
    </row>
    <row r="17">
      <c r="A17" s="177" t="n">
        <v>11</v>
      </c>
      <c r="B17" s="167">
        <f>'Дорожная карта'!F16</f>
        <v/>
      </c>
      <c r="C17" s="181">
        <f>B17*$C$3</f>
        <v/>
      </c>
      <c r="D17" s="181">
        <f>D16+C17</f>
        <v/>
      </c>
      <c r="E17" s="167">
        <f>'Дорожная карта'!I16</f>
        <v/>
      </c>
      <c r="F17" s="181">
        <f>IF(E17="","",IFERROR(C17/E17,0))</f>
        <v/>
      </c>
    </row>
    <row r="19">
      <c r="A19" s="14" t="inlineStr">
        <is>
          <t>Всего стоимость (₽):</t>
        </is>
      </c>
      <c r="C19" s="182">
        <f>D17</f>
        <v/>
      </c>
    </row>
    <row r="20">
      <c r="A20" s="14" t="inlineStr">
        <is>
          <t>Остаток бюджета (₽):</t>
        </is>
      </c>
      <c r="C20" s="182">
        <f>C4-D17</f>
        <v/>
      </c>
    </row>
    <row r="21">
      <c r="A21" s="14" t="inlineStr">
        <is>
          <t>Средняя цена velocity-дня (₽):</t>
        </is>
      </c>
      <c r="C21" s="182">
        <f>IFERROR(SUM(C7:C17)/SUM(E7:E17),0)</f>
        <v/>
      </c>
    </row>
  </sheetData>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G9"/>
  <sheetViews>
    <sheetView showGridLines="0" workbookViewId="0">
      <pane ySplit="4" topLeftCell="A5" activePane="bottomLeft" state="frozen"/>
      <selection pane="bottomLeft" activeCell="E13" sqref="E13"/>
    </sheetView>
  </sheetViews>
  <sheetFormatPr baseColWidth="8" defaultRowHeight="14.4"/>
  <cols>
    <col width="10" customWidth="1" min="1" max="1"/>
    <col width="30" customWidth="1" min="2" max="2"/>
    <col width="34" customWidth="1" min="3" max="3"/>
    <col width="8" customWidth="1" min="4" max="4"/>
    <col width="9" customWidth="1" min="5" max="5"/>
    <col width="11.33203125" customWidth="1" min="6" max="6"/>
    <col width="13" customWidth="1" min="7" max="7"/>
  </cols>
  <sheetData>
    <row r="1" ht="17.4" customHeight="1">
      <c r="A1" s="163" t="inlineStr">
        <is>
          <t>OKR — цели квартала</t>
        </is>
      </c>
    </row>
    <row r="2">
      <c r="A2" s="164" t="inlineStr">
        <is>
          <t>Objective + Key Results с прогрессом (Текущее / Цель).</t>
        </is>
      </c>
    </row>
    <row r="4" ht="27.6" customHeight="1">
      <c r="A4" s="161" t="inlineStr">
        <is>
          <t>Квартал</t>
        </is>
      </c>
      <c r="B4" s="161" t="inlineStr">
        <is>
          <t>Objective (цель)</t>
        </is>
      </c>
      <c r="C4" s="161" t="inlineStr">
        <is>
          <t>Key Result</t>
        </is>
      </c>
      <c r="D4" s="161" t="inlineStr">
        <is>
          <t>Цель</t>
        </is>
      </c>
      <c r="E4" s="161" t="inlineStr">
        <is>
          <t>Текущее</t>
        </is>
      </c>
      <c r="F4" s="161" t="inlineStr">
        <is>
          <t>Прогресс</t>
        </is>
      </c>
      <c r="G4" s="161" t="inlineStr">
        <is>
          <t>Статус</t>
        </is>
      </c>
    </row>
    <row r="5" ht="27.6" customHeight="1">
      <c r="A5" s="177" t="inlineStr">
        <is>
          <t>Q3 2026</t>
        </is>
      </c>
      <c r="B5" s="170" t="inlineStr">
        <is>
          <t>Запустить подписочную модель заказа</t>
        </is>
      </c>
      <c r="C5" s="170" t="inlineStr">
        <is>
          <t>Готовность MVP чекаута, %</t>
        </is>
      </c>
      <c r="D5" s="175" t="n">
        <v>100</v>
      </c>
      <c r="E5" s="175" t="n">
        <v>70</v>
      </c>
      <c r="F5" s="168">
        <f>IFERROR(E5/D5,0)</f>
        <v/>
      </c>
      <c r="G5" s="177">
        <f>IF(F5&gt;=1,"Достигнуто",IF(F5&gt;=0.7,"В графике","Отстаёт"))</f>
        <v/>
      </c>
    </row>
    <row r="6" ht="27.6" customHeight="1">
      <c r="A6" s="177" t="inlineStr">
        <is>
          <t>Q3 2026</t>
        </is>
      </c>
      <c r="B6" s="170" t="inlineStr">
        <is>
          <t>Запустить подписочную модель заказа</t>
        </is>
      </c>
      <c r="C6" s="170" t="inlineStr">
        <is>
          <t>Интеграция оплаты, %</t>
        </is>
      </c>
      <c r="D6" s="175" t="n">
        <v>100</v>
      </c>
      <c r="E6" s="175" t="n">
        <v>60</v>
      </c>
      <c r="F6" s="168">
        <f>IFERROR(E6/D6,0)</f>
        <v/>
      </c>
      <c r="G6" s="177">
        <f>IF(F6&gt;=1,"Достигнуто",IF(F6&gt;=0.7,"В графике","Отстаёт"))</f>
        <v/>
      </c>
    </row>
    <row r="7" ht="27.6" customHeight="1">
      <c r="A7" s="177" t="inlineStr">
        <is>
          <t>Q3 2026</t>
        </is>
      </c>
      <c r="B7" s="170" t="inlineStr">
        <is>
          <t>Обеспечить качество релиза</t>
        </is>
      </c>
      <c r="C7" s="170" t="inlineStr">
        <is>
          <t>Покрытие автотестами ключевых сценариев, %</t>
        </is>
      </c>
      <c r="D7" s="175" t="n">
        <v>80</v>
      </c>
      <c r="E7" s="175" t="n">
        <v>45</v>
      </c>
      <c r="F7" s="168">
        <f>IFERROR(E7/D7,0)</f>
        <v/>
      </c>
      <c r="G7" s="177">
        <f>IF(F7&gt;=1,"Достигнуто",IF(F7&gt;=0.7,"В графике","Отстаёт"))</f>
        <v/>
      </c>
    </row>
    <row r="8" ht="27.6" customHeight="1">
      <c r="A8" s="177" t="inlineStr">
        <is>
          <t>Q4 2026</t>
        </is>
      </c>
      <c r="B8" s="170" t="inlineStr">
        <is>
          <t>Масштабировать на площадки</t>
        </is>
      </c>
      <c r="C8" s="170" t="inlineStr">
        <is>
          <t>Подключённых площадок, шт</t>
        </is>
      </c>
      <c r="D8" s="175" t="n">
        <v>20</v>
      </c>
      <c r="E8" s="175" t="n">
        <v>6</v>
      </c>
      <c r="F8" s="168">
        <f>IFERROR(E8/D8,0)</f>
        <v/>
      </c>
      <c r="G8" s="177">
        <f>IF(F8&gt;=1,"Достигнуто",IF(F8&gt;=0.7,"В графике","Отстаёт"))</f>
        <v/>
      </c>
    </row>
    <row r="9" ht="27.6" customHeight="1">
      <c r="A9" s="177" t="inlineStr">
        <is>
          <t>Q4 2026</t>
        </is>
      </c>
      <c r="B9" s="170" t="inlineStr">
        <is>
          <t>Масштабировать на площадки</t>
        </is>
      </c>
      <c r="C9" s="170" t="inlineStr">
        <is>
          <t>Уведомления и история заказов, %</t>
        </is>
      </c>
      <c r="D9" s="175" t="n">
        <v>100</v>
      </c>
      <c r="E9" s="175" t="n">
        <v>20</v>
      </c>
      <c r="F9" s="168">
        <f>IFERROR(E9/D9,0)</f>
        <v/>
      </c>
      <c r="G9" s="177">
        <f>IF(F9&gt;=1,"Достигнуто",IF(F9&gt;=0.7,"В графике","Отстаёт"))</f>
        <v/>
      </c>
    </row>
  </sheetData>
  <conditionalFormatting sqref="F5:F9">
    <cfRule type="cellIs" priority="1" operator="greaterThanOrEqual" dxfId="0">
      <formula>1</formula>
    </cfRule>
    <cfRule type="cellIs" priority="2" operator="between" dxfId="1">
      <formula>0.7</formula>
      <formula>0.999</formula>
    </cfRule>
    <cfRule type="cellIs" priority="3" operator="lessThan" dxfId="2">
      <formula>0.7</formula>
    </cfRule>
  </conditionalFormatting>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outlinePr summaryBelow="1" summaryRight="1"/>
    <pageSetUpPr/>
  </sheetPr>
  <dimension ref="A1:F19"/>
  <sheetViews>
    <sheetView showGridLines="0" workbookViewId="0">
      <pane ySplit="5" topLeftCell="A6" activePane="bottomLeft" state="frozen"/>
      <selection pane="bottomLeft" activeCell="N4" sqref="N4"/>
    </sheetView>
  </sheetViews>
  <sheetFormatPr baseColWidth="8" defaultRowHeight="14.4"/>
  <cols>
    <col width="14" customWidth="1" min="1" max="1"/>
    <col width="13" customWidth="1" min="2" max="2"/>
    <col width="12" customWidth="1" min="3" max="4"/>
    <col width="10" customWidth="1" min="5" max="5"/>
    <col width="12" customWidth="1" min="6" max="6"/>
  </cols>
  <sheetData>
    <row r="1" ht="17.4" customHeight="1">
      <c r="A1" s="163" t="inlineStr">
        <is>
          <t>Планирование ёмкости на горизонт</t>
        </is>
      </c>
    </row>
    <row r="2">
      <c r="A2" s="164" t="inlineStr">
        <is>
          <t>Ёмкость vs спрос по кварталам и ролям; дефицит/профицит и оценка потребности в найме.</t>
        </is>
      </c>
    </row>
    <row r="4" ht="15.6" customHeight="1">
      <c r="A4" s="176" t="inlineStr">
        <is>
          <t>По кварталам</t>
        </is>
      </c>
    </row>
    <row r="5" ht="27.6" customHeight="1">
      <c r="A5" s="161" t="inlineStr">
        <is>
          <t>Квартал</t>
        </is>
      </c>
      <c r="B5" s="161" t="inlineStr">
        <is>
          <t>Ёмкость (дн)</t>
        </is>
      </c>
      <c r="C5" s="161" t="inlineStr">
        <is>
          <t>Спрос (дн)</t>
        </is>
      </c>
      <c r="D5" s="161" t="inlineStr">
        <is>
          <t>Баланс (дн)</t>
        </is>
      </c>
      <c r="E5" s="161" t="inlineStr">
        <is>
          <t>Загрузка</t>
        </is>
      </c>
      <c r="F5" s="161" t="inlineStr">
        <is>
          <t>Нужно +чел.</t>
        </is>
      </c>
    </row>
    <row r="6">
      <c r="A6" s="165">
        <f>Кварталы!A5</f>
        <v/>
      </c>
      <c r="B6" s="167">
        <f>Кварталы!C5</f>
        <v/>
      </c>
      <c r="C6" s="167">
        <f>Кварталы!D5</f>
        <v/>
      </c>
      <c r="D6" s="183">
        <f>B6-C6</f>
        <v/>
      </c>
      <c r="E6" s="169">
        <f>IFERROR(C6/B6,0)</f>
        <v/>
      </c>
      <c r="F6" s="184">
        <f>IF(C6&gt;B6,ROUNDUP((C6-B6)/MAX(1,Кварталы!B5*8),0),0)</f>
        <v/>
      </c>
    </row>
    <row r="7">
      <c r="A7" s="165">
        <f>Кварталы!A6</f>
        <v/>
      </c>
      <c r="B7" s="167">
        <f>Кварталы!C6</f>
        <v/>
      </c>
      <c r="C7" s="167">
        <f>Кварталы!D6</f>
        <v/>
      </c>
      <c r="D7" s="183">
        <f>B7-C7</f>
        <v/>
      </c>
      <c r="E7" s="169">
        <f>IFERROR(C7/B7,0)</f>
        <v/>
      </c>
      <c r="F7" s="184">
        <f>IF(C7&gt;B7,ROUNDUP((C7-B7)/MAX(1,Кварталы!B6*8),0),0)</f>
        <v/>
      </c>
    </row>
    <row r="8">
      <c r="A8" s="165">
        <f>Кварталы!A7</f>
        <v/>
      </c>
      <c r="B8" s="167">
        <f>Кварталы!C7</f>
        <v/>
      </c>
      <c r="C8" s="167">
        <f>Кварталы!D7</f>
        <v/>
      </c>
      <c r="D8" s="183">
        <f>B8-C8</f>
        <v/>
      </c>
      <c r="E8" s="169">
        <f>IFERROR(C8/B8,0)</f>
        <v/>
      </c>
      <c r="F8" s="184">
        <f>IF(C8&gt;B8,ROUNDUP((C8-B8)/MAX(1,Кварталы!B7*8),0),0)</f>
        <v/>
      </c>
    </row>
    <row r="10" ht="15.6" customHeight="1">
      <c r="A10" s="176" t="inlineStr">
        <is>
          <t>По ролям (весь горизонт)</t>
        </is>
      </c>
    </row>
    <row r="11" ht="27.6" customHeight="1">
      <c r="A11" s="161" t="inlineStr">
        <is>
          <t>Роль</t>
        </is>
      </c>
      <c r="B11" s="161" t="inlineStr">
        <is>
          <t>Ёмкость (дн)</t>
        </is>
      </c>
      <c r="C11" s="161" t="inlineStr">
        <is>
          <t>Спрос (дн)</t>
        </is>
      </c>
      <c r="D11" s="161" t="inlineStr">
        <is>
          <t>Баланс (дн)</t>
        </is>
      </c>
      <c r="E11" s="161" t="inlineStr">
        <is>
          <t>Загрузка</t>
        </is>
      </c>
    </row>
    <row r="12">
      <c r="A12" s="165" t="inlineStr">
        <is>
          <t>Backend</t>
        </is>
      </c>
      <c r="B12" s="167">
        <f>SUMIF(Капасити!$C$5:$C$147,A12,Капасити!$H$5:$H$147)</f>
        <v/>
      </c>
      <c r="C12" s="167">
        <f>SUMIF(Бэклог!$H$5:$H$44,A12,Бэклог!$E$5:$E$44)</f>
        <v/>
      </c>
      <c r="D12" s="183">
        <f>B12-C12</f>
        <v/>
      </c>
      <c r="E12" s="169">
        <f>IFERROR(C12/B12,0)</f>
        <v/>
      </c>
    </row>
    <row r="13">
      <c r="A13" s="165" t="inlineStr">
        <is>
          <t>Frontend</t>
        </is>
      </c>
      <c r="B13" s="167">
        <f>SUMIF(Капасити!$C$5:$C$147,A13,Капасити!$H$5:$H$147)</f>
        <v/>
      </c>
      <c r="C13" s="167">
        <f>SUMIF(Бэклог!$H$5:$H$44,A13,Бэклог!$E$5:$E$44)</f>
        <v/>
      </c>
      <c r="D13" s="183">
        <f>B13-C13</f>
        <v/>
      </c>
      <c r="E13" s="169">
        <f>IFERROR(C13/B13,0)</f>
        <v/>
      </c>
    </row>
    <row r="14">
      <c r="A14" s="165" t="inlineStr">
        <is>
          <t>QA</t>
        </is>
      </c>
      <c r="B14" s="167">
        <f>SUMIF(Капасити!$C$5:$C$147,A14,Капасити!$H$5:$H$147)</f>
        <v/>
      </c>
      <c r="C14" s="167">
        <f>SUMIF(Бэклог!$H$5:$H$44,A14,Бэклог!$E$5:$E$44)</f>
        <v/>
      </c>
      <c r="D14" s="183">
        <f>B14-C14</f>
        <v/>
      </c>
      <c r="E14" s="169">
        <f>IFERROR(C14/B14,0)</f>
        <v/>
      </c>
    </row>
    <row r="15">
      <c r="A15" s="165" t="inlineStr">
        <is>
          <t>DevOps</t>
        </is>
      </c>
      <c r="B15" s="167">
        <f>SUMIF(Капасити!$C$5:$C$147,A15,Капасити!$H$5:$H$147)</f>
        <v/>
      </c>
      <c r="C15" s="167">
        <f>SUMIF(Бэклог!$H$5:$H$44,A15,Бэклог!$E$5:$E$44)</f>
        <v/>
      </c>
      <c r="D15" s="183">
        <f>B15-C15</f>
        <v/>
      </c>
      <c r="E15" s="169">
        <f>IFERROR(C15/B15,0)</f>
        <v/>
      </c>
    </row>
    <row r="16">
      <c r="A16" s="165" t="inlineStr">
        <is>
          <t>Analyst</t>
        </is>
      </c>
      <c r="B16" s="167">
        <f>SUMIF(Капасити!$C$5:$C$147,A16,Капасити!$H$5:$H$147)</f>
        <v/>
      </c>
      <c r="C16" s="167">
        <f>SUMIF(Бэклог!$H$5:$H$44,A16,Бэклог!$E$5:$E$44)</f>
        <v/>
      </c>
      <c r="D16" s="183">
        <f>B16-C16</f>
        <v/>
      </c>
      <c r="E16" s="169">
        <f>IFERROR(C16/B16,0)</f>
        <v/>
      </c>
    </row>
    <row r="17">
      <c r="A17" s="165" t="inlineStr">
        <is>
          <t>Designer</t>
        </is>
      </c>
      <c r="B17" s="167">
        <f>SUMIF(Капасити!$C$5:$C$147,A17,Капасити!$H$5:$H$147)</f>
        <v/>
      </c>
      <c r="C17" s="167">
        <f>SUMIF(Бэклог!$H$5:$H$44,A17,Бэклог!$E$5:$E$44)</f>
        <v/>
      </c>
      <c r="D17" s="183">
        <f>B17-C17</f>
        <v/>
      </c>
      <c r="E17" s="169">
        <f>IFERROR(C17/B17,0)</f>
        <v/>
      </c>
    </row>
    <row r="19">
      <c r="A19" s="164" t="inlineStr">
        <is>
          <t>«Нужно +чел.» = округление вверх дефицита ёмкости к чел-дням на человека за квартал.</t>
        </is>
      </c>
    </row>
  </sheetData>
  <conditionalFormatting sqref="E6:E8">
    <cfRule type="cellIs" priority="1" operator="greaterThan" dxfId="2">
      <formula>1</formula>
    </cfRule>
    <cfRule type="cellIs" priority="2" operator="between" dxfId="1">
      <formula>0.9</formula>
      <formula>1</formula>
    </cfRule>
    <cfRule type="cellIs" priority="3" operator="lessThan" dxfId="0">
      <formula>0.9</formula>
    </cfRule>
  </conditionalFormatting>
  <conditionalFormatting sqref="E12:E17">
    <cfRule type="cellIs" priority="4" operator="greaterThan" dxfId="2">
      <formula>1</formula>
    </cfRule>
    <cfRule type="cellIs" priority="5" operator="between" dxfId="1">
      <formula>0.9</formula>
      <formula>1</formula>
    </cfRule>
    <cfRule type="cellIs" priority="6" operator="lessThan" dxfId="0">
      <formula>0.9</formula>
    </cfRule>
  </conditionalFormatting>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outlinePr summaryBelow="1" summaryRight="1"/>
    <pageSetUpPr/>
  </sheetPr>
  <dimension ref="A1:K70"/>
  <sheetViews>
    <sheetView showGridLines="0" topLeftCell="G1" workbookViewId="0">
      <pane ySplit="4" topLeftCell="A34" activePane="bottomLeft" state="frozen"/>
      <selection pane="bottomLeft" activeCell="A1" sqref="A1"/>
    </sheetView>
  </sheetViews>
  <sheetFormatPr baseColWidth="8" defaultRowHeight="14.4"/>
  <cols>
    <col width="7" customWidth="1" min="1" max="1"/>
    <col width="30" customWidth="1" min="2" max="2"/>
    <col width="6.77734375" customWidth="1" min="3" max="3"/>
    <col width="13" customWidth="1" min="4" max="4"/>
    <col width="11" customWidth="1" min="5" max="5"/>
    <col width="12" customWidth="1" min="6" max="8"/>
    <col width="10" customWidth="1" min="9" max="9"/>
    <col width="9" customWidth="1" min="10" max="10"/>
    <col width="28" customWidth="1" min="11" max="11"/>
  </cols>
  <sheetData>
    <row r="1" ht="17.4" customHeight="1">
      <c r="A1" s="116" t="inlineStr">
        <is>
          <t>Диаграмма Ганта (план по спринтам, с зависимостями)</t>
        </is>
      </c>
    </row>
    <row r="2">
      <c r="A2" s="117" t="inlineStr">
        <is>
          <t>Задачи из «Бэклога» (авто, строки 5–44). Длительность бара = оценка задачи. Зависимость сдвигает старт после завершения предшественника.</t>
        </is>
      </c>
    </row>
    <row r="4" ht="27.6" customHeight="1">
      <c r="A4" s="118" t="inlineStr">
        <is>
          <t>ID</t>
        </is>
      </c>
      <c r="B4" s="118" t="inlineStr">
        <is>
          <t>Задача</t>
        </is>
      </c>
      <c r="C4" s="118" t="inlineStr">
        <is>
          <t>Спр.</t>
        </is>
      </c>
      <c r="D4" s="118" t="inlineStr">
        <is>
          <t>Исполнитель</t>
        </is>
      </c>
      <c r="E4" s="118" t="inlineStr">
        <is>
          <t>Статус</t>
        </is>
      </c>
      <c r="F4" s="118" t="inlineStr">
        <is>
          <t>Зависит от</t>
        </is>
      </c>
      <c r="G4" s="118" t="inlineStr">
        <is>
          <t>Начало</t>
        </is>
      </c>
      <c r="H4" s="118" t="inlineStr">
        <is>
          <t>Конец</t>
        </is>
      </c>
      <c r="I4" s="118" t="inlineStr">
        <is>
          <t>Длит. (дн)</t>
        </is>
      </c>
      <c r="J4" s="138" t="inlineStr">
        <is>
          <t>Критич.
путь</t>
        </is>
      </c>
      <c r="K4" s="226" t="inlineStr">
        <is>
          <t>Внешняя
зависимость</t>
        </is>
      </c>
    </row>
    <row r="5">
      <c r="A5" s="119">
        <f>IF(Бэклог!A5="","",Бэклог!A5)</f>
        <v/>
      </c>
      <c r="B5" s="120">
        <f>IF($A5="","",Бэклог!B5)</f>
        <v/>
      </c>
      <c r="C5" s="119">
        <f>IF($A5="","",Бэклог!M5)</f>
        <v/>
      </c>
      <c r="D5" s="120">
        <f>IF($A5="","",Бэклог!C5)</f>
        <v/>
      </c>
      <c r="E5" s="119">
        <f>IF($A5="","",Бэклог!F5)</f>
        <v/>
      </c>
      <c r="F5" s="131" t="n"/>
      <c r="G5" s="121">
        <f>IF($A5="","",MAX(SUMIF('Дорожная карта'!$A$6:$A$16,C5,'Дорожная карта'!$C$6:$C$16),IF(F5="",0,IFERROR(INDEX($H$5:$H$44,MATCH(F5,$A$5:$A$44,0)),0))))</f>
        <v/>
      </c>
      <c r="H5" s="121">
        <f>IF($A5="","",G5+I5)</f>
        <v/>
      </c>
      <c r="I5" s="122">
        <f>IF($A5="","",Бэклог!E5)</f>
        <v/>
      </c>
      <c r="J5" s="139" t="inlineStr">
        <is>
          <t>Да</t>
        </is>
      </c>
      <c r="K5" s="236">
        <f>IF(COUNTIF(Зависимости!$D$5:$D$100,A5)=0,"","◆ "&amp;IFERROR(VLOOKUP(A5,Зависимости!$D$5:$I$100,2,FALSE),"")&amp;" · "&amp;IFERROR(VLOOKUP(A5,Зависимости!$D$5:$I$100,6,FALSE),""))</f>
        <v/>
      </c>
    </row>
    <row r="6">
      <c r="A6" s="119">
        <f>IF(Бэклог!A6="","",Бэклог!A6)</f>
        <v/>
      </c>
      <c r="B6" s="120">
        <f>IF($A6="","",Бэклог!B6)</f>
        <v/>
      </c>
      <c r="C6" s="119">
        <f>IF($A6="","",Бэклог!M6)</f>
        <v/>
      </c>
      <c r="D6" s="120">
        <f>IF($A6="","",Бэклог!C6)</f>
        <v/>
      </c>
      <c r="E6" s="119">
        <f>IF($A6="","",Бэклог!F6)</f>
        <v/>
      </c>
      <c r="F6" s="131" t="inlineStr">
        <is>
          <t>T-01</t>
        </is>
      </c>
      <c r="G6" s="121">
        <f>IF($A6="","",MAX(SUMIF('Дорожная карта'!$A$6:$A$16,C6,'Дорожная карта'!$C$6:$C$16),IF(F6="",0,IFERROR(INDEX($H$5:$H$44,MATCH(F6,$A$5:$A$44,0)),0))))</f>
        <v/>
      </c>
      <c r="H6" s="121">
        <f>IF($A6="","",G6+I6)</f>
        <v/>
      </c>
      <c r="I6" s="122">
        <f>IF($A6="","",Бэклог!E6)</f>
        <v/>
      </c>
      <c r="J6" s="140" t="n"/>
      <c r="K6" s="236">
        <f>IF(COUNTIF(Зависимости!$D$5:$D$100,A6)=0,"","◆ "&amp;IFERROR(VLOOKUP(A6,Зависимости!$D$5:$I$100,2,FALSE),"")&amp;" · "&amp;IFERROR(VLOOKUP(A6,Зависимости!$D$5:$I$100,6,FALSE),""))</f>
        <v/>
      </c>
    </row>
    <row r="7">
      <c r="A7" s="119">
        <f>IF(Бэклог!A7="","",Бэклог!A7)</f>
        <v/>
      </c>
      <c r="B7" s="120">
        <f>IF($A7="","",Бэклог!B7)</f>
        <v/>
      </c>
      <c r="C7" s="119">
        <f>IF($A7="","",Бэклог!M7)</f>
        <v/>
      </c>
      <c r="D7" s="120">
        <f>IF($A7="","",Бэклог!C7)</f>
        <v/>
      </c>
      <c r="E7" s="119">
        <f>IF($A7="","",Бэклог!F7)</f>
        <v/>
      </c>
      <c r="F7" s="131" t="n"/>
      <c r="G7" s="121">
        <f>IF($A7="","",MAX(SUMIF('Дорожная карта'!$A$6:$A$16,C7,'Дорожная карта'!$C$6:$C$16),IF(F7="",0,IFERROR(INDEX($H$5:$H$44,MATCH(F7,$A$5:$A$44,0)),0))))</f>
        <v/>
      </c>
      <c r="H7" s="121">
        <f>IF($A7="","",G7+I7)</f>
        <v/>
      </c>
      <c r="I7" s="122">
        <f>IF($A7="","",Бэклог!E7)</f>
        <v/>
      </c>
      <c r="J7" s="140" t="n"/>
      <c r="K7" s="236">
        <f>IF(COUNTIF(Зависимости!$D$5:$D$100,A7)=0,"","◆ "&amp;IFERROR(VLOOKUP(A7,Зависимости!$D$5:$I$100,2,FALSE),"")&amp;" · "&amp;IFERROR(VLOOKUP(A7,Зависимости!$D$5:$I$100,6,FALSE),""))</f>
        <v/>
      </c>
    </row>
    <row r="8">
      <c r="A8" s="119">
        <f>IF(Бэклог!A8="","",Бэклог!A8)</f>
        <v/>
      </c>
      <c r="B8" s="120">
        <f>IF($A8="","",Бэклог!B8)</f>
        <v/>
      </c>
      <c r="C8" s="119">
        <f>IF($A8="","",Бэклог!M8)</f>
        <v/>
      </c>
      <c r="D8" s="120">
        <f>IF($A8="","",Бэклог!C8)</f>
        <v/>
      </c>
      <c r="E8" s="119">
        <f>IF($A8="","",Бэклог!F8)</f>
        <v/>
      </c>
      <c r="F8" s="131" t="n"/>
      <c r="G8" s="121">
        <f>IF($A8="","",MAX(SUMIF('Дорожная карта'!$A$6:$A$16,C8,'Дорожная карта'!$C$6:$C$16),IF(F8="",0,IFERROR(INDEX($H$5:$H$44,MATCH(F8,$A$5:$A$44,0)),0))))</f>
        <v/>
      </c>
      <c r="H8" s="121">
        <f>IF($A8="","",G8+I8)</f>
        <v/>
      </c>
      <c r="I8" s="122">
        <f>IF($A8="","",Бэклог!E8)</f>
        <v/>
      </c>
      <c r="J8" s="140" t="n"/>
      <c r="K8" s="236">
        <f>IF(COUNTIF(Зависимости!$D$5:$D$100,A8)=0,"","◆ "&amp;IFERROR(VLOOKUP(A8,Зависимости!$D$5:$I$100,2,FALSE),"")&amp;" · "&amp;IFERROR(VLOOKUP(A8,Зависимости!$D$5:$I$100,6,FALSE),""))</f>
        <v/>
      </c>
    </row>
    <row r="9">
      <c r="A9" s="119">
        <f>IF(Бэклог!A9="","",Бэклог!A9)</f>
        <v/>
      </c>
      <c r="B9" s="120">
        <f>IF($A9="","",Бэклог!B9)</f>
        <v/>
      </c>
      <c r="C9" s="119">
        <f>IF($A9="","",Бэклог!M9)</f>
        <v/>
      </c>
      <c r="D9" s="120">
        <f>IF($A9="","",Бэклог!C9)</f>
        <v/>
      </c>
      <c r="E9" s="119">
        <f>IF($A9="","",Бэклог!F9)</f>
        <v/>
      </c>
      <c r="F9" s="131" t="inlineStr">
        <is>
          <t>T-01</t>
        </is>
      </c>
      <c r="G9" s="121">
        <f>IF($A9="","",MAX(SUMIF('Дорожная карта'!$A$6:$A$16,C9,'Дорожная карта'!$C$6:$C$16),IF(F9="",0,IFERROR(INDEX($H$5:$H$44,MATCH(F9,$A$5:$A$44,0)),0))))</f>
        <v/>
      </c>
      <c r="H9" s="121">
        <f>IF($A9="","",G9+I9)</f>
        <v/>
      </c>
      <c r="I9" s="122">
        <f>IF($A9="","",Бэклог!E9)</f>
        <v/>
      </c>
      <c r="J9" s="139" t="inlineStr">
        <is>
          <t>Да</t>
        </is>
      </c>
      <c r="K9" s="236">
        <f>IF(COUNTIF(Зависимости!$D$5:$D$100,A9)=0,"","◆ "&amp;IFERROR(VLOOKUP(A9,Зависимости!$D$5:$I$100,2,FALSE),"")&amp;" · "&amp;IFERROR(VLOOKUP(A9,Зависимости!$D$5:$I$100,6,FALSE),""))</f>
        <v/>
      </c>
    </row>
    <row r="10">
      <c r="A10" s="119">
        <f>IF(Бэклог!A10="","",Бэклог!A10)</f>
        <v/>
      </c>
      <c r="B10" s="120">
        <f>IF($A10="","",Бэклог!B10)</f>
        <v/>
      </c>
      <c r="C10" s="119">
        <f>IF($A10="","",Бэклог!M10)</f>
        <v/>
      </c>
      <c r="D10" s="120">
        <f>IF($A10="","",Бэклог!C10)</f>
        <v/>
      </c>
      <c r="E10" s="119">
        <f>IF($A10="","",Бэклог!F10)</f>
        <v/>
      </c>
      <c r="F10" s="131" t="n"/>
      <c r="G10" s="121">
        <f>IF($A10="","",MAX(SUMIF('Дорожная карта'!$A$6:$A$16,C10,'Дорожная карта'!$C$6:$C$16),IF(F10="",0,IFERROR(INDEX($H$5:$H$44,MATCH(F10,$A$5:$A$44,0)),0))))</f>
        <v/>
      </c>
      <c r="H10" s="121">
        <f>IF($A10="","",G10+I10)</f>
        <v/>
      </c>
      <c r="I10" s="122">
        <f>IF($A10="","",Бэклог!E10)</f>
        <v/>
      </c>
      <c r="J10" s="140" t="n"/>
      <c r="K10" s="236">
        <f>IF(COUNTIF(Зависимости!$D$5:$D$100,A10)=0,"","◆ "&amp;IFERROR(VLOOKUP(A10,Зависимости!$D$5:$I$100,2,FALSE),"")&amp;" · "&amp;IFERROR(VLOOKUP(A10,Зависимости!$D$5:$I$100,6,FALSE),""))</f>
        <v/>
      </c>
    </row>
    <row r="11">
      <c r="A11" s="119">
        <f>IF(Бэклог!A11="","",Бэклог!A11)</f>
        <v/>
      </c>
      <c r="B11" s="120">
        <f>IF($A11="","",Бэклог!B11)</f>
        <v/>
      </c>
      <c r="C11" s="119">
        <f>IF($A11="","",Бэклог!M11)</f>
        <v/>
      </c>
      <c r="D11" s="120">
        <f>IF($A11="","",Бэклог!C11)</f>
        <v/>
      </c>
      <c r="E11" s="119">
        <f>IF($A11="","",Бэклог!F11)</f>
        <v/>
      </c>
      <c r="F11" s="131" t="n"/>
      <c r="G11" s="121">
        <f>IF($A11="","",MAX(SUMIF('Дорожная карта'!$A$6:$A$16,C11,'Дорожная карта'!$C$6:$C$16),IF(F11="",0,IFERROR(INDEX($H$5:$H$44,MATCH(F11,$A$5:$A$44,0)),0))))</f>
        <v/>
      </c>
      <c r="H11" s="121">
        <f>IF($A11="","",G11+I11)</f>
        <v/>
      </c>
      <c r="I11" s="122">
        <f>IF($A11="","",Бэклог!E11)</f>
        <v/>
      </c>
      <c r="J11" s="140" t="n"/>
      <c r="K11" s="236">
        <f>IF(COUNTIF(Зависимости!$D$5:$D$100,A11)=0,"","◆ "&amp;IFERROR(VLOOKUP(A11,Зависимости!$D$5:$I$100,2,FALSE),"")&amp;" · "&amp;IFERROR(VLOOKUP(A11,Зависимости!$D$5:$I$100,6,FALSE),""))</f>
        <v/>
      </c>
    </row>
    <row r="12">
      <c r="A12" s="119">
        <f>IF(Бэклог!A12="","",Бэклог!A12)</f>
        <v/>
      </c>
      <c r="B12" s="120">
        <f>IF($A12="","",Бэклог!B12)</f>
        <v/>
      </c>
      <c r="C12" s="119">
        <f>IF($A12="","",Бэклог!M12)</f>
        <v/>
      </c>
      <c r="D12" s="120">
        <f>IF($A12="","",Бэклог!C12)</f>
        <v/>
      </c>
      <c r="E12" s="119">
        <f>IF($A12="","",Бэклог!F12)</f>
        <v/>
      </c>
      <c r="F12" s="131" t="n"/>
      <c r="G12" s="121">
        <f>IF($A12="","",MAX(SUMIF('Дорожная карта'!$A$6:$A$16,C12,'Дорожная карта'!$C$6:$C$16),IF(F12="",0,IFERROR(INDEX($H$5:$H$44,MATCH(F12,$A$5:$A$44,0)),0))))</f>
        <v/>
      </c>
      <c r="H12" s="121">
        <f>IF($A12="","",G12+I12)</f>
        <v/>
      </c>
      <c r="I12" s="122">
        <f>IF($A12="","",Бэклог!E12)</f>
        <v/>
      </c>
      <c r="J12" s="140" t="n"/>
      <c r="K12" s="236">
        <f>IF(COUNTIF(Зависимости!$D$5:$D$100,A12)=0,"","◆ "&amp;IFERROR(VLOOKUP(A12,Зависимости!$D$5:$I$100,2,FALSE),"")&amp;" · "&amp;IFERROR(VLOOKUP(A12,Зависимости!$D$5:$I$100,6,FALSE),""))</f>
        <v/>
      </c>
    </row>
    <row r="13">
      <c r="A13" s="119">
        <f>IF(Бэклог!A13="","",Бэклог!A13)</f>
        <v/>
      </c>
      <c r="B13" s="120">
        <f>IF($A13="","",Бэклог!B13)</f>
        <v/>
      </c>
      <c r="C13" s="119">
        <f>IF($A13="","",Бэклог!M13)</f>
        <v/>
      </c>
      <c r="D13" s="120">
        <f>IF($A13="","",Бэклог!C13)</f>
        <v/>
      </c>
      <c r="E13" s="119">
        <f>IF($A13="","",Бэклог!F13)</f>
        <v/>
      </c>
      <c r="F13" s="131" t="n"/>
      <c r="G13" s="121">
        <f>IF($A13="","",MAX(SUMIF('Дорожная карта'!$A$6:$A$16,C13,'Дорожная карта'!$C$6:$C$16),IF(F13="",0,IFERROR(INDEX($H$5:$H$44,MATCH(F13,$A$5:$A$44,0)),0))))</f>
        <v/>
      </c>
      <c r="H13" s="121">
        <f>IF($A13="","",G13+I13)</f>
        <v/>
      </c>
      <c r="I13" s="122">
        <f>IF($A13="","",Бэклог!E13)</f>
        <v/>
      </c>
      <c r="J13" s="140" t="n"/>
      <c r="K13" s="236">
        <f>IF(COUNTIF(Зависимости!$D$5:$D$100,A13)=0,"","◆ "&amp;IFERROR(VLOOKUP(A13,Зависимости!$D$5:$I$100,2,FALSE),"")&amp;" · "&amp;IFERROR(VLOOKUP(A13,Зависимости!$D$5:$I$100,6,FALSE),""))</f>
        <v/>
      </c>
    </row>
    <row r="14">
      <c r="A14" s="119">
        <f>IF(Бэклог!A14="","",Бэклог!A14)</f>
        <v/>
      </c>
      <c r="B14" s="120">
        <f>IF($A14="","",Бэклог!B14)</f>
        <v/>
      </c>
      <c r="C14" s="119">
        <f>IF($A14="","",Бэклог!M14)</f>
        <v/>
      </c>
      <c r="D14" s="120">
        <f>IF($A14="","",Бэклог!C14)</f>
        <v/>
      </c>
      <c r="E14" s="119">
        <f>IF($A14="","",Бэклог!F14)</f>
        <v/>
      </c>
      <c r="F14" s="131" t="n"/>
      <c r="G14" s="121">
        <f>IF($A14="","",MAX(SUMIF('Дорожная карта'!$A$6:$A$16,C14,'Дорожная карта'!$C$6:$C$16),IF(F14="",0,IFERROR(INDEX($H$5:$H$44,MATCH(F14,$A$5:$A$44,0)),0))))</f>
        <v/>
      </c>
      <c r="H14" s="121">
        <f>IF($A14="","",G14+I14)</f>
        <v/>
      </c>
      <c r="I14" s="122">
        <f>IF($A14="","",Бэклог!E14)</f>
        <v/>
      </c>
      <c r="J14" s="140" t="n"/>
      <c r="K14" s="236">
        <f>IF(COUNTIF(Зависимости!$D$5:$D$100,A14)=0,"","◆ "&amp;IFERROR(VLOOKUP(A14,Зависимости!$D$5:$I$100,2,FALSE),"")&amp;" · "&amp;IFERROR(VLOOKUP(A14,Зависимости!$D$5:$I$100,6,FALSE),""))</f>
        <v/>
      </c>
    </row>
    <row r="15">
      <c r="A15" s="119">
        <f>IF(Бэклог!A15="","",Бэклог!A15)</f>
        <v/>
      </c>
      <c r="B15" s="120">
        <f>IF($A15="","",Бэклог!B15)</f>
        <v/>
      </c>
      <c r="C15" s="119">
        <f>IF($A15="","",Бэклог!M15)</f>
        <v/>
      </c>
      <c r="D15" s="120">
        <f>IF($A15="","",Бэклог!C15)</f>
        <v/>
      </c>
      <c r="E15" s="119">
        <f>IF($A15="","",Бэклог!F15)</f>
        <v/>
      </c>
      <c r="F15" s="131" t="n"/>
      <c r="G15" s="121">
        <f>IF($A15="","",MAX(SUMIF('Дорожная карта'!$A$6:$A$16,C15,'Дорожная карта'!$C$6:$C$16),IF(F15="",0,IFERROR(INDEX($H$5:$H$44,MATCH(F15,$A$5:$A$44,0)),0))))</f>
        <v/>
      </c>
      <c r="H15" s="121">
        <f>IF($A15="","",G15+I15)</f>
        <v/>
      </c>
      <c r="I15" s="122">
        <f>IF($A15="","",Бэклог!E15)</f>
        <v/>
      </c>
      <c r="J15" s="140" t="n"/>
      <c r="K15" s="236">
        <f>IF(COUNTIF(Зависимости!$D$5:$D$100,A15)=0,"","◆ "&amp;IFERROR(VLOOKUP(A15,Зависимости!$D$5:$I$100,2,FALSE),"")&amp;" · "&amp;IFERROR(VLOOKUP(A15,Зависимости!$D$5:$I$100,6,FALSE),""))</f>
        <v/>
      </c>
    </row>
    <row r="16">
      <c r="A16" s="119">
        <f>IF(Бэклог!A16="","",Бэклог!A16)</f>
        <v/>
      </c>
      <c r="B16" s="120">
        <f>IF($A16="","",Бэклог!B16)</f>
        <v/>
      </c>
      <c r="C16" s="119">
        <f>IF($A16="","",Бэклог!M16)</f>
        <v/>
      </c>
      <c r="D16" s="120">
        <f>IF($A16="","",Бэклог!C16)</f>
        <v/>
      </c>
      <c r="E16" s="119">
        <f>IF($A16="","",Бэклог!F16)</f>
        <v/>
      </c>
      <c r="F16" s="131" t="inlineStr">
        <is>
          <t>T-04</t>
        </is>
      </c>
      <c r="G16" s="121">
        <f>IF($A16="","",MAX(SUMIF('Дорожная карта'!$A$6:$A$16,C16,'Дорожная карта'!$C$6:$C$16),IF(F16="",0,IFERROR(INDEX($H$5:$H$44,MATCH(F16,$A$5:$A$44,0)),0))))</f>
        <v/>
      </c>
      <c r="H16" s="121">
        <f>IF($A16="","",G16+I16)</f>
        <v/>
      </c>
      <c r="I16" s="122">
        <f>IF($A16="","",Бэклог!E16)</f>
        <v/>
      </c>
      <c r="J16" s="140" t="n"/>
      <c r="K16" s="236">
        <f>IF(COUNTIF(Зависимости!$D$5:$D$100,A16)=0,"","◆ "&amp;IFERROR(VLOOKUP(A16,Зависимости!$D$5:$I$100,2,FALSE),"")&amp;" · "&amp;IFERROR(VLOOKUP(A16,Зависимости!$D$5:$I$100,6,FALSE),""))</f>
        <v/>
      </c>
    </row>
    <row r="17">
      <c r="A17" s="119">
        <f>IF(Бэклог!A17="","",Бэклог!A17)</f>
        <v/>
      </c>
      <c r="B17" s="120">
        <f>IF($A17="","",Бэклог!B17)</f>
        <v/>
      </c>
      <c r="C17" s="119">
        <f>IF($A17="","",Бэклог!M17)</f>
        <v/>
      </c>
      <c r="D17" s="120">
        <f>IF($A17="","",Бэклог!C17)</f>
        <v/>
      </c>
      <c r="E17" s="119">
        <f>IF($A17="","",Бэклог!F17)</f>
        <v/>
      </c>
      <c r="F17" s="131" t="inlineStr">
        <is>
          <t>T-03</t>
        </is>
      </c>
      <c r="G17" s="121">
        <f>IF($A17="","",MAX(SUMIF('Дорожная карта'!$A$6:$A$16,C17,'Дорожная карта'!$C$6:$C$16),IF(F17="",0,IFERROR(INDEX($H$5:$H$44,MATCH(F17,$A$5:$A$44,0)),0))))</f>
        <v/>
      </c>
      <c r="H17" s="121">
        <f>IF($A17="","",G17+I17)</f>
        <v/>
      </c>
      <c r="I17" s="122">
        <f>IF($A17="","",Бэклог!E17)</f>
        <v/>
      </c>
      <c r="J17" s="139" t="inlineStr">
        <is>
          <t>Да</t>
        </is>
      </c>
      <c r="K17" s="236">
        <f>IF(COUNTIF(Зависимости!$D$5:$D$100,A17)=0,"","◆ "&amp;IFERROR(VLOOKUP(A17,Зависимости!$D$5:$I$100,2,FALSE),"")&amp;" · "&amp;IFERROR(VLOOKUP(A17,Зависимости!$D$5:$I$100,6,FALSE),""))</f>
        <v/>
      </c>
    </row>
    <row r="18">
      <c r="A18" s="119">
        <f>IF(Бэклог!A18="","",Бэклог!A18)</f>
        <v/>
      </c>
      <c r="B18" s="120">
        <f>IF($A18="","",Бэклог!B18)</f>
        <v/>
      </c>
      <c r="C18" s="119">
        <f>IF($A18="","",Бэклог!M18)</f>
        <v/>
      </c>
      <c r="D18" s="120">
        <f>IF($A18="","",Бэклог!C18)</f>
        <v/>
      </c>
      <c r="E18" s="119">
        <f>IF($A18="","",Бэклог!F18)</f>
        <v/>
      </c>
      <c r="F18" s="131" t="inlineStr">
        <is>
          <t>T-13</t>
        </is>
      </c>
      <c r="G18" s="121">
        <f>IF($A18="","",MAX(SUMIF('Дорожная карта'!$A$6:$A$16,C18,'Дорожная карта'!$C$6:$C$16),IF(F18="",0,IFERROR(INDEX($H$5:$H$44,MATCH(F18,$A$5:$A$44,0)),0))))</f>
        <v/>
      </c>
      <c r="H18" s="121">
        <f>IF($A18="","",G18+I18)</f>
        <v/>
      </c>
      <c r="I18" s="122">
        <f>IF($A18="","",Бэклог!E18)</f>
        <v/>
      </c>
      <c r="J18" s="139" t="inlineStr">
        <is>
          <t>Да</t>
        </is>
      </c>
      <c r="K18" s="236">
        <f>IF(COUNTIF(Зависимости!$D$5:$D$100,A18)=0,"","◆ "&amp;IFERROR(VLOOKUP(A18,Зависимости!$D$5:$I$100,2,FALSE),"")&amp;" · "&amp;IFERROR(VLOOKUP(A18,Зависимости!$D$5:$I$100,6,FALSE),""))</f>
        <v/>
      </c>
    </row>
    <row r="19">
      <c r="A19" s="119">
        <f>IF(Бэклог!A19="","",Бэклог!A19)</f>
        <v/>
      </c>
      <c r="B19" s="120">
        <f>IF($A19="","",Бэклог!B19)</f>
        <v/>
      </c>
      <c r="C19" s="119">
        <f>IF($A19="","",Бэклог!M19)</f>
        <v/>
      </c>
      <c r="D19" s="120">
        <f>IF($A19="","",Бэклог!C19)</f>
        <v/>
      </c>
      <c r="E19" s="119">
        <f>IF($A19="","",Бэклог!F19)</f>
        <v/>
      </c>
      <c r="F19" s="131" t="n"/>
      <c r="G19" s="121">
        <f>IF($A19="","",MAX(SUMIF('Дорожная карта'!$A$6:$A$16,C19,'Дорожная карта'!$C$6:$C$16),IF(F19="",0,IFERROR(INDEX($H$5:$H$44,MATCH(F19,$A$5:$A$44,0)),0))))</f>
        <v/>
      </c>
      <c r="H19" s="121">
        <f>IF($A19="","",G19+I19)</f>
        <v/>
      </c>
      <c r="I19" s="122">
        <f>IF($A19="","",Бэклог!E19)</f>
        <v/>
      </c>
      <c r="J19" s="140" t="n"/>
      <c r="K19" s="236">
        <f>IF(COUNTIF(Зависимости!$D$5:$D$100,A19)=0,"","◆ "&amp;IFERROR(VLOOKUP(A19,Зависимости!$D$5:$I$100,2,FALSE),"")&amp;" · "&amp;IFERROR(VLOOKUP(A19,Зависимости!$D$5:$I$100,6,FALSE),""))</f>
        <v/>
      </c>
    </row>
    <row r="20">
      <c r="A20" s="119">
        <f>IF(Бэклог!A20="","",Бэклог!A20)</f>
        <v/>
      </c>
      <c r="B20" s="120">
        <f>IF($A20="","",Бэклог!B20)</f>
        <v/>
      </c>
      <c r="C20" s="119">
        <f>IF($A20="","",Бэклог!M20)</f>
        <v/>
      </c>
      <c r="D20" s="120">
        <f>IF($A20="","",Бэклог!C20)</f>
        <v/>
      </c>
      <c r="E20" s="119">
        <f>IF($A20="","",Бэклог!F20)</f>
        <v/>
      </c>
      <c r="F20" s="131" t="inlineStr">
        <is>
          <t>T-15</t>
        </is>
      </c>
      <c r="G20" s="121">
        <f>IF($A20="","",MAX(SUMIF('Дорожная карта'!$A$6:$A$16,C20,'Дорожная карта'!$C$6:$C$16),IF(F20="",0,IFERROR(INDEX($H$5:$H$44,MATCH(F20,$A$5:$A$44,0)),0))))</f>
        <v/>
      </c>
      <c r="H20" s="121">
        <f>IF($A20="","",G20+I20)</f>
        <v/>
      </c>
      <c r="I20" s="122">
        <f>IF($A20="","",Бэклог!E20)</f>
        <v/>
      </c>
      <c r="J20" s="140" t="n"/>
      <c r="K20" s="236">
        <f>IF(COUNTIF(Зависимости!$D$5:$D$100,A20)=0,"","◆ "&amp;IFERROR(VLOOKUP(A20,Зависимости!$D$5:$I$100,2,FALSE),"")&amp;" · "&amp;IFERROR(VLOOKUP(A20,Зависимости!$D$5:$I$100,6,FALSE),""))</f>
        <v/>
      </c>
    </row>
    <row r="21">
      <c r="A21" s="119">
        <f>IF(Бэклог!A21="","",Бэклог!A21)</f>
        <v/>
      </c>
      <c r="B21" s="120">
        <f>IF($A21="","",Бэклог!B21)</f>
        <v/>
      </c>
      <c r="C21" s="119">
        <f>IF($A21="","",Бэклог!M21)</f>
        <v/>
      </c>
      <c r="D21" s="120">
        <f>IF($A21="","",Бэклог!C21)</f>
        <v/>
      </c>
      <c r="E21" s="119">
        <f>IF($A21="","",Бэклог!F21)</f>
        <v/>
      </c>
      <c r="F21" s="131" t="inlineStr">
        <is>
          <t>T-16</t>
        </is>
      </c>
      <c r="G21" s="121">
        <f>IF($A21="","",MAX(SUMIF('Дорожная карта'!$A$6:$A$16,C21,'Дорожная карта'!$C$6:$C$16),IF(F21="",0,IFERROR(INDEX($H$5:$H$44,MATCH(F21,$A$5:$A$44,0)),0))))</f>
        <v/>
      </c>
      <c r="H21" s="121">
        <f>IF($A21="","",G21+I21)</f>
        <v/>
      </c>
      <c r="I21" s="122">
        <f>IF($A21="","",Бэклог!E21)</f>
        <v/>
      </c>
      <c r="J21" s="140" t="n"/>
      <c r="K21" s="236">
        <f>IF(COUNTIF(Зависимости!$D$5:$D$100,A21)=0,"","◆ "&amp;IFERROR(VLOOKUP(A21,Зависимости!$D$5:$I$100,2,FALSE),"")&amp;" · "&amp;IFERROR(VLOOKUP(A21,Зависимости!$D$5:$I$100,6,FALSE),""))</f>
        <v/>
      </c>
    </row>
    <row r="22">
      <c r="A22" s="119">
        <f>IF(Бэклог!A22="","",Бэклог!A22)</f>
        <v/>
      </c>
      <c r="B22" s="120">
        <f>IF($A22="","",Бэклог!B22)</f>
        <v/>
      </c>
      <c r="C22" s="119">
        <f>IF($A22="","",Бэклог!M22)</f>
        <v/>
      </c>
      <c r="D22" s="120">
        <f>IF($A22="","",Бэклог!C22)</f>
        <v/>
      </c>
      <c r="E22" s="119">
        <f>IF($A22="","",Бэклог!F22)</f>
        <v/>
      </c>
      <c r="F22" s="131" t="n"/>
      <c r="G22" s="121">
        <f>IF($A22="","",MAX(SUMIF('Дорожная карта'!$A$6:$A$16,C22,'Дорожная карта'!$C$6:$C$16),IF(F22="",0,IFERROR(INDEX($H$5:$H$44,MATCH(F22,$A$5:$A$44,0)),0))))</f>
        <v/>
      </c>
      <c r="H22" s="121">
        <f>IF($A22="","",G22+I22)</f>
        <v/>
      </c>
      <c r="I22" s="122">
        <f>IF($A22="","",Бэклог!E22)</f>
        <v/>
      </c>
      <c r="J22" s="140" t="n"/>
      <c r="K22" s="236">
        <f>IF(COUNTIF(Зависимости!$D$5:$D$100,A22)=0,"","◆ "&amp;IFERROR(VLOOKUP(A22,Зависимости!$D$5:$I$100,2,FALSE),"")&amp;" · "&amp;IFERROR(VLOOKUP(A22,Зависимости!$D$5:$I$100,6,FALSE),""))</f>
        <v/>
      </c>
    </row>
    <row r="23" ht="27.6" customHeight="1">
      <c r="A23" s="119">
        <f>IF(Бэклог!A23="","",Бэклог!A23)</f>
        <v/>
      </c>
      <c r="B23" s="120">
        <f>IF($A23="","",Бэклог!B23)</f>
        <v/>
      </c>
      <c r="C23" s="119">
        <f>IF($A23="","",Бэклог!M23)</f>
        <v/>
      </c>
      <c r="D23" s="120">
        <f>IF($A23="","",Бэклог!C23)</f>
        <v/>
      </c>
      <c r="E23" s="119">
        <f>IF($A23="","",Бэклог!F23)</f>
        <v/>
      </c>
      <c r="F23" s="131" t="n"/>
      <c r="G23" s="121">
        <f>IF($A23="","",MAX(SUMIF('Дорожная карта'!$A$6:$A$16,C23,'Дорожная карта'!$C$6:$C$16),IF(F23="",0,IFERROR(INDEX($H$5:$H$44,MATCH(F23,$A$5:$A$44,0)),0))))</f>
        <v/>
      </c>
      <c r="H23" s="121">
        <f>IF($A23="","",G23+I23)</f>
        <v/>
      </c>
      <c r="I23" s="122">
        <f>IF($A23="","",Бэклог!E23)</f>
        <v/>
      </c>
      <c r="J23" s="140" t="n"/>
      <c r="K23" s="236">
        <f>IF(COUNTIF(Зависимости!$D$5:$D$100,A23)=0,"","◆ "&amp;IFERROR(VLOOKUP(A23,Зависимости!$D$5:$I$100,2,FALSE),"")&amp;" · "&amp;IFERROR(VLOOKUP(A23,Зависимости!$D$5:$I$100,6,FALSE),""))</f>
        <v/>
      </c>
    </row>
    <row r="24">
      <c r="A24" s="119">
        <f>IF(Бэклог!A24="","",Бэклог!A24)</f>
        <v/>
      </c>
      <c r="B24" s="120">
        <f>IF($A24="","",Бэклог!B24)</f>
        <v/>
      </c>
      <c r="C24" s="119">
        <f>IF($A24="","",Бэклог!M24)</f>
        <v/>
      </c>
      <c r="D24" s="120">
        <f>IF($A24="","",Бэклог!C24)</f>
        <v/>
      </c>
      <c r="E24" s="119">
        <f>IF($A24="","",Бэклог!F24)</f>
        <v/>
      </c>
      <c r="F24" s="131" t="n"/>
      <c r="G24" s="121">
        <f>IF($A24="","",MAX(SUMIF('Дорожная карта'!$A$6:$A$16,C24,'Дорожная карта'!$C$6:$C$16),IF(F24="",0,IFERROR(INDEX($H$5:$H$44,MATCH(F24,$A$5:$A$44,0)),0))))</f>
        <v/>
      </c>
      <c r="H24" s="121">
        <f>IF($A24="","",G24+I24)</f>
        <v/>
      </c>
      <c r="I24" s="122">
        <f>IF($A24="","",Бэклог!E24)</f>
        <v/>
      </c>
      <c r="J24" s="140" t="n"/>
      <c r="K24" s="236">
        <f>IF(COUNTIF(Зависимости!$D$5:$D$100,A24)=0,"","◆ "&amp;IFERROR(VLOOKUP(A24,Зависимости!$D$5:$I$100,2,FALSE),"")&amp;" · "&amp;IFERROR(VLOOKUP(A24,Зависимости!$D$5:$I$100,6,FALSE),""))</f>
        <v/>
      </c>
    </row>
    <row r="25">
      <c r="A25" s="119">
        <f>IF(Бэклог!A25="","",Бэклог!A25)</f>
        <v/>
      </c>
      <c r="B25" s="120">
        <f>IF($A25="","",Бэклог!B25)</f>
        <v/>
      </c>
      <c r="C25" s="119">
        <f>IF($A25="","",Бэклог!M25)</f>
        <v/>
      </c>
      <c r="D25" s="120">
        <f>IF($A25="","",Бэклог!C25)</f>
        <v/>
      </c>
      <c r="E25" s="119">
        <f>IF($A25="","",Бэклог!F25)</f>
        <v/>
      </c>
      <c r="F25" s="131" t="n"/>
      <c r="G25" s="121">
        <f>IF($A25="","",MAX(SUMIF('Дорожная карта'!$A$6:$A$16,C25,'Дорожная карта'!$C$6:$C$16),IF(F25="",0,IFERROR(INDEX($H$5:$H$44,MATCH(F25,$A$5:$A$44,0)),0))))</f>
        <v/>
      </c>
      <c r="H25" s="121">
        <f>IF($A25="","",G25+I25)</f>
        <v/>
      </c>
      <c r="I25" s="122">
        <f>IF($A25="","",Бэклог!E25)</f>
        <v/>
      </c>
      <c r="J25" s="140" t="n"/>
    </row>
    <row r="26">
      <c r="A26" s="119">
        <f>IF(Бэклог!A26="","",Бэклог!A26)</f>
        <v/>
      </c>
      <c r="B26" s="120">
        <f>IF($A26="","",Бэклог!B26)</f>
        <v/>
      </c>
      <c r="C26" s="119">
        <f>IF($A26="","",Бэклог!M26)</f>
        <v/>
      </c>
      <c r="D26" s="120">
        <f>IF($A26="","",Бэклог!C26)</f>
        <v/>
      </c>
      <c r="E26" s="119">
        <f>IF($A26="","",Бэклог!F26)</f>
        <v/>
      </c>
      <c r="F26" s="131" t="n"/>
      <c r="G26" s="121">
        <f>IF($A26="","",MAX(SUMIF('Дорожная карта'!$A$6:$A$16,C26,'Дорожная карта'!$C$6:$C$16),IF(F26="",0,IFERROR(INDEX($H$5:$H$44,MATCH(F26,$A$5:$A$44,0)),0))))</f>
        <v/>
      </c>
      <c r="H26" s="121">
        <f>IF($A26="","",G26+I26)</f>
        <v/>
      </c>
      <c r="I26" s="122">
        <f>IF($A26="","",Бэклог!E26)</f>
        <v/>
      </c>
      <c r="J26" s="140" t="n"/>
    </row>
    <row r="27">
      <c r="A27" s="119">
        <f>IF(Бэклог!A27="","",Бэклог!A27)</f>
        <v/>
      </c>
      <c r="B27" s="120">
        <f>IF($A27="","",Бэклог!B27)</f>
        <v/>
      </c>
      <c r="C27" s="119">
        <f>IF($A27="","",Бэклог!M27)</f>
        <v/>
      </c>
      <c r="D27" s="120">
        <f>IF($A27="","",Бэклог!C27)</f>
        <v/>
      </c>
      <c r="E27" s="119">
        <f>IF($A27="","",Бэклог!F27)</f>
        <v/>
      </c>
      <c r="F27" s="131" t="n"/>
      <c r="G27" s="121">
        <f>IF($A27="","",MAX(SUMIF('Дорожная карта'!$A$6:$A$16,C27,'Дорожная карта'!$C$6:$C$16),IF(F27="",0,IFERROR(INDEX($H$5:$H$44,MATCH(F27,$A$5:$A$44,0)),0))))</f>
        <v/>
      </c>
      <c r="H27" s="121">
        <f>IF($A27="","",G27+I27)</f>
        <v/>
      </c>
      <c r="I27" s="122">
        <f>IF($A27="","",Бэклог!E27)</f>
        <v/>
      </c>
      <c r="J27" s="140" t="n"/>
    </row>
    <row r="28">
      <c r="A28" s="119">
        <f>IF(Бэклог!A28="","",Бэклог!A28)</f>
        <v/>
      </c>
      <c r="B28" s="120">
        <f>IF($A28="","",Бэклог!B28)</f>
        <v/>
      </c>
      <c r="C28" s="119">
        <f>IF($A28="","",Бэклог!M28)</f>
        <v/>
      </c>
      <c r="D28" s="120">
        <f>IF($A28="","",Бэклог!C28)</f>
        <v/>
      </c>
      <c r="E28" s="119">
        <f>IF($A28="","",Бэклог!F28)</f>
        <v/>
      </c>
      <c r="F28" s="131" t="n"/>
      <c r="G28" s="121">
        <f>IF($A28="","",MAX(SUMIF('Дорожная карта'!$A$6:$A$16,C28,'Дорожная карта'!$C$6:$C$16),IF(F28="",0,IFERROR(INDEX($H$5:$H$44,MATCH(F28,$A$5:$A$44,0)),0))))</f>
        <v/>
      </c>
      <c r="H28" s="121">
        <f>IF($A28="","",G28+I28)</f>
        <v/>
      </c>
      <c r="I28" s="122">
        <f>IF($A28="","",Бэклог!E28)</f>
        <v/>
      </c>
      <c r="J28" s="140" t="n"/>
    </row>
    <row r="29">
      <c r="A29" s="119">
        <f>IF(Бэклог!A29="","",Бэклог!A29)</f>
        <v/>
      </c>
      <c r="B29" s="120">
        <f>IF($A29="","",Бэклог!B29)</f>
        <v/>
      </c>
      <c r="C29" s="119">
        <f>IF($A29="","",Бэклог!M29)</f>
        <v/>
      </c>
      <c r="D29" s="120">
        <f>IF($A29="","",Бэклог!C29)</f>
        <v/>
      </c>
      <c r="E29" s="119">
        <f>IF($A29="","",Бэклог!F29)</f>
        <v/>
      </c>
      <c r="F29" s="131" t="n"/>
      <c r="G29" s="121">
        <f>IF($A29="","",MAX(SUMIF('Дорожная карта'!$A$6:$A$16,C29,'Дорожная карта'!$C$6:$C$16),IF(F29="",0,IFERROR(INDEX($H$5:$H$44,MATCH(F29,$A$5:$A$44,0)),0))))</f>
        <v/>
      </c>
      <c r="H29" s="121">
        <f>IF($A29="","",G29+I29)</f>
        <v/>
      </c>
      <c r="I29" s="122">
        <f>IF($A29="","",Бэклог!E29)</f>
        <v/>
      </c>
      <c r="J29" s="140" t="n"/>
    </row>
    <row r="30">
      <c r="A30" s="119">
        <f>IF(Бэклог!A30="","",Бэклог!A30)</f>
        <v/>
      </c>
      <c r="B30" s="120">
        <f>IF($A30="","",Бэклог!B30)</f>
        <v/>
      </c>
      <c r="C30" s="119">
        <f>IF($A30="","",Бэклог!M30)</f>
        <v/>
      </c>
      <c r="D30" s="120">
        <f>IF($A30="","",Бэклог!C30)</f>
        <v/>
      </c>
      <c r="E30" s="119">
        <f>IF($A30="","",Бэклог!F30)</f>
        <v/>
      </c>
      <c r="F30" s="131" t="n"/>
      <c r="G30" s="121">
        <f>IF($A30="","",MAX(SUMIF('Дорожная карта'!$A$6:$A$16,C30,'Дорожная карта'!$C$6:$C$16),IF(F30="",0,IFERROR(INDEX($H$5:$H$44,MATCH(F30,$A$5:$A$44,0)),0))))</f>
        <v/>
      </c>
      <c r="H30" s="121">
        <f>IF($A30="","",G30+I30)</f>
        <v/>
      </c>
      <c r="I30" s="122">
        <f>IF($A30="","",Бэклог!E30)</f>
        <v/>
      </c>
      <c r="J30" s="140" t="n"/>
    </row>
    <row r="31">
      <c r="A31" s="119">
        <f>IF(Бэклог!A31="","",Бэклог!A31)</f>
        <v/>
      </c>
      <c r="B31" s="120">
        <f>IF($A31="","",Бэклог!B31)</f>
        <v/>
      </c>
      <c r="C31" s="119">
        <f>IF($A31="","",Бэклог!M31)</f>
        <v/>
      </c>
      <c r="D31" s="120">
        <f>IF($A31="","",Бэклог!C31)</f>
        <v/>
      </c>
      <c r="E31" s="119">
        <f>IF($A31="","",Бэклог!F31)</f>
        <v/>
      </c>
      <c r="F31" s="131" t="n"/>
      <c r="G31" s="121">
        <f>IF($A31="","",MAX(SUMIF('Дорожная карта'!$A$6:$A$16,C31,'Дорожная карта'!$C$6:$C$16),IF(F31="",0,IFERROR(INDEX($H$5:$H$44,MATCH(F31,$A$5:$A$44,0)),0))))</f>
        <v/>
      </c>
      <c r="H31" s="121">
        <f>IF($A31="","",G31+I31)</f>
        <v/>
      </c>
      <c r="I31" s="122">
        <f>IF($A31="","",Бэклог!E31)</f>
        <v/>
      </c>
      <c r="J31" s="140" t="n"/>
    </row>
    <row r="32">
      <c r="A32" s="119">
        <f>IF(Бэклог!A32="","",Бэклог!A32)</f>
        <v/>
      </c>
      <c r="B32" s="120">
        <f>IF($A32="","",Бэклог!B32)</f>
        <v/>
      </c>
      <c r="C32" s="119">
        <f>IF($A32="","",Бэклог!M32)</f>
        <v/>
      </c>
      <c r="D32" s="120">
        <f>IF($A32="","",Бэклог!C32)</f>
        <v/>
      </c>
      <c r="E32" s="119">
        <f>IF($A32="","",Бэклог!F32)</f>
        <v/>
      </c>
      <c r="F32" s="131" t="n"/>
      <c r="G32" s="121">
        <f>IF($A32="","",MAX(SUMIF('Дорожная карта'!$A$6:$A$16,C32,'Дорожная карта'!$C$6:$C$16),IF(F32="",0,IFERROR(INDEX($H$5:$H$44,MATCH(F32,$A$5:$A$44,0)),0))))</f>
        <v/>
      </c>
      <c r="H32" s="121">
        <f>IF($A32="","",G32+I32)</f>
        <v/>
      </c>
      <c r="I32" s="122">
        <f>IF($A32="","",Бэклог!E32)</f>
        <v/>
      </c>
      <c r="J32" s="140" t="n"/>
    </row>
    <row r="33">
      <c r="A33" s="119">
        <f>IF(Бэклог!A33="","",Бэклог!A33)</f>
        <v/>
      </c>
      <c r="B33" s="120">
        <f>IF($A33="","",Бэклог!B33)</f>
        <v/>
      </c>
      <c r="C33" s="119">
        <f>IF($A33="","",Бэклог!M33)</f>
        <v/>
      </c>
      <c r="D33" s="120">
        <f>IF($A33="","",Бэклог!C33)</f>
        <v/>
      </c>
      <c r="E33" s="119">
        <f>IF($A33="","",Бэклог!F33)</f>
        <v/>
      </c>
      <c r="F33" s="131" t="n"/>
      <c r="G33" s="121">
        <f>IF($A33="","",MAX(SUMIF('Дорожная карта'!$A$6:$A$16,C33,'Дорожная карта'!$C$6:$C$16),IF(F33="",0,IFERROR(INDEX($H$5:$H$44,MATCH(F33,$A$5:$A$44,0)),0))))</f>
        <v/>
      </c>
      <c r="H33" s="121">
        <f>IF($A33="","",G33+I33)</f>
        <v/>
      </c>
      <c r="I33" s="122">
        <f>IF($A33="","",Бэклог!E33)</f>
        <v/>
      </c>
      <c r="J33" s="140" t="n"/>
    </row>
    <row r="34">
      <c r="A34" s="119">
        <f>IF(Бэклог!A34="","",Бэклог!A34)</f>
        <v/>
      </c>
      <c r="B34" s="120">
        <f>IF($A34="","",Бэклог!B34)</f>
        <v/>
      </c>
      <c r="C34" s="119">
        <f>IF($A34="","",Бэклог!M34)</f>
        <v/>
      </c>
      <c r="D34" s="120">
        <f>IF($A34="","",Бэклог!C34)</f>
        <v/>
      </c>
      <c r="E34" s="119">
        <f>IF($A34="","",Бэклог!F34)</f>
        <v/>
      </c>
      <c r="F34" s="131" t="n"/>
      <c r="G34" s="121">
        <f>IF($A34="","",MAX(SUMIF('Дорожная карта'!$A$6:$A$16,C34,'Дорожная карта'!$C$6:$C$16),IF(F34="",0,IFERROR(INDEX($H$5:$H$44,MATCH(F34,$A$5:$A$44,0)),0))))</f>
        <v/>
      </c>
      <c r="H34" s="121">
        <f>IF($A34="","",G34+I34)</f>
        <v/>
      </c>
      <c r="I34" s="122">
        <f>IF($A34="","",Бэклог!E34)</f>
        <v/>
      </c>
      <c r="J34" s="140" t="n"/>
    </row>
    <row r="35">
      <c r="A35" s="119">
        <f>IF(Бэклог!A35="","",Бэклог!A35)</f>
        <v/>
      </c>
      <c r="B35" s="120">
        <f>IF($A35="","",Бэклог!B35)</f>
        <v/>
      </c>
      <c r="C35" s="119">
        <f>IF($A35="","",Бэклог!M35)</f>
        <v/>
      </c>
      <c r="D35" s="120">
        <f>IF($A35="","",Бэклог!C35)</f>
        <v/>
      </c>
      <c r="E35" s="119">
        <f>IF($A35="","",Бэклог!F35)</f>
        <v/>
      </c>
      <c r="F35" s="131" t="n"/>
      <c r="G35" s="121">
        <f>IF($A35="","",MAX(SUMIF('Дорожная карта'!$A$6:$A$16,C35,'Дорожная карта'!$C$6:$C$16),IF(F35="",0,IFERROR(INDEX($H$5:$H$44,MATCH(F35,$A$5:$A$44,0)),0))))</f>
        <v/>
      </c>
      <c r="H35" s="121">
        <f>IF($A35="","",G35+I35)</f>
        <v/>
      </c>
      <c r="I35" s="122">
        <f>IF($A35="","",Бэклог!E35)</f>
        <v/>
      </c>
      <c r="J35" s="140" t="n"/>
    </row>
    <row r="36">
      <c r="A36" s="119">
        <f>IF(Бэклог!A36="","",Бэклог!A36)</f>
        <v/>
      </c>
      <c r="B36" s="120">
        <f>IF($A36="","",Бэклог!B36)</f>
        <v/>
      </c>
      <c r="C36" s="119">
        <f>IF($A36="","",Бэклог!M36)</f>
        <v/>
      </c>
      <c r="D36" s="120">
        <f>IF($A36="","",Бэклог!C36)</f>
        <v/>
      </c>
      <c r="E36" s="119">
        <f>IF($A36="","",Бэклог!F36)</f>
        <v/>
      </c>
      <c r="F36" s="131" t="n"/>
      <c r="G36" s="121">
        <f>IF($A36="","",MAX(SUMIF('Дорожная карта'!$A$6:$A$16,C36,'Дорожная карта'!$C$6:$C$16),IF(F36="",0,IFERROR(INDEX($H$5:$H$44,MATCH(F36,$A$5:$A$44,0)),0))))</f>
        <v/>
      </c>
      <c r="H36" s="121">
        <f>IF($A36="","",G36+I36)</f>
        <v/>
      </c>
      <c r="I36" s="122">
        <f>IF($A36="","",Бэклог!E36)</f>
        <v/>
      </c>
      <c r="J36" s="140" t="n"/>
    </row>
    <row r="37">
      <c r="A37" s="119">
        <f>IF(Бэклог!A37="","",Бэклог!A37)</f>
        <v/>
      </c>
      <c r="B37" s="120">
        <f>IF($A37="","",Бэклог!B37)</f>
        <v/>
      </c>
      <c r="C37" s="119">
        <f>IF($A37="","",Бэклог!M37)</f>
        <v/>
      </c>
      <c r="D37" s="120">
        <f>IF($A37="","",Бэклог!C37)</f>
        <v/>
      </c>
      <c r="E37" s="119">
        <f>IF($A37="","",Бэклог!F37)</f>
        <v/>
      </c>
      <c r="F37" s="131" t="n"/>
      <c r="G37" s="121">
        <f>IF($A37="","",MAX(SUMIF('Дорожная карта'!$A$6:$A$16,C37,'Дорожная карта'!$C$6:$C$16),IF(F37="",0,IFERROR(INDEX($H$5:$H$44,MATCH(F37,$A$5:$A$44,0)),0))))</f>
        <v/>
      </c>
      <c r="H37" s="121">
        <f>IF($A37="","",G37+I37)</f>
        <v/>
      </c>
      <c r="I37" s="122">
        <f>IF($A37="","",Бэклог!E37)</f>
        <v/>
      </c>
      <c r="J37" s="140" t="n"/>
    </row>
    <row r="38">
      <c r="A38" s="119">
        <f>IF(Бэклог!A38="","",Бэклог!A38)</f>
        <v/>
      </c>
      <c r="B38" s="120">
        <f>IF($A38="","",Бэклог!B38)</f>
        <v/>
      </c>
      <c r="C38" s="119">
        <f>IF($A38="","",Бэклог!M38)</f>
        <v/>
      </c>
      <c r="D38" s="120">
        <f>IF($A38="","",Бэклог!C38)</f>
        <v/>
      </c>
      <c r="E38" s="119">
        <f>IF($A38="","",Бэклог!F38)</f>
        <v/>
      </c>
      <c r="F38" s="131" t="n"/>
      <c r="G38" s="121">
        <f>IF($A38="","",MAX(SUMIF('Дорожная карта'!$A$6:$A$16,C38,'Дорожная карта'!$C$6:$C$16),IF(F38="",0,IFERROR(INDEX($H$5:$H$44,MATCH(F38,$A$5:$A$44,0)),0))))</f>
        <v/>
      </c>
      <c r="H38" s="121">
        <f>IF($A38="","",G38+I38)</f>
        <v/>
      </c>
      <c r="I38" s="122">
        <f>IF($A38="","",Бэклог!E38)</f>
        <v/>
      </c>
      <c r="J38" s="140" t="n"/>
    </row>
    <row r="39">
      <c r="A39" s="119">
        <f>IF(Бэклог!A39="","",Бэклог!A39)</f>
        <v/>
      </c>
      <c r="B39" s="120">
        <f>IF($A39="","",Бэклог!B39)</f>
        <v/>
      </c>
      <c r="C39" s="119">
        <f>IF($A39="","",Бэклог!M39)</f>
        <v/>
      </c>
      <c r="D39" s="120">
        <f>IF($A39="","",Бэклог!C39)</f>
        <v/>
      </c>
      <c r="E39" s="119">
        <f>IF($A39="","",Бэклог!F39)</f>
        <v/>
      </c>
      <c r="F39" s="131" t="n"/>
      <c r="G39" s="121">
        <f>IF($A39="","",MAX(SUMIF('Дорожная карта'!$A$6:$A$16,C39,'Дорожная карта'!$C$6:$C$16),IF(F39="",0,IFERROR(INDEX($H$5:$H$44,MATCH(F39,$A$5:$A$44,0)),0))))</f>
        <v/>
      </c>
      <c r="H39" s="121">
        <f>IF($A39="","",G39+I39)</f>
        <v/>
      </c>
      <c r="I39" s="122">
        <f>IF($A39="","",Бэклог!E39)</f>
        <v/>
      </c>
      <c r="J39" s="140" t="n"/>
    </row>
    <row r="40">
      <c r="A40" s="119">
        <f>IF(Бэклог!A40="","",Бэклог!A40)</f>
        <v/>
      </c>
      <c r="B40" s="120">
        <f>IF($A40="","",Бэклог!B40)</f>
        <v/>
      </c>
      <c r="C40" s="119">
        <f>IF($A40="","",Бэклог!M40)</f>
        <v/>
      </c>
      <c r="D40" s="120">
        <f>IF($A40="","",Бэклог!C40)</f>
        <v/>
      </c>
      <c r="E40" s="119">
        <f>IF($A40="","",Бэклог!F40)</f>
        <v/>
      </c>
      <c r="F40" s="131" t="n"/>
      <c r="G40" s="121">
        <f>IF($A40="","",MAX(SUMIF('Дорожная карта'!$A$6:$A$16,C40,'Дорожная карта'!$C$6:$C$16),IF(F40="",0,IFERROR(INDEX($H$5:$H$44,MATCH(F40,$A$5:$A$44,0)),0))))</f>
        <v/>
      </c>
      <c r="H40" s="121">
        <f>IF($A40="","",G40+I40)</f>
        <v/>
      </c>
      <c r="I40" s="122">
        <f>IF($A40="","",Бэклог!E40)</f>
        <v/>
      </c>
      <c r="J40" s="140" t="n"/>
    </row>
    <row r="41">
      <c r="A41" s="119">
        <f>IF(Бэклог!A41="","",Бэклог!A41)</f>
        <v/>
      </c>
      <c r="B41" s="120">
        <f>IF($A41="","",Бэклог!B41)</f>
        <v/>
      </c>
      <c r="C41" s="119">
        <f>IF($A41="","",Бэклог!M41)</f>
        <v/>
      </c>
      <c r="D41" s="120">
        <f>IF($A41="","",Бэклог!C41)</f>
        <v/>
      </c>
      <c r="E41" s="119">
        <f>IF($A41="","",Бэклог!F41)</f>
        <v/>
      </c>
      <c r="F41" s="131" t="n"/>
      <c r="G41" s="121">
        <f>IF($A41="","",MAX(SUMIF('Дорожная карта'!$A$6:$A$16,C41,'Дорожная карта'!$C$6:$C$16),IF(F41="",0,IFERROR(INDEX($H$5:$H$44,MATCH(F41,$A$5:$A$44,0)),0))))</f>
        <v/>
      </c>
      <c r="H41" s="121">
        <f>IF($A41="","",G41+I41)</f>
        <v/>
      </c>
      <c r="I41" s="122">
        <f>IF($A41="","",Бэклог!E41)</f>
        <v/>
      </c>
      <c r="J41" s="140" t="n"/>
    </row>
    <row r="42">
      <c r="A42" s="119">
        <f>IF(Бэклог!A42="","",Бэклог!A42)</f>
        <v/>
      </c>
      <c r="B42" s="120">
        <f>IF($A42="","",Бэклог!B42)</f>
        <v/>
      </c>
      <c r="C42" s="119">
        <f>IF($A42="","",Бэклог!M42)</f>
        <v/>
      </c>
      <c r="D42" s="120">
        <f>IF($A42="","",Бэклог!C42)</f>
        <v/>
      </c>
      <c r="E42" s="119">
        <f>IF($A42="","",Бэклог!F42)</f>
        <v/>
      </c>
      <c r="F42" s="131" t="n"/>
      <c r="G42" s="121">
        <f>IF($A42="","",MAX(SUMIF('Дорожная карта'!$A$6:$A$16,C42,'Дорожная карта'!$C$6:$C$16),IF(F42="",0,IFERROR(INDEX($H$5:$H$44,MATCH(F42,$A$5:$A$44,0)),0))))</f>
        <v/>
      </c>
      <c r="H42" s="121">
        <f>IF($A42="","",G42+I42)</f>
        <v/>
      </c>
      <c r="I42" s="122">
        <f>IF($A42="","",Бэклог!E42)</f>
        <v/>
      </c>
      <c r="J42" s="140" t="n"/>
    </row>
    <row r="43">
      <c r="A43" s="119">
        <f>IF(Бэклог!A43="","",Бэклог!A43)</f>
        <v/>
      </c>
      <c r="B43" s="120">
        <f>IF($A43="","",Бэклог!B43)</f>
        <v/>
      </c>
      <c r="C43" s="119">
        <f>IF($A43="","",Бэклог!M43)</f>
        <v/>
      </c>
      <c r="D43" s="120">
        <f>IF($A43="","",Бэклог!C43)</f>
        <v/>
      </c>
      <c r="E43" s="119">
        <f>IF($A43="","",Бэклог!F43)</f>
        <v/>
      </c>
      <c r="F43" s="131" t="n"/>
      <c r="G43" s="121">
        <f>IF($A43="","",MAX(SUMIF('Дорожная карта'!$A$6:$A$16,C43,'Дорожная карта'!$C$6:$C$16),IF(F43="",0,IFERROR(INDEX($H$5:$H$44,MATCH(F43,$A$5:$A$44,0)),0))))</f>
        <v/>
      </c>
      <c r="H43" s="121">
        <f>IF($A43="","",G43+I43)</f>
        <v/>
      </c>
      <c r="I43" s="122">
        <f>IF($A43="","",Бэклог!E43)</f>
        <v/>
      </c>
      <c r="J43" s="140" t="n"/>
    </row>
    <row r="44">
      <c r="A44" s="119">
        <f>IF(Бэклог!A44="","",Бэклог!A44)</f>
        <v/>
      </c>
      <c r="B44" s="120">
        <f>IF($A44="","",Бэклог!B44)</f>
        <v/>
      </c>
      <c r="C44" s="119">
        <f>IF($A44="","",Бэклог!M44)</f>
        <v/>
      </c>
      <c r="D44" s="120">
        <f>IF($A44="","",Бэклог!C44)</f>
        <v/>
      </c>
      <c r="E44" s="119">
        <f>IF($A44="","",Бэклог!F44)</f>
        <v/>
      </c>
      <c r="F44" s="131" t="n"/>
      <c r="G44" s="121">
        <f>IF($A44="","",MAX(SUMIF('Дорожная карта'!$A$6:$A$16,C44,'Дорожная карта'!$C$6:$C$16),IF(F44="",0,IFERROR(INDEX($H$5:$H$44,MATCH(F44,$A$5:$A$44,0)),0))))</f>
        <v/>
      </c>
      <c r="H44" s="121">
        <f>IF($A44="","",G44+I44)</f>
        <v/>
      </c>
      <c r="I44" s="122">
        <f>IF($A44="","",Бэклог!E44)</f>
        <v/>
      </c>
      <c r="J44" s="140" t="n"/>
    </row>
    <row r="46">
      <c r="A46" s="14" t="inlineStr">
        <is>
          <t>Легенда спринтов:</t>
        </is>
      </c>
    </row>
    <row r="47" ht="27.6" customHeight="1">
      <c r="A47" s="123" t="inlineStr">
        <is>
          <t>Спринт 1</t>
        </is>
      </c>
    </row>
    <row r="48" ht="27.6" customHeight="1">
      <c r="A48" s="124" t="inlineStr">
        <is>
          <t>Спринт 2</t>
        </is>
      </c>
    </row>
    <row r="49" ht="27.6" customHeight="1">
      <c r="A49" s="125" t="inlineStr">
        <is>
          <t>Спринт 3</t>
        </is>
      </c>
    </row>
    <row r="50" ht="27.6" customHeight="1">
      <c r="A50" s="126" t="inlineStr">
        <is>
          <t>Спринт 4</t>
        </is>
      </c>
    </row>
    <row r="51" ht="27.6" customHeight="1">
      <c r="A51" s="127" t="inlineStr">
        <is>
          <t>Спринт 5</t>
        </is>
      </c>
    </row>
    <row r="53">
      <c r="A53" s="117" t="inlineStr">
        <is>
          <t>Стрелки-связи Excel не строит; зависимость видна по сдвигу старта задачи.</t>
        </is>
      </c>
    </row>
    <row r="54" ht="15.6" customHeight="1">
      <c r="A54" s="132" t="inlineStr">
        <is>
          <t>Карта зависимостей (сверху вниз = порядок выполнения, FS)</t>
        </is>
      </c>
    </row>
    <row r="56">
      <c r="B56" s="133" t="inlineStr">
        <is>
          <t>T-01</t>
        </is>
      </c>
      <c r="D56" s="133" t="inlineStr">
        <is>
          <t>T-01</t>
        </is>
      </c>
      <c r="F56" s="134" t="inlineStr">
        <is>
          <t>T-04</t>
        </is>
      </c>
      <c r="H56" s="135" t="inlineStr">
        <is>
          <t>T-15</t>
        </is>
      </c>
    </row>
    <row r="57" ht="15.6" customHeight="1">
      <c r="B57" s="136" t="inlineStr">
        <is>
          <t>▼</t>
        </is>
      </c>
      <c r="D57" s="136" t="inlineStr">
        <is>
          <t>▼</t>
        </is>
      </c>
      <c r="F57" s="136" t="inlineStr">
        <is>
          <t>▼</t>
        </is>
      </c>
      <c r="H57" s="136" t="inlineStr">
        <is>
          <t>▼</t>
        </is>
      </c>
    </row>
    <row r="58">
      <c r="B58" s="133" t="inlineStr">
        <is>
          <t>T-02</t>
        </is>
      </c>
      <c r="D58" s="134" t="inlineStr">
        <is>
          <t>T-03</t>
        </is>
      </c>
      <c r="F58" s="135" t="inlineStr">
        <is>
          <t>T-07</t>
        </is>
      </c>
      <c r="H58" s="137" t="inlineStr">
        <is>
          <t>T-16</t>
        </is>
      </c>
    </row>
    <row r="59" ht="15.6" customHeight="1">
      <c r="D59" s="136" t="inlineStr">
        <is>
          <t>▼</t>
        </is>
      </c>
      <c r="H59" s="136" t="inlineStr">
        <is>
          <t>▼</t>
        </is>
      </c>
    </row>
    <row r="60">
      <c r="D60" s="135" t="inlineStr">
        <is>
          <t>T-13</t>
        </is>
      </c>
      <c r="H60" s="137" t="inlineStr">
        <is>
          <t>T-17</t>
        </is>
      </c>
    </row>
    <row r="61" ht="15.6" customHeight="1">
      <c r="D61" s="136" t="inlineStr">
        <is>
          <t>▼</t>
        </is>
      </c>
    </row>
    <row r="62">
      <c r="D62" s="135" t="inlineStr">
        <is>
          <t>T-14</t>
        </is>
      </c>
    </row>
    <row r="65">
      <c r="A65" s="117" t="inlineStr">
        <is>
          <t>Плашки раскрашены по спринтам (см. легенду выше). Связи — из столбца «Зависит от».</t>
        </is>
      </c>
    </row>
    <row r="70">
      <c r="A70" s="141" t="inlineStr">
        <is>
          <t>Критический путь — красная обводка баров и «Да» в столбце «Критич. путь». Длина проекта: 26 раб./чел-дн.</t>
        </is>
      </c>
    </row>
  </sheetData>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outlinePr summaryBelow="1" summaryRight="1"/>
    <pageSetUpPr/>
  </sheetPr>
  <dimension ref="A1:K20"/>
  <sheetViews>
    <sheetView showGridLines="0" workbookViewId="0">
      <pane ySplit="4" topLeftCell="A5" activePane="bottomLeft" state="frozen"/>
      <selection pane="bottomLeft" activeCell="A1" sqref="A1"/>
    </sheetView>
  </sheetViews>
  <sheetFormatPr baseColWidth="8" defaultRowHeight="14.4"/>
  <cols>
    <col width="7" customWidth="1" min="1" max="1"/>
    <col width="26" customWidth="1" min="2" max="2"/>
    <col width="9" customWidth="1" min="3" max="3"/>
    <col width="10" customWidth="1" min="4" max="4"/>
    <col width="22" customWidth="1" min="5" max="5"/>
    <col width="15" customWidth="1" min="6" max="6"/>
    <col width="30" customWidth="1" min="7" max="7"/>
    <col width="8" customWidth="1" min="8" max="8"/>
    <col width="14" customWidth="1" min="9" max="9"/>
    <col width="18" customWidth="1" min="10" max="10"/>
    <col width="8" customWidth="1" min="11" max="11"/>
  </cols>
  <sheetData>
    <row r="1" ht="17.4" customHeight="1">
      <c r="A1" s="213" t="inlineStr">
        <is>
          <t>Зависимости от других стримов</t>
        </is>
      </c>
    </row>
    <row r="2">
      <c r="A2" s="225" t="inlineStr">
        <is>
          <t>Межстримовые зависимости задач, историй и фич. Направление, статус (RAG) и риск.</t>
        </is>
      </c>
    </row>
    <row r="4" ht="27.6" customHeight="1">
      <c r="A4" s="226" t="inlineStr">
        <is>
          <t>ID</t>
        </is>
      </c>
      <c r="B4" s="226" t="inlineStr">
        <is>
          <t>Элемент</t>
        </is>
      </c>
      <c r="C4" s="226" t="inlineStr">
        <is>
          <t>Тип</t>
        </is>
      </c>
      <c r="D4" s="226" t="inlineStr">
        <is>
          <t>Задача
(Гант)</t>
        </is>
      </c>
      <c r="E4" s="226" t="inlineStr">
        <is>
          <t>Внешний стрим</t>
        </is>
      </c>
      <c r="F4" s="226" t="inlineStr">
        <is>
          <t>Направление</t>
        </is>
      </c>
      <c r="G4" s="226" t="inlineStr">
        <is>
          <t>Что именно</t>
        </is>
      </c>
      <c r="H4" s="226" t="inlineStr">
        <is>
          <t>Спринт</t>
        </is>
      </c>
      <c r="I4" s="226" t="inlineStr">
        <is>
          <t>Статус</t>
        </is>
      </c>
      <c r="J4" s="226" t="inlineStr">
        <is>
          <t>Владелец</t>
        </is>
      </c>
      <c r="K4" s="226" t="inlineStr">
        <is>
          <t>Риск</t>
        </is>
      </c>
    </row>
    <row r="5" ht="27.6" customHeight="1">
      <c r="A5" s="237" t="inlineStr">
        <is>
          <t>D-01</t>
        </is>
      </c>
      <c r="B5" s="238" t="inlineStr">
        <is>
          <t>Интеграция платежей</t>
        </is>
      </c>
      <c r="C5" s="230" t="inlineStr">
        <is>
          <t>Задача</t>
        </is>
      </c>
      <c r="D5" s="230" t="inlineStr">
        <is>
          <t>T-03</t>
        </is>
      </c>
      <c r="E5" s="238" t="inlineStr">
        <is>
          <t>Платёжный шлюз</t>
        </is>
      </c>
      <c r="F5" s="239" t="inlineStr">
        <is>
          <t>Мы зависим</t>
        </is>
      </c>
      <c r="G5" s="238" t="inlineStr">
        <is>
          <t>API оплаты v2 (токенизация карт)</t>
        </is>
      </c>
      <c r="H5" s="230" t="n">
        <v>3</v>
      </c>
      <c r="I5" s="239" t="inlineStr">
        <is>
          <t>Заблокировано</t>
        </is>
      </c>
      <c r="J5" s="239" t="inlineStr">
        <is>
          <t>Команда Payments</t>
        </is>
      </c>
      <c r="K5" s="230" t="inlineStr">
        <is>
          <t>High</t>
        </is>
      </c>
    </row>
    <row r="6">
      <c r="A6" s="237" t="inlineStr">
        <is>
          <t>D-02</t>
        </is>
      </c>
      <c r="B6" s="238" t="inlineStr">
        <is>
          <t>Оплата картой</t>
        </is>
      </c>
      <c r="C6" s="230" t="inlineStr">
        <is>
          <t>Фича</t>
        </is>
      </c>
      <c r="D6" s="230" t="n"/>
      <c r="E6" s="238" t="inlineStr">
        <is>
          <t>Платёжный шлюз</t>
        </is>
      </c>
      <c r="F6" s="239" t="inlineStr">
        <is>
          <t>Мы зависим</t>
        </is>
      </c>
      <c r="G6" s="238" t="inlineStr">
        <is>
          <t>Сертификация PCI DSS</t>
        </is>
      </c>
      <c r="H6" s="230" t="n">
        <v>4</v>
      </c>
      <c r="I6" s="239" t="inlineStr">
        <is>
          <t>Ожидается</t>
        </is>
      </c>
      <c r="J6" s="239" t="inlineStr">
        <is>
          <t>Security / Payments</t>
        </is>
      </c>
      <c r="K6" s="230" t="inlineStr">
        <is>
          <t>High</t>
        </is>
      </c>
    </row>
    <row r="7" ht="27.6" customHeight="1">
      <c r="A7" s="237" t="inlineStr">
        <is>
          <t>D-03</t>
        </is>
      </c>
      <c r="B7" s="238" t="inlineStr">
        <is>
          <t>Уведомления (e-mail/push)</t>
        </is>
      </c>
      <c r="C7" s="230" t="inlineStr">
        <is>
          <t>Задача</t>
        </is>
      </c>
      <c r="D7" s="230" t="inlineStr">
        <is>
          <t>T-08</t>
        </is>
      </c>
      <c r="E7" s="238" t="inlineStr">
        <is>
          <t>Инфраструктура / DevOps</t>
        </is>
      </c>
      <c r="F7" s="239" t="inlineStr">
        <is>
          <t>Мы зависим</t>
        </is>
      </c>
      <c r="G7" s="238" t="inlineStr">
        <is>
          <t>Сервис рассылок (SMTP + Push)</t>
        </is>
      </c>
      <c r="H7" s="230" t="n">
        <v>4</v>
      </c>
      <c r="I7" s="239" t="inlineStr">
        <is>
          <t>Подтверждено</t>
        </is>
      </c>
      <c r="J7" s="239" t="inlineStr">
        <is>
          <t>Platform Team</t>
        </is>
      </c>
      <c r="K7" s="230" t="inlineStr">
        <is>
          <t>Medium</t>
        </is>
      </c>
    </row>
    <row r="8">
      <c r="A8" s="237" t="inlineStr">
        <is>
          <t>D-04</t>
        </is>
      </c>
      <c r="B8" s="238" t="inlineStr">
        <is>
          <t>API промокодов</t>
        </is>
      </c>
      <c r="C8" s="230" t="inlineStr">
        <is>
          <t>Задача</t>
        </is>
      </c>
      <c r="D8" s="230" t="inlineStr">
        <is>
          <t>T-11</t>
        </is>
      </c>
      <c r="E8" s="238" t="inlineStr">
        <is>
          <t>Каталог / Контент</t>
        </is>
      </c>
      <c r="F8" s="239" t="inlineStr">
        <is>
          <t>Мы зависим</t>
        </is>
      </c>
      <c r="G8" s="238" t="inlineStr">
        <is>
          <t>Каталог товаров и цен</t>
        </is>
      </c>
      <c r="H8" s="230" t="n">
        <v>2</v>
      </c>
      <c r="I8" s="239" t="inlineStr">
        <is>
          <t>Получено</t>
        </is>
      </c>
      <c r="J8" s="239" t="inlineStr">
        <is>
          <t>Catalog Team</t>
        </is>
      </c>
      <c r="K8" s="230" t="inlineStr">
        <is>
          <t>Low</t>
        </is>
      </c>
    </row>
    <row r="9" ht="27.6" customHeight="1">
      <c r="A9" s="237" t="inlineStr">
        <is>
          <t>D-05</t>
        </is>
      </c>
      <c r="B9" s="238" t="inlineStr">
        <is>
          <t>Личный кабинет</t>
        </is>
      </c>
      <c r="C9" s="230" t="inlineStr">
        <is>
          <t>История</t>
        </is>
      </c>
      <c r="D9" s="230" t="n"/>
      <c r="E9" s="238" t="inlineStr">
        <is>
          <t>Идентификация (SSO)</t>
        </is>
      </c>
      <c r="F9" s="239" t="inlineStr">
        <is>
          <t>Мы зависим</t>
        </is>
      </c>
      <c r="G9" s="238" t="inlineStr">
        <is>
          <t>Единый вход (OAuth2/OIDC)</t>
        </is>
      </c>
      <c r="H9" s="230" t="n">
        <v>5</v>
      </c>
      <c r="I9" s="239" t="inlineStr">
        <is>
          <t>Ожидается</t>
        </is>
      </c>
      <c r="J9" s="239" t="inlineStr">
        <is>
          <t>IAM Team</t>
        </is>
      </c>
      <c r="K9" s="230" t="inlineStr">
        <is>
          <t>Medium</t>
        </is>
      </c>
    </row>
    <row r="10" ht="27.6" customHeight="1">
      <c r="A10" s="237" t="inlineStr">
        <is>
          <t>D-06</t>
        </is>
      </c>
      <c r="B10" s="238" t="inlineStr">
        <is>
          <t>Экран корзины</t>
        </is>
      </c>
      <c r="C10" s="230" t="inlineStr">
        <is>
          <t>Фича</t>
        </is>
      </c>
      <c r="D10" s="230" t="inlineStr">
        <is>
          <t>T-02</t>
        </is>
      </c>
      <c r="E10" s="238" t="inlineStr">
        <is>
          <t>Мобильное приложение</t>
        </is>
      </c>
      <c r="F10" s="239" t="inlineStr">
        <is>
          <t>Зависят от нас</t>
        </is>
      </c>
      <c r="G10" s="238" t="inlineStr">
        <is>
          <t>REST API заказов для мобильного клиента</t>
        </is>
      </c>
      <c r="H10" s="230" t="n">
        <v>6</v>
      </c>
      <c r="I10" s="239" t="inlineStr">
        <is>
          <t>Подтверждено</t>
        </is>
      </c>
      <c r="J10" s="239" t="inlineStr">
        <is>
          <t>Mobile Team</t>
        </is>
      </c>
      <c r="K10" s="230" t="inlineStr">
        <is>
          <t>Medium</t>
        </is>
      </c>
    </row>
    <row r="11" ht="27.6" customHeight="1">
      <c r="A11" s="237" t="inlineStr">
        <is>
          <t>D-07</t>
        </is>
      </c>
      <c r="B11" s="238" t="inlineStr">
        <is>
          <t>Логирование и метрики</t>
        </is>
      </c>
      <c r="C11" s="230" t="inlineStr">
        <is>
          <t>Задача</t>
        </is>
      </c>
      <c r="D11" s="230" t="inlineStr">
        <is>
          <t>T-12</t>
        </is>
      </c>
      <c r="E11" s="238" t="inlineStr">
        <is>
          <t>Data Platform / Аналитика</t>
        </is>
      </c>
      <c r="F11" s="239" t="inlineStr">
        <is>
          <t>Мы зависим</t>
        </is>
      </c>
      <c r="G11" s="238" t="inlineStr">
        <is>
          <t>Шина событий (Kafka topics)</t>
        </is>
      </c>
      <c r="H11" s="230" t="n">
        <v>4</v>
      </c>
      <c r="I11" s="239" t="inlineStr">
        <is>
          <t>Заблокировано</t>
        </is>
      </c>
      <c r="J11" s="239" t="inlineStr">
        <is>
          <t>Data Platform</t>
        </is>
      </c>
      <c r="K11" s="230" t="inlineStr">
        <is>
          <t>High</t>
        </is>
      </c>
    </row>
    <row r="12" ht="27.6" customHeight="1">
      <c r="A12" s="237" t="inlineStr">
        <is>
          <t>D-08</t>
        </is>
      </c>
      <c r="B12" s="238" t="inlineStr">
        <is>
          <t>Экспорт отчётов</t>
        </is>
      </c>
      <c r="C12" s="230" t="inlineStr">
        <is>
          <t>Фича</t>
        </is>
      </c>
      <c r="D12" s="230" t="n"/>
      <c r="E12" s="238" t="inlineStr">
        <is>
          <t>Data Platform / Аналитика</t>
        </is>
      </c>
      <c r="F12" s="239" t="inlineStr">
        <is>
          <t>Зависят от нас</t>
        </is>
      </c>
      <c r="G12" s="238" t="inlineStr">
        <is>
          <t>Витрина заказов для BI</t>
        </is>
      </c>
      <c r="H12" s="230" t="n">
        <v>7</v>
      </c>
      <c r="I12" s="239" t="inlineStr">
        <is>
          <t>Ожидается</t>
        </is>
      </c>
      <c r="J12" s="239" t="inlineStr">
        <is>
          <t>Analytics</t>
        </is>
      </c>
      <c r="K12" s="230" t="inlineStr">
        <is>
          <t>Low</t>
        </is>
      </c>
    </row>
    <row r="14">
      <c r="A14" s="222" t="inlineStr">
        <is>
          <t>Сводка по статусам</t>
        </is>
      </c>
    </row>
    <row r="15">
      <c r="A15" s="240" t="inlineStr">
        <is>
          <t>Статус</t>
        </is>
      </c>
      <c r="B15" s="240" t="inlineStr">
        <is>
          <t>Кол-во</t>
        </is>
      </c>
    </row>
    <row r="16">
      <c r="A16" s="186" t="inlineStr">
        <is>
          <t>Ожидается</t>
        </is>
      </c>
      <c r="B16" s="186">
        <f>COUNTIF($I$5:$I$12,A16)</f>
        <v/>
      </c>
    </row>
    <row r="17">
      <c r="A17" s="186" t="inlineStr">
        <is>
          <t>Подтверждено</t>
        </is>
      </c>
      <c r="B17" s="186">
        <f>COUNTIF($I$5:$I$12,A17)</f>
        <v/>
      </c>
    </row>
    <row r="18">
      <c r="A18" s="186" t="inlineStr">
        <is>
          <t>Получено</t>
        </is>
      </c>
      <c r="B18" s="186">
        <f>COUNTIF($I$5:$I$12,A18)</f>
        <v/>
      </c>
    </row>
    <row r="19">
      <c r="A19" s="186" t="inlineStr">
        <is>
          <t>Заблокировано</t>
        </is>
      </c>
      <c r="B19" s="186">
        <f>COUNTIF($I$5:$I$12,A19)</f>
        <v/>
      </c>
    </row>
    <row r="20">
      <c r="A20" s="186" t="inlineStr">
        <is>
          <t>Просрочено</t>
        </is>
      </c>
      <c r="B20" s="186">
        <f>COUNTIF($I$5:$I$12,A20)</f>
        <v/>
      </c>
    </row>
  </sheetData>
  <conditionalFormatting sqref="I5:I12">
    <cfRule type="cellIs" priority="1" operator="equal" dxfId="12">
      <formula>"Заблокировано"</formula>
    </cfRule>
    <cfRule type="cellIs" priority="2" operator="equal" dxfId="12">
      <formula>"Просрочено"</formula>
    </cfRule>
    <cfRule type="cellIs" priority="3" operator="equal" dxfId="11">
      <formula>"Ожидается"</formula>
    </cfRule>
    <cfRule type="cellIs" priority="4" operator="equal" dxfId="9">
      <formula>"Получено"</formula>
    </cfRule>
    <cfRule type="cellIs" priority="5" operator="equal" dxfId="9">
      <formula>"Подтверждено"</formula>
    </cfRule>
  </conditionalFormatting>
  <dataValidations count="4">
    <dataValidation sqref="C5:C12" showDropDown="0" showInputMessage="0" showErrorMessage="0" allowBlank="1" type="list">
      <formula1>"История,Задача,Фича,Эпик"</formula1>
    </dataValidation>
    <dataValidation sqref="F5:F12" showDropDown="0" showInputMessage="0" showErrorMessage="0" allowBlank="1" type="list">
      <formula1>"Мы зависим,Зависят от нас"</formula1>
    </dataValidation>
    <dataValidation sqref="I5:I12" showDropDown="0" showInputMessage="0" showErrorMessage="0" allowBlank="1" type="list">
      <formula1>"Ожидается,Подтверждено,Получено,Заблокировано,Просрочено"</formula1>
    </dataValidation>
    <dataValidation sqref="K5:K12" showDropDown="0" showInputMessage="0" showErrorMessage="0" allowBlank="1" type="list">
      <formula1>"High,Medium,Low"</formula1>
    </dataValidation>
  </dataValidations>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K147"/>
  <sheetViews>
    <sheetView showGridLines="0" workbookViewId="0">
      <pane ySplit="4" topLeftCell="A5" activePane="bottomLeft" state="frozen"/>
      <selection pane="bottomLeft" activeCell="C138" sqref="C138"/>
    </sheetView>
  </sheetViews>
  <sheetFormatPr baseColWidth="8" defaultRowHeight="14.4"/>
  <cols>
    <col width="9" customWidth="1" min="1" max="1"/>
    <col width="16" customWidth="1" min="2" max="2"/>
    <col width="12" customWidth="1" min="3" max="3"/>
    <col width="10" customWidth="1" min="4" max="6"/>
    <col width="8" customWidth="1" min="7" max="7"/>
    <col width="11" customWidth="1" min="8" max="8"/>
    <col width="9" customWidth="1" min="10" max="10"/>
    <col width="13" customWidth="1" min="11" max="11"/>
  </cols>
  <sheetData>
    <row r="1" ht="17.4" customHeight="1">
      <c r="A1" s="37" t="inlineStr">
        <is>
          <t>Капасити команды по спринтам</t>
        </is>
      </c>
    </row>
    <row r="2">
      <c r="A2" s="38" t="inlineStr">
        <is>
          <t>Капасити (дн) = (Раб. дней − Отсутствия) × Доступность × Focus factor, по каждому спринту отдельно. Жёлтые ячейки — заполняются вручную (отсутствия/доступность на спринт).</t>
        </is>
      </c>
    </row>
    <row r="4" ht="55.2" customHeight="1">
      <c r="A4" s="39" t="inlineStr">
        <is>
          <t>№
спринта</t>
        </is>
      </c>
      <c r="B4" s="39" t="inlineStr">
        <is>
          <t>Участник</t>
        </is>
      </c>
      <c r="C4" s="39" t="inlineStr">
        <is>
          <t>Роль</t>
        </is>
      </c>
      <c r="D4" s="39" t="inlineStr">
        <is>
          <t>Раб. дней
в спринте</t>
        </is>
      </c>
      <c r="E4" s="39" t="inlineStr">
        <is>
          <t>Отсутствия
(дней)</t>
        </is>
      </c>
      <c r="F4" s="39" t="inlineStr">
        <is>
          <t>Доступ-
ность</t>
        </is>
      </c>
      <c r="G4" s="39" t="inlineStr">
        <is>
          <t>Focus
factor</t>
        </is>
      </c>
      <c r="H4" s="39" t="inlineStr">
        <is>
          <t>Капасити
(дн)</t>
        </is>
      </c>
      <c r="J4" s="39" t="inlineStr">
        <is>
          <t>Спринт</t>
        </is>
      </c>
      <c r="K4" s="39" t="inlineStr">
        <is>
          <t>Итого
капасити (дн)</t>
        </is>
      </c>
    </row>
    <row r="5">
      <c r="A5" s="40" t="n">
        <v>1</v>
      </c>
      <c r="B5" s="41" t="inlineStr">
        <is>
          <t>Иванов А.</t>
        </is>
      </c>
      <c r="C5" s="41" t="inlineStr">
        <is>
          <t>Backend</t>
        </is>
      </c>
      <c r="D5" s="42">
        <f>SUMIF('Дорожная карта'!$A$6:$A$16,A5,'Дорожная карта'!$E$6:$E$16)</f>
        <v/>
      </c>
      <c r="E5" s="43" t="n">
        <v>0</v>
      </c>
      <c r="F5" s="44" t="n">
        <v>1</v>
      </c>
      <c r="G5" s="45">
        <f>Параметры!$B$9</f>
        <v/>
      </c>
      <c r="H5" s="46">
        <f>MAX(0,(D5-E5)*F5*G5)</f>
        <v/>
      </c>
      <c r="J5" s="47" t="n">
        <v>1</v>
      </c>
      <c r="K5" s="48">
        <f>SUMIF($A$5:$A$147,J5,$H$5:$H$147)</f>
        <v/>
      </c>
    </row>
    <row r="6">
      <c r="A6" s="47" t="n">
        <v>1</v>
      </c>
      <c r="B6" s="49" t="inlineStr">
        <is>
          <t>Петрова М.</t>
        </is>
      </c>
      <c r="C6" s="49" t="inlineStr">
        <is>
          <t>Frontend</t>
        </is>
      </c>
      <c r="D6" s="47">
        <f>SUMIF('Дорожная карта'!$A$6:$A$16,A6,'Дорожная карта'!$E$6:$E$16)</f>
        <v/>
      </c>
      <c r="E6" s="50" t="n">
        <v>1</v>
      </c>
      <c r="F6" s="51" t="n">
        <v>1</v>
      </c>
      <c r="G6" s="52">
        <f>Параметры!$B$9</f>
        <v/>
      </c>
      <c r="H6" s="48">
        <f>MAX(0,(D6-E6)*F6*G6)</f>
        <v/>
      </c>
      <c r="J6" s="47" t="n">
        <v>2</v>
      </c>
      <c r="K6" s="48">
        <f>SUMIF($A$5:$A$147,J6,$H$5:$H$147)</f>
        <v/>
      </c>
    </row>
    <row r="7">
      <c r="A7" s="47" t="n">
        <v>1</v>
      </c>
      <c r="B7" s="49" t="inlineStr">
        <is>
          <t>Сидоров К.</t>
        </is>
      </c>
      <c r="C7" s="49" t="inlineStr">
        <is>
          <t>QA</t>
        </is>
      </c>
      <c r="D7" s="47">
        <f>SUMIF('Дорожная карта'!$A$6:$A$16,A7,'Дорожная карта'!$E$6:$E$16)</f>
        <v/>
      </c>
      <c r="E7" s="50" t="n">
        <v>0</v>
      </c>
      <c r="F7" s="51" t="n">
        <v>0.8</v>
      </c>
      <c r="G7" s="52">
        <f>Параметры!$B$9</f>
        <v/>
      </c>
      <c r="H7" s="48">
        <f>MAX(0,(D7-E7)*F7*G7)</f>
        <v/>
      </c>
      <c r="J7" s="47" t="n">
        <v>3</v>
      </c>
      <c r="K7" s="48">
        <f>SUMIF($A$5:$A$147,J7,$H$5:$H$147)</f>
        <v/>
      </c>
    </row>
    <row r="8">
      <c r="A8" s="47" t="n">
        <v>1</v>
      </c>
      <c r="B8" s="49" t="inlineStr">
        <is>
          <t>Кузнецов Д.</t>
        </is>
      </c>
      <c r="C8" s="49" t="inlineStr">
        <is>
          <t>Backend</t>
        </is>
      </c>
      <c r="D8" s="47">
        <f>SUMIF('Дорожная карта'!$A$6:$A$16,A8,'Дорожная карта'!$E$6:$E$16)</f>
        <v/>
      </c>
      <c r="E8" s="50" t="n">
        <v>2</v>
      </c>
      <c r="F8" s="51" t="n">
        <v>1</v>
      </c>
      <c r="G8" s="52">
        <f>Параметры!$B$9</f>
        <v/>
      </c>
      <c r="H8" s="48">
        <f>MAX(0,(D8-E8)*F8*G8)</f>
        <v/>
      </c>
      <c r="J8" s="47" t="n">
        <v>4</v>
      </c>
      <c r="K8" s="48">
        <f>SUMIF($A$5:$A$147,J8,$H$5:$H$147)</f>
        <v/>
      </c>
    </row>
    <row r="9">
      <c r="A9" s="47" t="n">
        <v>1</v>
      </c>
      <c r="B9" s="49" t="inlineStr">
        <is>
          <t>Орлова Е.</t>
        </is>
      </c>
      <c r="C9" s="49" t="inlineStr">
        <is>
          <t>Analyst</t>
        </is>
      </c>
      <c r="D9" s="47">
        <f>SUMIF('Дорожная карта'!$A$6:$A$16,A9,'Дорожная карта'!$E$6:$E$16)</f>
        <v/>
      </c>
      <c r="E9" s="50" t="n">
        <v>0</v>
      </c>
      <c r="F9" s="51" t="n">
        <v>0.5</v>
      </c>
      <c r="G9" s="52">
        <f>Параметры!$B$9</f>
        <v/>
      </c>
      <c r="H9" s="48">
        <f>MAX(0,(D9-E9)*F9*G9)</f>
        <v/>
      </c>
      <c r="J9" s="47" t="n">
        <v>5</v>
      </c>
      <c r="K9" s="48">
        <f>SUMIF($A$5:$A$147,J9,$H$5:$H$147)</f>
        <v/>
      </c>
    </row>
    <row r="10">
      <c r="A10" s="47" t="n">
        <v>1</v>
      </c>
      <c r="B10" s="49" t="inlineStr">
        <is>
          <t>Смирнов П.</t>
        </is>
      </c>
      <c r="C10" s="49" t="inlineStr">
        <is>
          <t>Backend</t>
        </is>
      </c>
      <c r="D10" s="47">
        <f>SUMIF('Дорожная карта'!$A$6:$A$16,A10,'Дорожная карта'!$E$6:$E$16)</f>
        <v/>
      </c>
      <c r="E10" s="50" t="n">
        <v>0</v>
      </c>
      <c r="F10" s="51" t="n">
        <v>1</v>
      </c>
      <c r="G10" s="52">
        <f>Параметры!$B$9</f>
        <v/>
      </c>
      <c r="H10" s="48">
        <f>MAX(0,(D10-E10)*F10*G10)</f>
        <v/>
      </c>
      <c r="J10" s="47" t="n">
        <v>6</v>
      </c>
      <c r="K10" s="48">
        <f>SUMIF($A$5:$A$147,J10,$H$5:$H$147)</f>
        <v/>
      </c>
    </row>
    <row r="11">
      <c r="A11" s="47" t="n">
        <v>1</v>
      </c>
      <c r="B11" s="49" t="inlineStr">
        <is>
          <t>Волкова Н.</t>
        </is>
      </c>
      <c r="C11" s="49" t="inlineStr">
        <is>
          <t>Frontend</t>
        </is>
      </c>
      <c r="D11" s="47">
        <f>SUMIF('Дорожная карта'!$A$6:$A$16,A11,'Дорожная карта'!$E$6:$E$16)</f>
        <v/>
      </c>
      <c r="E11" s="50" t="n">
        <v>0</v>
      </c>
      <c r="F11" s="51" t="n">
        <v>1</v>
      </c>
      <c r="G11" s="52">
        <f>Параметры!$B$9</f>
        <v/>
      </c>
      <c r="H11" s="48">
        <f>MAX(0,(D11-E11)*F11*G11)</f>
        <v/>
      </c>
      <c r="J11" s="47" t="n">
        <v>7</v>
      </c>
      <c r="K11" s="48">
        <f>SUMIF($A$5:$A$147,J11,$H$5:$H$147)</f>
        <v/>
      </c>
    </row>
    <row r="12">
      <c r="A12" s="47" t="n">
        <v>1</v>
      </c>
      <c r="B12" s="49" t="inlineStr">
        <is>
          <t>Морозов И.</t>
        </is>
      </c>
      <c r="C12" s="49" t="inlineStr">
        <is>
          <t>QA</t>
        </is>
      </c>
      <c r="D12" s="47">
        <f>SUMIF('Дорожная карта'!$A$6:$A$16,A12,'Дорожная карта'!$E$6:$E$16)</f>
        <v/>
      </c>
      <c r="E12" s="50" t="n">
        <v>0</v>
      </c>
      <c r="F12" s="51" t="n">
        <v>1</v>
      </c>
      <c r="G12" s="52">
        <f>Параметры!$B$9</f>
        <v/>
      </c>
      <c r="H12" s="48">
        <f>MAX(0,(D12-E12)*F12*G12)</f>
        <v/>
      </c>
      <c r="J12" s="47" t="n">
        <v>8</v>
      </c>
      <c r="K12" s="48">
        <f>SUMIF($A$5:$A$147,J12,$H$5:$H$147)</f>
        <v/>
      </c>
    </row>
    <row r="13">
      <c r="A13" s="47" t="n">
        <v>1</v>
      </c>
      <c r="B13" s="49" t="inlineStr">
        <is>
          <t>Новиков А.</t>
        </is>
      </c>
      <c r="C13" s="49" t="inlineStr">
        <is>
          <t>DevOps</t>
        </is>
      </c>
      <c r="D13" s="47">
        <f>SUMIF('Дорожная карта'!$A$6:$A$16,A13,'Дорожная карта'!$E$6:$E$16)</f>
        <v/>
      </c>
      <c r="E13" s="50" t="n">
        <v>0</v>
      </c>
      <c r="F13" s="51" t="n">
        <v>0.8</v>
      </c>
      <c r="G13" s="52">
        <f>Параметры!$B$9</f>
        <v/>
      </c>
      <c r="H13" s="48">
        <f>MAX(0,(D13-E13)*F13*G13)</f>
        <v/>
      </c>
      <c r="J13" s="47" t="n">
        <v>9</v>
      </c>
      <c r="K13" s="48">
        <f>SUMIF($A$5:$A$147,J13,$H$5:$H$147)</f>
        <v/>
      </c>
    </row>
    <row r="14">
      <c r="A14" s="47" t="n">
        <v>1</v>
      </c>
      <c r="B14" s="49" t="inlineStr">
        <is>
          <t>Фёдорова О.</t>
        </is>
      </c>
      <c r="C14" s="49" t="inlineStr">
        <is>
          <t>Analyst</t>
        </is>
      </c>
      <c r="D14" s="47">
        <f>SUMIF('Дорожная карта'!$A$6:$A$16,A14,'Дорожная карта'!$E$6:$E$16)</f>
        <v/>
      </c>
      <c r="E14" s="50" t="n">
        <v>0</v>
      </c>
      <c r="F14" s="51" t="n">
        <v>1</v>
      </c>
      <c r="G14" s="52">
        <f>Параметры!$B$9</f>
        <v/>
      </c>
      <c r="H14" s="48">
        <f>MAX(0,(D14-E14)*F14*G14)</f>
        <v/>
      </c>
      <c r="J14" s="47" t="n">
        <v>10</v>
      </c>
      <c r="K14" s="48">
        <f>SUMIF($A$5:$A$147,J14,$H$5:$H$147)</f>
        <v/>
      </c>
    </row>
    <row r="15">
      <c r="A15" s="47" t="n">
        <v>1</v>
      </c>
      <c r="B15" s="49" t="inlineStr">
        <is>
          <t>Козлов В.</t>
        </is>
      </c>
      <c r="C15" s="49" t="inlineStr">
        <is>
          <t>Backend</t>
        </is>
      </c>
      <c r="D15" s="47">
        <f>SUMIF('Дорожная карта'!$A$6:$A$16,A15,'Дорожная карта'!$E$6:$E$16)</f>
        <v/>
      </c>
      <c r="E15" s="50" t="n">
        <v>0</v>
      </c>
      <c r="F15" s="51" t="n">
        <v>1</v>
      </c>
      <c r="G15" s="52">
        <f>Параметры!$B$9</f>
        <v/>
      </c>
      <c r="H15" s="48">
        <f>MAX(0,(D15-E15)*F15*G15)</f>
        <v/>
      </c>
      <c r="J15" s="47" t="n">
        <v>11</v>
      </c>
      <c r="K15" s="48">
        <f>SUMIF($A$5:$A$147,J15,$H$5:$H$147)</f>
        <v/>
      </c>
    </row>
    <row r="16">
      <c r="A16" s="47" t="n">
        <v>1</v>
      </c>
      <c r="B16" s="49" t="inlineStr">
        <is>
          <t>Лебедева Т.</t>
        </is>
      </c>
      <c r="C16" s="49" t="inlineStr">
        <is>
          <t>Designer</t>
        </is>
      </c>
      <c r="D16" s="47">
        <f>SUMIF('Дорожная карта'!$A$6:$A$16,A16,'Дорожная карта'!$E$6:$E$16)</f>
        <v/>
      </c>
      <c r="E16" s="50" t="n">
        <v>0</v>
      </c>
      <c r="F16" s="51" t="n">
        <v>0.8</v>
      </c>
      <c r="G16" s="52">
        <f>Параметры!$B$9</f>
        <v/>
      </c>
      <c r="H16" s="48">
        <f>MAX(0,(D16-E16)*F16*G16)</f>
        <v/>
      </c>
      <c r="J16" s="53" t="inlineStr">
        <is>
          <t>Всего</t>
        </is>
      </c>
      <c r="K16" s="54">
        <f>SUM(K5:K15)</f>
        <v/>
      </c>
    </row>
    <row r="17">
      <c r="A17" s="47" t="n">
        <v>1</v>
      </c>
      <c r="B17" s="49" t="inlineStr">
        <is>
          <t>Соколов Р.</t>
        </is>
      </c>
      <c r="C17" s="49" t="inlineStr">
        <is>
          <t>Frontend</t>
        </is>
      </c>
      <c r="D17" s="47">
        <f>SUMIF('Дорожная карта'!$A$6:$A$16,A17,'Дорожная карта'!$E$6:$E$16)</f>
        <v/>
      </c>
      <c r="E17" s="50" t="n">
        <v>0</v>
      </c>
      <c r="F17" s="51" t="n">
        <v>1</v>
      </c>
      <c r="G17" s="52">
        <f>Параметры!$B$9</f>
        <v/>
      </c>
      <c r="H17" s="48">
        <f>MAX(0,(D17-E17)*F17*G17)</f>
        <v/>
      </c>
    </row>
    <row r="18">
      <c r="A18" s="55" t="n">
        <v>2</v>
      </c>
      <c r="B18" s="41" t="inlineStr">
        <is>
          <t>Иванов А.</t>
        </is>
      </c>
      <c r="C18" s="41" t="inlineStr">
        <is>
          <t>Backend</t>
        </is>
      </c>
      <c r="D18" s="42">
        <f>SUMIF('Дорожная карта'!$A$6:$A$16,A18,'Дорожная карта'!$E$6:$E$16)</f>
        <v/>
      </c>
      <c r="E18" s="43" t="n">
        <v>0</v>
      </c>
      <c r="F18" s="44" t="n">
        <v>1</v>
      </c>
      <c r="G18" s="45">
        <f>Параметры!$B$9</f>
        <v/>
      </c>
      <c r="H18" s="46">
        <f>MAX(0,(D18-E18)*F18*G18)</f>
        <v/>
      </c>
    </row>
    <row r="19">
      <c r="A19" s="56" t="n">
        <v>2</v>
      </c>
      <c r="B19" s="49" t="inlineStr">
        <is>
          <t>Петрова М.</t>
        </is>
      </c>
      <c r="C19" s="49" t="inlineStr">
        <is>
          <t>Frontend</t>
        </is>
      </c>
      <c r="D19" s="47">
        <f>SUMIF('Дорожная карта'!$A$6:$A$16,A19,'Дорожная карта'!$E$6:$E$16)</f>
        <v/>
      </c>
      <c r="E19" s="50" t="n">
        <v>0</v>
      </c>
      <c r="F19" s="51" t="n">
        <v>1</v>
      </c>
      <c r="G19" s="52">
        <f>Параметры!$B$9</f>
        <v/>
      </c>
      <c r="H19" s="48">
        <f>MAX(0,(D19-E19)*F19*G19)</f>
        <v/>
      </c>
    </row>
    <row r="20">
      <c r="A20" s="56" t="n">
        <v>2</v>
      </c>
      <c r="B20" s="49" t="inlineStr">
        <is>
          <t>Сидоров К.</t>
        </is>
      </c>
      <c r="C20" s="49" t="inlineStr">
        <is>
          <t>QA</t>
        </is>
      </c>
      <c r="D20" s="47">
        <f>SUMIF('Дорожная карта'!$A$6:$A$16,A20,'Дорожная карта'!$E$6:$E$16)</f>
        <v/>
      </c>
      <c r="E20" s="50" t="n">
        <v>0</v>
      </c>
      <c r="F20" s="51" t="n">
        <v>0.8</v>
      </c>
      <c r="G20" s="52">
        <f>Параметры!$B$9</f>
        <v/>
      </c>
      <c r="H20" s="48">
        <f>MAX(0,(D20-E20)*F20*G20)</f>
        <v/>
      </c>
    </row>
    <row r="21">
      <c r="A21" s="56" t="n">
        <v>2</v>
      </c>
      <c r="B21" s="49" t="inlineStr">
        <is>
          <t>Кузнецов Д.</t>
        </is>
      </c>
      <c r="C21" s="49" t="inlineStr">
        <is>
          <t>Backend</t>
        </is>
      </c>
      <c r="D21" s="47">
        <f>SUMIF('Дорожная карта'!$A$6:$A$16,A21,'Дорожная карта'!$E$6:$E$16)</f>
        <v/>
      </c>
      <c r="E21" s="50" t="n">
        <v>0</v>
      </c>
      <c r="F21" s="51" t="n">
        <v>1</v>
      </c>
      <c r="G21" s="52">
        <f>Параметры!$B$9</f>
        <v/>
      </c>
      <c r="H21" s="48">
        <f>MAX(0,(D21-E21)*F21*G21)</f>
        <v/>
      </c>
    </row>
    <row r="22">
      <c r="A22" s="56" t="n">
        <v>2</v>
      </c>
      <c r="B22" s="49" t="inlineStr">
        <is>
          <t>Орлова Е.</t>
        </is>
      </c>
      <c r="C22" s="49" t="inlineStr">
        <is>
          <t>Analyst</t>
        </is>
      </c>
      <c r="D22" s="47">
        <f>SUMIF('Дорожная карта'!$A$6:$A$16,A22,'Дорожная карта'!$E$6:$E$16)</f>
        <v/>
      </c>
      <c r="E22" s="50" t="n">
        <v>0</v>
      </c>
      <c r="F22" s="51" t="n">
        <v>0.5</v>
      </c>
      <c r="G22" s="52">
        <f>Параметры!$B$9</f>
        <v/>
      </c>
      <c r="H22" s="48">
        <f>MAX(0,(D22-E22)*F22*G22)</f>
        <v/>
      </c>
    </row>
    <row r="23">
      <c r="A23" s="56" t="n">
        <v>2</v>
      </c>
      <c r="B23" s="49" t="inlineStr">
        <is>
          <t>Смирнов П.</t>
        </is>
      </c>
      <c r="C23" s="49" t="inlineStr">
        <is>
          <t>Backend</t>
        </is>
      </c>
      <c r="D23" s="47">
        <f>SUMIF('Дорожная карта'!$A$6:$A$16,A23,'Дорожная карта'!$E$6:$E$16)</f>
        <v/>
      </c>
      <c r="E23" s="50" t="n">
        <v>0</v>
      </c>
      <c r="F23" s="51" t="n">
        <v>1</v>
      </c>
      <c r="G23" s="52">
        <f>Параметры!$B$9</f>
        <v/>
      </c>
      <c r="H23" s="48">
        <f>MAX(0,(D23-E23)*F23*G23)</f>
        <v/>
      </c>
    </row>
    <row r="24">
      <c r="A24" s="56" t="n">
        <v>2</v>
      </c>
      <c r="B24" s="49" t="inlineStr">
        <is>
          <t>Волкова Н.</t>
        </is>
      </c>
      <c r="C24" s="49" t="inlineStr">
        <is>
          <t>Frontend</t>
        </is>
      </c>
      <c r="D24" s="47">
        <f>SUMIF('Дорожная карта'!$A$6:$A$16,A24,'Дорожная карта'!$E$6:$E$16)</f>
        <v/>
      </c>
      <c r="E24" s="50" t="n">
        <v>0</v>
      </c>
      <c r="F24" s="51" t="n">
        <v>1</v>
      </c>
      <c r="G24" s="52">
        <f>Параметры!$B$9</f>
        <v/>
      </c>
      <c r="H24" s="48">
        <f>MAX(0,(D24-E24)*F24*G24)</f>
        <v/>
      </c>
    </row>
    <row r="25">
      <c r="A25" s="56" t="n">
        <v>2</v>
      </c>
      <c r="B25" s="49" t="inlineStr">
        <is>
          <t>Морозов И.</t>
        </is>
      </c>
      <c r="C25" s="49" t="inlineStr">
        <is>
          <t>QA</t>
        </is>
      </c>
      <c r="D25" s="47">
        <f>SUMIF('Дорожная карта'!$A$6:$A$16,A25,'Дорожная карта'!$E$6:$E$16)</f>
        <v/>
      </c>
      <c r="E25" s="50" t="n">
        <v>0</v>
      </c>
      <c r="F25" s="51" t="n">
        <v>1</v>
      </c>
      <c r="G25" s="52">
        <f>Параметры!$B$9</f>
        <v/>
      </c>
      <c r="H25" s="48">
        <f>MAX(0,(D25-E25)*F25*G25)</f>
        <v/>
      </c>
    </row>
    <row r="26">
      <c r="A26" s="56" t="n">
        <v>2</v>
      </c>
      <c r="B26" s="49" t="inlineStr">
        <is>
          <t>Новиков А.</t>
        </is>
      </c>
      <c r="C26" s="49" t="inlineStr">
        <is>
          <t>DevOps</t>
        </is>
      </c>
      <c r="D26" s="47">
        <f>SUMIF('Дорожная карта'!$A$6:$A$16,A26,'Дорожная карта'!$E$6:$E$16)</f>
        <v/>
      </c>
      <c r="E26" s="50" t="n">
        <v>0</v>
      </c>
      <c r="F26" s="51" t="n">
        <v>0.8</v>
      </c>
      <c r="G26" s="52">
        <f>Параметры!$B$9</f>
        <v/>
      </c>
      <c r="H26" s="48">
        <f>MAX(0,(D26-E26)*F26*G26)</f>
        <v/>
      </c>
    </row>
    <row r="27">
      <c r="A27" s="56" t="n">
        <v>2</v>
      </c>
      <c r="B27" s="49" t="inlineStr">
        <is>
          <t>Фёдорова О.</t>
        </is>
      </c>
      <c r="C27" s="49" t="inlineStr">
        <is>
          <t>Analyst</t>
        </is>
      </c>
      <c r="D27" s="47">
        <f>SUMIF('Дорожная карта'!$A$6:$A$16,A27,'Дорожная карта'!$E$6:$E$16)</f>
        <v/>
      </c>
      <c r="E27" s="50" t="n">
        <v>0</v>
      </c>
      <c r="F27" s="51" t="n">
        <v>1</v>
      </c>
      <c r="G27" s="52">
        <f>Параметры!$B$9</f>
        <v/>
      </c>
      <c r="H27" s="48">
        <f>MAX(0,(D27-E27)*F27*G27)</f>
        <v/>
      </c>
    </row>
    <row r="28">
      <c r="A28" s="56" t="n">
        <v>2</v>
      </c>
      <c r="B28" s="49" t="inlineStr">
        <is>
          <t>Козлов В.</t>
        </is>
      </c>
      <c r="C28" s="49" t="inlineStr">
        <is>
          <t>Backend</t>
        </is>
      </c>
      <c r="D28" s="47">
        <f>SUMIF('Дорожная карта'!$A$6:$A$16,A28,'Дорожная карта'!$E$6:$E$16)</f>
        <v/>
      </c>
      <c r="E28" s="50" t="n">
        <v>0</v>
      </c>
      <c r="F28" s="51" t="n">
        <v>1</v>
      </c>
      <c r="G28" s="52">
        <f>Параметры!$B$9</f>
        <v/>
      </c>
      <c r="H28" s="48">
        <f>MAX(0,(D28-E28)*F28*G28)</f>
        <v/>
      </c>
    </row>
    <row r="29">
      <c r="A29" s="56" t="n">
        <v>2</v>
      </c>
      <c r="B29" s="49" t="inlineStr">
        <is>
          <t>Лебедева Т.</t>
        </is>
      </c>
      <c r="C29" s="49" t="inlineStr">
        <is>
          <t>Designer</t>
        </is>
      </c>
      <c r="D29" s="47">
        <f>SUMIF('Дорожная карта'!$A$6:$A$16,A29,'Дорожная карта'!$E$6:$E$16)</f>
        <v/>
      </c>
      <c r="E29" s="50" t="n">
        <v>0</v>
      </c>
      <c r="F29" s="51" t="n">
        <v>0.8</v>
      </c>
      <c r="G29" s="52">
        <f>Параметры!$B$9</f>
        <v/>
      </c>
      <c r="H29" s="48">
        <f>MAX(0,(D29-E29)*F29*G29)</f>
        <v/>
      </c>
    </row>
    <row r="30">
      <c r="A30" s="56" t="n">
        <v>2</v>
      </c>
      <c r="B30" s="49" t="inlineStr">
        <is>
          <t>Соколов Р.</t>
        </is>
      </c>
      <c r="C30" s="49" t="inlineStr">
        <is>
          <t>Frontend</t>
        </is>
      </c>
      <c r="D30" s="47">
        <f>SUMIF('Дорожная карта'!$A$6:$A$16,A30,'Дорожная карта'!$E$6:$E$16)</f>
        <v/>
      </c>
      <c r="E30" s="50" t="n">
        <v>0</v>
      </c>
      <c r="F30" s="51" t="n">
        <v>1</v>
      </c>
      <c r="G30" s="52">
        <f>Параметры!$B$9</f>
        <v/>
      </c>
      <c r="H30" s="48">
        <f>MAX(0,(D30-E30)*F30*G30)</f>
        <v/>
      </c>
    </row>
    <row r="31">
      <c r="A31" s="40" t="n">
        <v>3</v>
      </c>
      <c r="B31" s="41" t="inlineStr">
        <is>
          <t>Иванов А.</t>
        </is>
      </c>
      <c r="C31" s="41" t="inlineStr">
        <is>
          <t>Backend</t>
        </is>
      </c>
      <c r="D31" s="42">
        <f>SUMIF('Дорожная карта'!$A$6:$A$16,A31,'Дорожная карта'!$E$6:$E$16)</f>
        <v/>
      </c>
      <c r="E31" s="43" t="n">
        <v>0</v>
      </c>
      <c r="F31" s="44" t="n">
        <v>1</v>
      </c>
      <c r="G31" s="45">
        <f>Параметры!$B$9</f>
        <v/>
      </c>
      <c r="H31" s="46">
        <f>MAX(0,(D31-E31)*F31*G31)</f>
        <v/>
      </c>
    </row>
    <row r="32">
      <c r="A32" s="47" t="n">
        <v>3</v>
      </c>
      <c r="B32" s="49" t="inlineStr">
        <is>
          <t>Петрова М.</t>
        </is>
      </c>
      <c r="C32" s="49" t="inlineStr">
        <is>
          <t>Frontend</t>
        </is>
      </c>
      <c r="D32" s="47">
        <f>SUMIF('Дорожная карта'!$A$6:$A$16,A32,'Дорожная карта'!$E$6:$E$16)</f>
        <v/>
      </c>
      <c r="E32" s="50" t="n">
        <v>0</v>
      </c>
      <c r="F32" s="51" t="n">
        <v>1</v>
      </c>
      <c r="G32" s="52">
        <f>Параметры!$B$9</f>
        <v/>
      </c>
      <c r="H32" s="48">
        <f>MAX(0,(D32-E32)*F32*G32)</f>
        <v/>
      </c>
    </row>
    <row r="33">
      <c r="A33" s="47" t="n">
        <v>3</v>
      </c>
      <c r="B33" s="49" t="inlineStr">
        <is>
          <t>Сидоров К.</t>
        </is>
      </c>
      <c r="C33" s="49" t="inlineStr">
        <is>
          <t>QA</t>
        </is>
      </c>
      <c r="D33" s="47">
        <f>SUMIF('Дорожная карта'!$A$6:$A$16,A33,'Дорожная карта'!$E$6:$E$16)</f>
        <v/>
      </c>
      <c r="E33" s="50" t="n">
        <v>0</v>
      </c>
      <c r="F33" s="51" t="n">
        <v>0.8</v>
      </c>
      <c r="G33" s="52">
        <f>Параметры!$B$9</f>
        <v/>
      </c>
      <c r="H33" s="48">
        <f>MAX(0,(D33-E33)*F33*G33)</f>
        <v/>
      </c>
    </row>
    <row r="34">
      <c r="A34" s="47" t="n">
        <v>3</v>
      </c>
      <c r="B34" s="49" t="inlineStr">
        <is>
          <t>Кузнецов Д.</t>
        </is>
      </c>
      <c r="C34" s="49" t="inlineStr">
        <is>
          <t>Backend</t>
        </is>
      </c>
      <c r="D34" s="47">
        <f>SUMIF('Дорожная карта'!$A$6:$A$16,A34,'Дорожная карта'!$E$6:$E$16)</f>
        <v/>
      </c>
      <c r="E34" s="50" t="n">
        <v>0</v>
      </c>
      <c r="F34" s="51" t="n">
        <v>1</v>
      </c>
      <c r="G34" s="52">
        <f>Параметры!$B$9</f>
        <v/>
      </c>
      <c r="H34" s="48">
        <f>MAX(0,(D34-E34)*F34*G34)</f>
        <v/>
      </c>
    </row>
    <row r="35">
      <c r="A35" s="47" t="n">
        <v>3</v>
      </c>
      <c r="B35" s="49" t="inlineStr">
        <is>
          <t>Орлова Е.</t>
        </is>
      </c>
      <c r="C35" s="49" t="inlineStr">
        <is>
          <t>Analyst</t>
        </is>
      </c>
      <c r="D35" s="47">
        <f>SUMIF('Дорожная карта'!$A$6:$A$16,A35,'Дорожная карта'!$E$6:$E$16)</f>
        <v/>
      </c>
      <c r="E35" s="50" t="n">
        <v>0</v>
      </c>
      <c r="F35" s="51" t="n">
        <v>0.5</v>
      </c>
      <c r="G35" s="52">
        <f>Параметры!$B$9</f>
        <v/>
      </c>
      <c r="H35" s="48">
        <f>MAX(0,(D35-E35)*F35*G35)</f>
        <v/>
      </c>
    </row>
    <row r="36">
      <c r="A36" s="47" t="n">
        <v>3</v>
      </c>
      <c r="B36" s="49" t="inlineStr">
        <is>
          <t>Смирнов П.</t>
        </is>
      </c>
      <c r="C36" s="49" t="inlineStr">
        <is>
          <t>Backend</t>
        </is>
      </c>
      <c r="D36" s="47">
        <f>SUMIF('Дорожная карта'!$A$6:$A$16,A36,'Дорожная карта'!$E$6:$E$16)</f>
        <v/>
      </c>
      <c r="E36" s="50" t="n">
        <v>0</v>
      </c>
      <c r="F36" s="51" t="n">
        <v>1</v>
      </c>
      <c r="G36" s="52">
        <f>Параметры!$B$9</f>
        <v/>
      </c>
      <c r="H36" s="48">
        <f>MAX(0,(D36-E36)*F36*G36)</f>
        <v/>
      </c>
    </row>
    <row r="37">
      <c r="A37" s="47" t="n">
        <v>3</v>
      </c>
      <c r="B37" s="49" t="inlineStr">
        <is>
          <t>Волкова Н.</t>
        </is>
      </c>
      <c r="C37" s="49" t="inlineStr">
        <is>
          <t>Frontend</t>
        </is>
      </c>
      <c r="D37" s="47">
        <f>SUMIF('Дорожная карта'!$A$6:$A$16,A37,'Дорожная карта'!$E$6:$E$16)</f>
        <v/>
      </c>
      <c r="E37" s="50" t="n">
        <v>0</v>
      </c>
      <c r="F37" s="51" t="n">
        <v>1</v>
      </c>
      <c r="G37" s="52">
        <f>Параметры!$B$9</f>
        <v/>
      </c>
      <c r="H37" s="48">
        <f>MAX(0,(D37-E37)*F37*G37)</f>
        <v/>
      </c>
    </row>
    <row r="38">
      <c r="A38" s="47" t="n">
        <v>3</v>
      </c>
      <c r="B38" s="49" t="inlineStr">
        <is>
          <t>Морозов И.</t>
        </is>
      </c>
      <c r="C38" s="49" t="inlineStr">
        <is>
          <t>QA</t>
        </is>
      </c>
      <c r="D38" s="47">
        <f>SUMIF('Дорожная карта'!$A$6:$A$16,A38,'Дорожная карта'!$E$6:$E$16)</f>
        <v/>
      </c>
      <c r="E38" s="50" t="n">
        <v>0</v>
      </c>
      <c r="F38" s="51" t="n">
        <v>1</v>
      </c>
      <c r="G38" s="52">
        <f>Параметры!$B$9</f>
        <v/>
      </c>
      <c r="H38" s="48">
        <f>MAX(0,(D38-E38)*F38*G38)</f>
        <v/>
      </c>
    </row>
    <row r="39">
      <c r="A39" s="47" t="n">
        <v>3</v>
      </c>
      <c r="B39" s="49" t="inlineStr">
        <is>
          <t>Новиков А.</t>
        </is>
      </c>
      <c r="C39" s="49" t="inlineStr">
        <is>
          <t>DevOps</t>
        </is>
      </c>
      <c r="D39" s="47">
        <f>SUMIF('Дорожная карта'!$A$6:$A$16,A39,'Дорожная карта'!$E$6:$E$16)</f>
        <v/>
      </c>
      <c r="E39" s="50" t="n">
        <v>0</v>
      </c>
      <c r="F39" s="51" t="n">
        <v>0.8</v>
      </c>
      <c r="G39" s="52">
        <f>Параметры!$B$9</f>
        <v/>
      </c>
      <c r="H39" s="48">
        <f>MAX(0,(D39-E39)*F39*G39)</f>
        <v/>
      </c>
    </row>
    <row r="40">
      <c r="A40" s="47" t="n">
        <v>3</v>
      </c>
      <c r="B40" s="49" t="inlineStr">
        <is>
          <t>Фёдорова О.</t>
        </is>
      </c>
      <c r="C40" s="49" t="inlineStr">
        <is>
          <t>Analyst</t>
        </is>
      </c>
      <c r="D40" s="47">
        <f>SUMIF('Дорожная карта'!$A$6:$A$16,A40,'Дорожная карта'!$E$6:$E$16)</f>
        <v/>
      </c>
      <c r="E40" s="50" t="n">
        <v>0</v>
      </c>
      <c r="F40" s="51" t="n">
        <v>1</v>
      </c>
      <c r="G40" s="52">
        <f>Параметры!$B$9</f>
        <v/>
      </c>
      <c r="H40" s="48">
        <f>MAX(0,(D40-E40)*F40*G40)</f>
        <v/>
      </c>
    </row>
    <row r="41">
      <c r="A41" s="47" t="n">
        <v>3</v>
      </c>
      <c r="B41" s="49" t="inlineStr">
        <is>
          <t>Козлов В.</t>
        </is>
      </c>
      <c r="C41" s="49" t="inlineStr">
        <is>
          <t>Backend</t>
        </is>
      </c>
      <c r="D41" s="47">
        <f>SUMIF('Дорожная карта'!$A$6:$A$16,A41,'Дорожная карта'!$E$6:$E$16)</f>
        <v/>
      </c>
      <c r="E41" s="50" t="n">
        <v>0</v>
      </c>
      <c r="F41" s="51" t="n">
        <v>1</v>
      </c>
      <c r="G41" s="52">
        <f>Параметры!$B$9</f>
        <v/>
      </c>
      <c r="H41" s="48">
        <f>MAX(0,(D41-E41)*F41*G41)</f>
        <v/>
      </c>
    </row>
    <row r="42">
      <c r="A42" s="47" t="n">
        <v>3</v>
      </c>
      <c r="B42" s="49" t="inlineStr">
        <is>
          <t>Лебедева Т.</t>
        </is>
      </c>
      <c r="C42" s="49" t="inlineStr">
        <is>
          <t>Designer</t>
        </is>
      </c>
      <c r="D42" s="47">
        <f>SUMIF('Дорожная карта'!$A$6:$A$16,A42,'Дорожная карта'!$E$6:$E$16)</f>
        <v/>
      </c>
      <c r="E42" s="50" t="n">
        <v>0</v>
      </c>
      <c r="F42" s="51" t="n">
        <v>0.8</v>
      </c>
      <c r="G42" s="52">
        <f>Параметры!$B$9</f>
        <v/>
      </c>
      <c r="H42" s="48">
        <f>MAX(0,(D42-E42)*F42*G42)</f>
        <v/>
      </c>
    </row>
    <row r="43">
      <c r="A43" s="47" t="n">
        <v>3</v>
      </c>
      <c r="B43" s="49" t="inlineStr">
        <is>
          <t>Соколов Р.</t>
        </is>
      </c>
      <c r="C43" s="49" t="inlineStr">
        <is>
          <t>Frontend</t>
        </is>
      </c>
      <c r="D43" s="47">
        <f>SUMIF('Дорожная карта'!$A$6:$A$16,A43,'Дорожная карта'!$E$6:$E$16)</f>
        <v/>
      </c>
      <c r="E43" s="50" t="n">
        <v>0</v>
      </c>
      <c r="F43" s="51" t="n">
        <v>1</v>
      </c>
      <c r="G43" s="52">
        <f>Параметры!$B$9</f>
        <v/>
      </c>
      <c r="H43" s="48">
        <f>MAX(0,(D43-E43)*F43*G43)</f>
        <v/>
      </c>
    </row>
    <row r="44">
      <c r="A44" s="55" t="n">
        <v>4</v>
      </c>
      <c r="B44" s="41" t="inlineStr">
        <is>
          <t>Иванов А.</t>
        </is>
      </c>
      <c r="C44" s="41" t="inlineStr">
        <is>
          <t>Backend</t>
        </is>
      </c>
      <c r="D44" s="42">
        <f>SUMIF('Дорожная карта'!$A$6:$A$16,A44,'Дорожная карта'!$E$6:$E$16)</f>
        <v/>
      </c>
      <c r="E44" s="43" t="n">
        <v>0</v>
      </c>
      <c r="F44" s="44" t="n">
        <v>1</v>
      </c>
      <c r="G44" s="45">
        <f>Параметры!$B$9</f>
        <v/>
      </c>
      <c r="H44" s="46">
        <f>MAX(0,(D44-E44)*F44*G44)</f>
        <v/>
      </c>
    </row>
    <row r="45">
      <c r="A45" s="56" t="n">
        <v>4</v>
      </c>
      <c r="B45" s="49" t="inlineStr">
        <is>
          <t>Петрова М.</t>
        </is>
      </c>
      <c r="C45" s="49" t="inlineStr">
        <is>
          <t>Frontend</t>
        </is>
      </c>
      <c r="D45" s="47">
        <f>SUMIF('Дорожная карта'!$A$6:$A$16,A45,'Дорожная карта'!$E$6:$E$16)</f>
        <v/>
      </c>
      <c r="E45" s="50" t="n">
        <v>0</v>
      </c>
      <c r="F45" s="51" t="n">
        <v>1</v>
      </c>
      <c r="G45" s="52">
        <f>Параметры!$B$9</f>
        <v/>
      </c>
      <c r="H45" s="48">
        <f>MAX(0,(D45-E45)*F45*G45)</f>
        <v/>
      </c>
    </row>
    <row r="46">
      <c r="A46" s="56" t="n">
        <v>4</v>
      </c>
      <c r="B46" s="49" t="inlineStr">
        <is>
          <t>Сидоров К.</t>
        </is>
      </c>
      <c r="C46" s="49" t="inlineStr">
        <is>
          <t>QA</t>
        </is>
      </c>
      <c r="D46" s="47">
        <f>SUMIF('Дорожная карта'!$A$6:$A$16,A46,'Дорожная карта'!$E$6:$E$16)</f>
        <v/>
      </c>
      <c r="E46" s="50" t="n">
        <v>0</v>
      </c>
      <c r="F46" s="51" t="n">
        <v>0.8</v>
      </c>
      <c r="G46" s="52">
        <f>Параметры!$B$9</f>
        <v/>
      </c>
      <c r="H46" s="48">
        <f>MAX(0,(D46-E46)*F46*G46)</f>
        <v/>
      </c>
    </row>
    <row r="47">
      <c r="A47" s="56" t="n">
        <v>4</v>
      </c>
      <c r="B47" s="49" t="inlineStr">
        <is>
          <t>Кузнецов Д.</t>
        </is>
      </c>
      <c r="C47" s="49" t="inlineStr">
        <is>
          <t>Backend</t>
        </is>
      </c>
      <c r="D47" s="47">
        <f>SUMIF('Дорожная карта'!$A$6:$A$16,A47,'Дорожная карта'!$E$6:$E$16)</f>
        <v/>
      </c>
      <c r="E47" s="50" t="n">
        <v>0</v>
      </c>
      <c r="F47" s="51" t="n">
        <v>1</v>
      </c>
      <c r="G47" s="52">
        <f>Параметры!$B$9</f>
        <v/>
      </c>
      <c r="H47" s="48">
        <f>MAX(0,(D47-E47)*F47*G47)</f>
        <v/>
      </c>
    </row>
    <row r="48">
      <c r="A48" s="56" t="n">
        <v>4</v>
      </c>
      <c r="B48" s="49" t="inlineStr">
        <is>
          <t>Орлова Е.</t>
        </is>
      </c>
      <c r="C48" s="49" t="inlineStr">
        <is>
          <t>Analyst</t>
        </is>
      </c>
      <c r="D48" s="47">
        <f>SUMIF('Дорожная карта'!$A$6:$A$16,A48,'Дорожная карта'!$E$6:$E$16)</f>
        <v/>
      </c>
      <c r="E48" s="50" t="n">
        <v>0</v>
      </c>
      <c r="F48" s="51" t="n">
        <v>0.5</v>
      </c>
      <c r="G48" s="52">
        <f>Параметры!$B$9</f>
        <v/>
      </c>
      <c r="H48" s="48">
        <f>MAX(0,(D48-E48)*F48*G48)</f>
        <v/>
      </c>
    </row>
    <row r="49">
      <c r="A49" s="56" t="n">
        <v>4</v>
      </c>
      <c r="B49" s="49" t="inlineStr">
        <is>
          <t>Смирнов П.</t>
        </is>
      </c>
      <c r="C49" s="49" t="inlineStr">
        <is>
          <t>Backend</t>
        </is>
      </c>
      <c r="D49" s="47">
        <f>SUMIF('Дорожная карта'!$A$6:$A$16,A49,'Дорожная карта'!$E$6:$E$16)</f>
        <v/>
      </c>
      <c r="E49" s="50" t="n">
        <v>0</v>
      </c>
      <c r="F49" s="51" t="n">
        <v>1</v>
      </c>
      <c r="G49" s="52">
        <f>Параметры!$B$9</f>
        <v/>
      </c>
      <c r="H49" s="48">
        <f>MAX(0,(D49-E49)*F49*G49)</f>
        <v/>
      </c>
    </row>
    <row r="50">
      <c r="A50" s="56" t="n">
        <v>4</v>
      </c>
      <c r="B50" s="49" t="inlineStr">
        <is>
          <t>Волкова Н.</t>
        </is>
      </c>
      <c r="C50" s="49" t="inlineStr">
        <is>
          <t>Frontend</t>
        </is>
      </c>
      <c r="D50" s="47">
        <f>SUMIF('Дорожная карта'!$A$6:$A$16,A50,'Дорожная карта'!$E$6:$E$16)</f>
        <v/>
      </c>
      <c r="E50" s="50" t="n">
        <v>0</v>
      </c>
      <c r="F50" s="51" t="n">
        <v>1</v>
      </c>
      <c r="G50" s="52">
        <f>Параметры!$B$9</f>
        <v/>
      </c>
      <c r="H50" s="48">
        <f>MAX(0,(D50-E50)*F50*G50)</f>
        <v/>
      </c>
    </row>
    <row r="51">
      <c r="A51" s="56" t="n">
        <v>4</v>
      </c>
      <c r="B51" s="49" t="inlineStr">
        <is>
          <t>Морозов И.</t>
        </is>
      </c>
      <c r="C51" s="49" t="inlineStr">
        <is>
          <t>QA</t>
        </is>
      </c>
      <c r="D51" s="47">
        <f>SUMIF('Дорожная карта'!$A$6:$A$16,A51,'Дорожная карта'!$E$6:$E$16)</f>
        <v/>
      </c>
      <c r="E51" s="50" t="n">
        <v>0</v>
      </c>
      <c r="F51" s="51" t="n">
        <v>1</v>
      </c>
      <c r="G51" s="52">
        <f>Параметры!$B$9</f>
        <v/>
      </c>
      <c r="H51" s="48">
        <f>MAX(0,(D51-E51)*F51*G51)</f>
        <v/>
      </c>
    </row>
    <row r="52">
      <c r="A52" s="56" t="n">
        <v>4</v>
      </c>
      <c r="B52" s="49" t="inlineStr">
        <is>
          <t>Новиков А.</t>
        </is>
      </c>
      <c r="C52" s="49" t="inlineStr">
        <is>
          <t>DevOps</t>
        </is>
      </c>
      <c r="D52" s="47">
        <f>SUMIF('Дорожная карта'!$A$6:$A$16,A52,'Дорожная карта'!$E$6:$E$16)</f>
        <v/>
      </c>
      <c r="E52" s="50" t="n">
        <v>0</v>
      </c>
      <c r="F52" s="51" t="n">
        <v>0.8</v>
      </c>
      <c r="G52" s="52">
        <f>Параметры!$B$9</f>
        <v/>
      </c>
      <c r="H52" s="48">
        <f>MAX(0,(D52-E52)*F52*G52)</f>
        <v/>
      </c>
    </row>
    <row r="53">
      <c r="A53" s="56" t="n">
        <v>4</v>
      </c>
      <c r="B53" s="49" t="inlineStr">
        <is>
          <t>Фёдорова О.</t>
        </is>
      </c>
      <c r="C53" s="49" t="inlineStr">
        <is>
          <t>Analyst</t>
        </is>
      </c>
      <c r="D53" s="47">
        <f>SUMIF('Дорожная карта'!$A$6:$A$16,A53,'Дорожная карта'!$E$6:$E$16)</f>
        <v/>
      </c>
      <c r="E53" s="50" t="n">
        <v>0</v>
      </c>
      <c r="F53" s="51" t="n">
        <v>1</v>
      </c>
      <c r="G53" s="52">
        <f>Параметры!$B$9</f>
        <v/>
      </c>
      <c r="H53" s="48">
        <f>MAX(0,(D53-E53)*F53*G53)</f>
        <v/>
      </c>
    </row>
    <row r="54">
      <c r="A54" s="56" t="n">
        <v>4</v>
      </c>
      <c r="B54" s="49" t="inlineStr">
        <is>
          <t>Козлов В.</t>
        </is>
      </c>
      <c r="C54" s="49" t="inlineStr">
        <is>
          <t>Backend</t>
        </is>
      </c>
      <c r="D54" s="47">
        <f>SUMIF('Дорожная карта'!$A$6:$A$16,A54,'Дорожная карта'!$E$6:$E$16)</f>
        <v/>
      </c>
      <c r="E54" s="50" t="n">
        <v>0</v>
      </c>
      <c r="F54" s="51" t="n">
        <v>1</v>
      </c>
      <c r="G54" s="52">
        <f>Параметры!$B$9</f>
        <v/>
      </c>
      <c r="H54" s="48">
        <f>MAX(0,(D54-E54)*F54*G54)</f>
        <v/>
      </c>
    </row>
    <row r="55">
      <c r="A55" s="56" t="n">
        <v>4</v>
      </c>
      <c r="B55" s="49" t="inlineStr">
        <is>
          <t>Лебедева Т.</t>
        </is>
      </c>
      <c r="C55" s="49" t="inlineStr">
        <is>
          <t>Designer</t>
        </is>
      </c>
      <c r="D55" s="47">
        <f>SUMIF('Дорожная карта'!$A$6:$A$16,A55,'Дорожная карта'!$E$6:$E$16)</f>
        <v/>
      </c>
      <c r="E55" s="50" t="n">
        <v>0</v>
      </c>
      <c r="F55" s="51" t="n">
        <v>0.8</v>
      </c>
      <c r="G55" s="52">
        <f>Параметры!$B$9</f>
        <v/>
      </c>
      <c r="H55" s="48">
        <f>MAX(0,(D55-E55)*F55*G55)</f>
        <v/>
      </c>
    </row>
    <row r="56">
      <c r="A56" s="56" t="n">
        <v>4</v>
      </c>
      <c r="B56" s="49" t="inlineStr">
        <is>
          <t>Соколов Р.</t>
        </is>
      </c>
      <c r="C56" s="49" t="inlineStr">
        <is>
          <t>Frontend</t>
        </is>
      </c>
      <c r="D56" s="47">
        <f>SUMIF('Дорожная карта'!$A$6:$A$16,A56,'Дорожная карта'!$E$6:$E$16)</f>
        <v/>
      </c>
      <c r="E56" s="50" t="n">
        <v>0</v>
      </c>
      <c r="F56" s="51" t="n">
        <v>1</v>
      </c>
      <c r="G56" s="52">
        <f>Параметры!$B$9</f>
        <v/>
      </c>
      <c r="H56" s="48">
        <f>MAX(0,(D56-E56)*F56*G56)</f>
        <v/>
      </c>
    </row>
    <row r="57">
      <c r="A57" s="40" t="n">
        <v>5</v>
      </c>
      <c r="B57" s="41" t="inlineStr">
        <is>
          <t>Иванов А.</t>
        </is>
      </c>
      <c r="C57" s="41" t="inlineStr">
        <is>
          <t>Backend</t>
        </is>
      </c>
      <c r="D57" s="42">
        <f>SUMIF('Дорожная карта'!$A$6:$A$16,A57,'Дорожная карта'!$E$6:$E$16)</f>
        <v/>
      </c>
      <c r="E57" s="43" t="n">
        <v>0</v>
      </c>
      <c r="F57" s="44" t="n">
        <v>1</v>
      </c>
      <c r="G57" s="45">
        <f>Параметры!$B$9</f>
        <v/>
      </c>
      <c r="H57" s="46">
        <f>MAX(0,(D57-E57)*F57*G57)</f>
        <v/>
      </c>
    </row>
    <row r="58">
      <c r="A58" s="47" t="n">
        <v>5</v>
      </c>
      <c r="B58" s="49" t="inlineStr">
        <is>
          <t>Петрова М.</t>
        </is>
      </c>
      <c r="C58" s="49" t="inlineStr">
        <is>
          <t>Frontend</t>
        </is>
      </c>
      <c r="D58" s="47">
        <f>SUMIF('Дорожная карта'!$A$6:$A$16,A58,'Дорожная карта'!$E$6:$E$16)</f>
        <v/>
      </c>
      <c r="E58" s="50" t="n">
        <v>0</v>
      </c>
      <c r="F58" s="51" t="n">
        <v>1</v>
      </c>
      <c r="G58" s="52">
        <f>Параметры!$B$9</f>
        <v/>
      </c>
      <c r="H58" s="48">
        <f>MAX(0,(D58-E58)*F58*G58)</f>
        <v/>
      </c>
    </row>
    <row r="59">
      <c r="A59" s="47" t="n">
        <v>5</v>
      </c>
      <c r="B59" s="49" t="inlineStr">
        <is>
          <t>Сидоров К.</t>
        </is>
      </c>
      <c r="C59" s="49" t="inlineStr">
        <is>
          <t>QA</t>
        </is>
      </c>
      <c r="D59" s="47">
        <f>SUMIF('Дорожная карта'!$A$6:$A$16,A59,'Дорожная карта'!$E$6:$E$16)</f>
        <v/>
      </c>
      <c r="E59" s="50" t="n">
        <v>0</v>
      </c>
      <c r="F59" s="51" t="n">
        <v>0.8</v>
      </c>
      <c r="G59" s="52">
        <f>Параметры!$B$9</f>
        <v/>
      </c>
      <c r="H59" s="48">
        <f>MAX(0,(D59-E59)*F59*G59)</f>
        <v/>
      </c>
    </row>
    <row r="60">
      <c r="A60" s="47" t="n">
        <v>5</v>
      </c>
      <c r="B60" s="49" t="inlineStr">
        <is>
          <t>Кузнецов Д.</t>
        </is>
      </c>
      <c r="C60" s="49" t="inlineStr">
        <is>
          <t>Backend</t>
        </is>
      </c>
      <c r="D60" s="47">
        <f>SUMIF('Дорожная карта'!$A$6:$A$16,A60,'Дорожная карта'!$E$6:$E$16)</f>
        <v/>
      </c>
      <c r="E60" s="50" t="n">
        <v>0</v>
      </c>
      <c r="F60" s="51" t="n">
        <v>1</v>
      </c>
      <c r="G60" s="52">
        <f>Параметры!$B$9</f>
        <v/>
      </c>
      <c r="H60" s="48">
        <f>MAX(0,(D60-E60)*F60*G60)</f>
        <v/>
      </c>
    </row>
    <row r="61">
      <c r="A61" s="47" t="n">
        <v>5</v>
      </c>
      <c r="B61" s="49" t="inlineStr">
        <is>
          <t>Орлова Е.</t>
        </is>
      </c>
      <c r="C61" s="49" t="inlineStr">
        <is>
          <t>Analyst</t>
        </is>
      </c>
      <c r="D61" s="47">
        <f>SUMIF('Дорожная карта'!$A$6:$A$16,A61,'Дорожная карта'!$E$6:$E$16)</f>
        <v/>
      </c>
      <c r="E61" s="50" t="n">
        <v>5</v>
      </c>
      <c r="F61" s="51" t="n">
        <v>0.5</v>
      </c>
      <c r="G61" s="52">
        <f>Параметры!$B$9</f>
        <v/>
      </c>
      <c r="H61" s="48">
        <f>MAX(0,(D61-E61)*F61*G61)</f>
        <v/>
      </c>
    </row>
    <row r="62">
      <c r="A62" s="47" t="n">
        <v>5</v>
      </c>
      <c r="B62" s="49" t="inlineStr">
        <is>
          <t>Смирнов П.</t>
        </is>
      </c>
      <c r="C62" s="49" t="inlineStr">
        <is>
          <t>Backend</t>
        </is>
      </c>
      <c r="D62" s="47">
        <f>SUMIF('Дорожная карта'!$A$6:$A$16,A62,'Дорожная карта'!$E$6:$E$16)</f>
        <v/>
      </c>
      <c r="E62" s="50" t="n">
        <v>0</v>
      </c>
      <c r="F62" s="51" t="n">
        <v>1</v>
      </c>
      <c r="G62" s="52">
        <f>Параметры!$B$9</f>
        <v/>
      </c>
      <c r="H62" s="48">
        <f>MAX(0,(D62-E62)*F62*G62)</f>
        <v/>
      </c>
    </row>
    <row r="63">
      <c r="A63" s="47" t="n">
        <v>5</v>
      </c>
      <c r="B63" s="49" t="inlineStr">
        <is>
          <t>Волкова Н.</t>
        </is>
      </c>
      <c r="C63" s="49" t="inlineStr">
        <is>
          <t>Frontend</t>
        </is>
      </c>
      <c r="D63" s="47">
        <f>SUMIF('Дорожная карта'!$A$6:$A$16,A63,'Дорожная карта'!$E$6:$E$16)</f>
        <v/>
      </c>
      <c r="E63" s="50" t="n">
        <v>0</v>
      </c>
      <c r="F63" s="51" t="n">
        <v>1</v>
      </c>
      <c r="G63" s="52">
        <f>Параметры!$B$9</f>
        <v/>
      </c>
      <c r="H63" s="48">
        <f>MAX(0,(D63-E63)*F63*G63)</f>
        <v/>
      </c>
    </row>
    <row r="64">
      <c r="A64" s="47" t="n">
        <v>5</v>
      </c>
      <c r="B64" s="49" t="inlineStr">
        <is>
          <t>Морозов И.</t>
        </is>
      </c>
      <c r="C64" s="49" t="inlineStr">
        <is>
          <t>QA</t>
        </is>
      </c>
      <c r="D64" s="47">
        <f>SUMIF('Дорожная карта'!$A$6:$A$16,A64,'Дорожная карта'!$E$6:$E$16)</f>
        <v/>
      </c>
      <c r="E64" s="50" t="n">
        <v>0</v>
      </c>
      <c r="F64" s="51" t="n">
        <v>1</v>
      </c>
      <c r="G64" s="52">
        <f>Параметры!$B$9</f>
        <v/>
      </c>
      <c r="H64" s="48">
        <f>MAX(0,(D64-E64)*F64*G64)</f>
        <v/>
      </c>
    </row>
    <row r="65">
      <c r="A65" s="47" t="n">
        <v>5</v>
      </c>
      <c r="B65" s="49" t="inlineStr">
        <is>
          <t>Новиков А.</t>
        </is>
      </c>
      <c r="C65" s="49" t="inlineStr">
        <is>
          <t>DevOps</t>
        </is>
      </c>
      <c r="D65" s="47">
        <f>SUMIF('Дорожная карта'!$A$6:$A$16,A65,'Дорожная карта'!$E$6:$E$16)</f>
        <v/>
      </c>
      <c r="E65" s="50" t="n">
        <v>0</v>
      </c>
      <c r="F65" s="51" t="n">
        <v>0.8</v>
      </c>
      <c r="G65" s="52">
        <f>Параметры!$B$9</f>
        <v/>
      </c>
      <c r="H65" s="48">
        <f>MAX(0,(D65-E65)*F65*G65)</f>
        <v/>
      </c>
    </row>
    <row r="66">
      <c r="A66" s="47" t="n">
        <v>5</v>
      </c>
      <c r="B66" s="49" t="inlineStr">
        <is>
          <t>Фёдорова О.</t>
        </is>
      </c>
      <c r="C66" s="49" t="inlineStr">
        <is>
          <t>Analyst</t>
        </is>
      </c>
      <c r="D66" s="47">
        <f>SUMIF('Дорожная карта'!$A$6:$A$16,A66,'Дорожная карта'!$E$6:$E$16)</f>
        <v/>
      </c>
      <c r="E66" s="50" t="n">
        <v>0</v>
      </c>
      <c r="F66" s="51" t="n">
        <v>1</v>
      </c>
      <c r="G66" s="52">
        <f>Параметры!$B$9</f>
        <v/>
      </c>
      <c r="H66" s="48">
        <f>MAX(0,(D66-E66)*F66*G66)</f>
        <v/>
      </c>
    </row>
    <row r="67">
      <c r="A67" s="47" t="n">
        <v>5</v>
      </c>
      <c r="B67" s="49" t="inlineStr">
        <is>
          <t>Козлов В.</t>
        </is>
      </c>
      <c r="C67" s="49" t="inlineStr">
        <is>
          <t>Backend</t>
        </is>
      </c>
      <c r="D67" s="47">
        <f>SUMIF('Дорожная карта'!$A$6:$A$16,A67,'Дорожная карта'!$E$6:$E$16)</f>
        <v/>
      </c>
      <c r="E67" s="50" t="n">
        <v>0</v>
      </c>
      <c r="F67" s="51" t="n">
        <v>1</v>
      </c>
      <c r="G67" s="52">
        <f>Параметры!$B$9</f>
        <v/>
      </c>
      <c r="H67" s="48">
        <f>MAX(0,(D67-E67)*F67*G67)</f>
        <v/>
      </c>
    </row>
    <row r="68">
      <c r="A68" s="47" t="n">
        <v>5</v>
      </c>
      <c r="B68" s="49" t="inlineStr">
        <is>
          <t>Лебедева Т.</t>
        </is>
      </c>
      <c r="C68" s="49" t="inlineStr">
        <is>
          <t>Designer</t>
        </is>
      </c>
      <c r="D68" s="47">
        <f>SUMIF('Дорожная карта'!$A$6:$A$16,A68,'Дорожная карта'!$E$6:$E$16)</f>
        <v/>
      </c>
      <c r="E68" s="50" t="n">
        <v>0</v>
      </c>
      <c r="F68" s="51" t="n">
        <v>0.8</v>
      </c>
      <c r="G68" s="52">
        <f>Параметры!$B$9</f>
        <v/>
      </c>
      <c r="H68" s="48">
        <f>MAX(0,(D68-E68)*F68*G68)</f>
        <v/>
      </c>
    </row>
    <row r="69">
      <c r="A69" s="47" t="n">
        <v>5</v>
      </c>
      <c r="B69" s="49" t="inlineStr">
        <is>
          <t>Соколов Р.</t>
        </is>
      </c>
      <c r="C69" s="49" t="inlineStr">
        <is>
          <t>Frontend</t>
        </is>
      </c>
      <c r="D69" s="47">
        <f>SUMIF('Дорожная карта'!$A$6:$A$16,A69,'Дорожная карта'!$E$6:$E$16)</f>
        <v/>
      </c>
      <c r="E69" s="50" t="n">
        <v>0</v>
      </c>
      <c r="F69" s="51" t="n">
        <v>1</v>
      </c>
      <c r="G69" s="52">
        <f>Параметры!$B$9</f>
        <v/>
      </c>
      <c r="H69" s="48">
        <f>MAX(0,(D69-E69)*F69*G69)</f>
        <v/>
      </c>
    </row>
    <row r="70">
      <c r="A70" s="55" t="n">
        <v>6</v>
      </c>
      <c r="B70" s="41" t="inlineStr">
        <is>
          <t>Иванов А.</t>
        </is>
      </c>
      <c r="C70" s="41" t="inlineStr">
        <is>
          <t>Backend</t>
        </is>
      </c>
      <c r="D70" s="42">
        <f>SUMIF('Дорожная карта'!$A$6:$A$16,A70,'Дорожная карта'!$E$6:$E$16)</f>
        <v/>
      </c>
      <c r="E70" s="43" t="n">
        <v>0</v>
      </c>
      <c r="F70" s="44" t="n">
        <v>1</v>
      </c>
      <c r="G70" s="45">
        <f>Параметры!$B$9</f>
        <v/>
      </c>
      <c r="H70" s="46">
        <f>MAX(0,(D70-E70)*F70*G70)</f>
        <v/>
      </c>
    </row>
    <row r="71">
      <c r="A71" s="56" t="n">
        <v>6</v>
      </c>
      <c r="B71" s="49" t="inlineStr">
        <is>
          <t>Петрова М.</t>
        </is>
      </c>
      <c r="C71" s="49" t="inlineStr">
        <is>
          <t>Frontend</t>
        </is>
      </c>
      <c r="D71" s="47">
        <f>SUMIF('Дорожная карта'!$A$6:$A$16,A71,'Дорожная карта'!$E$6:$E$16)</f>
        <v/>
      </c>
      <c r="E71" s="50" t="n">
        <v>0</v>
      </c>
      <c r="F71" s="51" t="n">
        <v>1</v>
      </c>
      <c r="G71" s="52">
        <f>Параметры!$B$9</f>
        <v/>
      </c>
      <c r="H71" s="48">
        <f>MAX(0,(D71-E71)*F71*G71)</f>
        <v/>
      </c>
    </row>
    <row r="72">
      <c r="A72" s="56" t="n">
        <v>6</v>
      </c>
      <c r="B72" s="49" t="inlineStr">
        <is>
          <t>Сидоров К.</t>
        </is>
      </c>
      <c r="C72" s="49" t="inlineStr">
        <is>
          <t>QA</t>
        </is>
      </c>
      <c r="D72" s="47">
        <f>SUMIF('Дорожная карта'!$A$6:$A$16,A72,'Дорожная карта'!$E$6:$E$16)</f>
        <v/>
      </c>
      <c r="E72" s="50" t="n">
        <v>0</v>
      </c>
      <c r="F72" s="51" t="n">
        <v>0.8</v>
      </c>
      <c r="G72" s="52">
        <f>Параметры!$B$9</f>
        <v/>
      </c>
      <c r="H72" s="48">
        <f>MAX(0,(D72-E72)*F72*G72)</f>
        <v/>
      </c>
    </row>
    <row r="73">
      <c r="A73" s="56" t="n">
        <v>6</v>
      </c>
      <c r="B73" s="49" t="inlineStr">
        <is>
          <t>Кузнецов Д.</t>
        </is>
      </c>
      <c r="C73" s="49" t="inlineStr">
        <is>
          <t>Backend</t>
        </is>
      </c>
      <c r="D73" s="47">
        <f>SUMIF('Дорожная карта'!$A$6:$A$16,A73,'Дорожная карта'!$E$6:$E$16)</f>
        <v/>
      </c>
      <c r="E73" s="50" t="n">
        <v>0</v>
      </c>
      <c r="F73" s="51" t="n">
        <v>1</v>
      </c>
      <c r="G73" s="52">
        <f>Параметры!$B$9</f>
        <v/>
      </c>
      <c r="H73" s="48">
        <f>MAX(0,(D73-E73)*F73*G73)</f>
        <v/>
      </c>
    </row>
    <row r="74">
      <c r="A74" s="56" t="n">
        <v>6</v>
      </c>
      <c r="B74" s="49" t="inlineStr">
        <is>
          <t>Орлова Е.</t>
        </is>
      </c>
      <c r="C74" s="49" t="inlineStr">
        <is>
          <t>Analyst</t>
        </is>
      </c>
      <c r="D74" s="47">
        <f>SUMIF('Дорожная карта'!$A$6:$A$16,A74,'Дорожная карта'!$E$6:$E$16)</f>
        <v/>
      </c>
      <c r="E74" s="50" t="n">
        <v>0</v>
      </c>
      <c r="F74" s="51" t="n">
        <v>0.5</v>
      </c>
      <c r="G74" s="52">
        <f>Параметры!$B$9</f>
        <v/>
      </c>
      <c r="H74" s="48">
        <f>MAX(0,(D74-E74)*F74*G74)</f>
        <v/>
      </c>
    </row>
    <row r="75">
      <c r="A75" s="56" t="n">
        <v>6</v>
      </c>
      <c r="B75" s="49" t="inlineStr">
        <is>
          <t>Смирнов П.</t>
        </is>
      </c>
      <c r="C75" s="49" t="inlineStr">
        <is>
          <t>Backend</t>
        </is>
      </c>
      <c r="D75" s="47">
        <f>SUMIF('Дорожная карта'!$A$6:$A$16,A75,'Дорожная карта'!$E$6:$E$16)</f>
        <v/>
      </c>
      <c r="E75" s="50" t="n">
        <v>0</v>
      </c>
      <c r="F75" s="51" t="n">
        <v>1</v>
      </c>
      <c r="G75" s="52">
        <f>Параметры!$B$9</f>
        <v/>
      </c>
      <c r="H75" s="48">
        <f>MAX(0,(D75-E75)*F75*G75)</f>
        <v/>
      </c>
    </row>
    <row r="76">
      <c r="A76" s="56" t="n">
        <v>6</v>
      </c>
      <c r="B76" s="49" t="inlineStr">
        <is>
          <t>Волкова Н.</t>
        </is>
      </c>
      <c r="C76" s="49" t="inlineStr">
        <is>
          <t>Frontend</t>
        </is>
      </c>
      <c r="D76" s="47">
        <f>SUMIF('Дорожная карта'!$A$6:$A$16,A76,'Дорожная карта'!$E$6:$E$16)</f>
        <v/>
      </c>
      <c r="E76" s="50" t="n">
        <v>0</v>
      </c>
      <c r="F76" s="51" t="n">
        <v>1</v>
      </c>
      <c r="G76" s="52">
        <f>Параметры!$B$9</f>
        <v/>
      </c>
      <c r="H76" s="48">
        <f>MAX(0,(D76-E76)*F76*G76)</f>
        <v/>
      </c>
    </row>
    <row r="77">
      <c r="A77" s="56" t="n">
        <v>6</v>
      </c>
      <c r="B77" s="49" t="inlineStr">
        <is>
          <t>Морозов И.</t>
        </is>
      </c>
      <c r="C77" s="49" t="inlineStr">
        <is>
          <t>QA</t>
        </is>
      </c>
      <c r="D77" s="47">
        <f>SUMIF('Дорожная карта'!$A$6:$A$16,A77,'Дорожная карта'!$E$6:$E$16)</f>
        <v/>
      </c>
      <c r="E77" s="50" t="n">
        <v>0</v>
      </c>
      <c r="F77" s="51" t="n">
        <v>1</v>
      </c>
      <c r="G77" s="52">
        <f>Параметры!$B$9</f>
        <v/>
      </c>
      <c r="H77" s="48">
        <f>MAX(0,(D77-E77)*F77*G77)</f>
        <v/>
      </c>
    </row>
    <row r="78">
      <c r="A78" s="56" t="n">
        <v>6</v>
      </c>
      <c r="B78" s="49" t="inlineStr">
        <is>
          <t>Новиков А.</t>
        </is>
      </c>
      <c r="C78" s="49" t="inlineStr">
        <is>
          <t>DevOps</t>
        </is>
      </c>
      <c r="D78" s="47">
        <f>SUMIF('Дорожная карта'!$A$6:$A$16,A78,'Дорожная карта'!$E$6:$E$16)</f>
        <v/>
      </c>
      <c r="E78" s="50" t="n">
        <v>0</v>
      </c>
      <c r="F78" s="51" t="n">
        <v>0.8</v>
      </c>
      <c r="G78" s="52">
        <f>Параметры!$B$9</f>
        <v/>
      </c>
      <c r="H78" s="48">
        <f>MAX(0,(D78-E78)*F78*G78)</f>
        <v/>
      </c>
    </row>
    <row r="79">
      <c r="A79" s="56" t="n">
        <v>6</v>
      </c>
      <c r="B79" s="49" t="inlineStr">
        <is>
          <t>Фёдорова О.</t>
        </is>
      </c>
      <c r="C79" s="49" t="inlineStr">
        <is>
          <t>Analyst</t>
        </is>
      </c>
      <c r="D79" s="47">
        <f>SUMIF('Дорожная карта'!$A$6:$A$16,A79,'Дорожная карта'!$E$6:$E$16)</f>
        <v/>
      </c>
      <c r="E79" s="50" t="n">
        <v>0</v>
      </c>
      <c r="F79" s="51" t="n">
        <v>1</v>
      </c>
      <c r="G79" s="52">
        <f>Параметры!$B$9</f>
        <v/>
      </c>
      <c r="H79" s="48">
        <f>MAX(0,(D79-E79)*F79*G79)</f>
        <v/>
      </c>
    </row>
    <row r="80">
      <c r="A80" s="56" t="n">
        <v>6</v>
      </c>
      <c r="B80" s="49" t="inlineStr">
        <is>
          <t>Козлов В.</t>
        </is>
      </c>
      <c r="C80" s="49" t="inlineStr">
        <is>
          <t>Backend</t>
        </is>
      </c>
      <c r="D80" s="47">
        <f>SUMIF('Дорожная карта'!$A$6:$A$16,A80,'Дорожная карта'!$E$6:$E$16)</f>
        <v/>
      </c>
      <c r="E80" s="50" t="n">
        <v>0</v>
      </c>
      <c r="F80" s="51" t="n">
        <v>1</v>
      </c>
      <c r="G80" s="52">
        <f>Параметры!$B$9</f>
        <v/>
      </c>
      <c r="H80" s="48">
        <f>MAX(0,(D80-E80)*F80*G80)</f>
        <v/>
      </c>
    </row>
    <row r="81">
      <c r="A81" s="56" t="n">
        <v>6</v>
      </c>
      <c r="B81" s="49" t="inlineStr">
        <is>
          <t>Лебедева Т.</t>
        </is>
      </c>
      <c r="C81" s="49" t="inlineStr">
        <is>
          <t>Designer</t>
        </is>
      </c>
      <c r="D81" s="47">
        <f>SUMIF('Дорожная карта'!$A$6:$A$16,A81,'Дорожная карта'!$E$6:$E$16)</f>
        <v/>
      </c>
      <c r="E81" s="50" t="n">
        <v>0</v>
      </c>
      <c r="F81" s="51" t="n">
        <v>0.8</v>
      </c>
      <c r="G81" s="52">
        <f>Параметры!$B$9</f>
        <v/>
      </c>
      <c r="H81" s="48">
        <f>MAX(0,(D81-E81)*F81*G81)</f>
        <v/>
      </c>
    </row>
    <row r="82">
      <c r="A82" s="56" t="n">
        <v>6</v>
      </c>
      <c r="B82" s="49" t="inlineStr">
        <is>
          <t>Соколов Р.</t>
        </is>
      </c>
      <c r="C82" s="49" t="inlineStr">
        <is>
          <t>Frontend</t>
        </is>
      </c>
      <c r="D82" s="47">
        <f>SUMIF('Дорожная карта'!$A$6:$A$16,A82,'Дорожная карта'!$E$6:$E$16)</f>
        <v/>
      </c>
      <c r="E82" s="50" t="n">
        <v>0</v>
      </c>
      <c r="F82" s="51" t="n">
        <v>1</v>
      </c>
      <c r="G82" s="52">
        <f>Параметры!$B$9</f>
        <v/>
      </c>
      <c r="H82" s="48">
        <f>MAX(0,(D82-E82)*F82*G82)</f>
        <v/>
      </c>
    </row>
    <row r="83">
      <c r="A83" s="40" t="n">
        <v>7</v>
      </c>
      <c r="B83" s="41" t="inlineStr">
        <is>
          <t>Иванов А.</t>
        </is>
      </c>
      <c r="C83" s="41" t="inlineStr">
        <is>
          <t>Backend</t>
        </is>
      </c>
      <c r="D83" s="42">
        <f>SUMIF('Дорожная карта'!$A$6:$A$16,A83,'Дорожная карта'!$E$6:$E$16)</f>
        <v/>
      </c>
      <c r="E83" s="43" t="n">
        <v>0</v>
      </c>
      <c r="F83" s="44" t="n">
        <v>1</v>
      </c>
      <c r="G83" s="45">
        <f>Параметры!$B$9</f>
        <v/>
      </c>
      <c r="H83" s="46">
        <f>MAX(0,(D83-E83)*F83*G83)</f>
        <v/>
      </c>
    </row>
    <row r="84">
      <c r="A84" s="47" t="n">
        <v>7</v>
      </c>
      <c r="B84" s="49" t="inlineStr">
        <is>
          <t>Петрова М.</t>
        </is>
      </c>
      <c r="C84" s="49" t="inlineStr">
        <is>
          <t>Frontend</t>
        </is>
      </c>
      <c r="D84" s="47">
        <f>SUMIF('Дорожная карта'!$A$6:$A$16,A84,'Дорожная карта'!$E$6:$E$16)</f>
        <v/>
      </c>
      <c r="E84" s="50" t="n">
        <v>0</v>
      </c>
      <c r="F84" s="51" t="n">
        <v>1</v>
      </c>
      <c r="G84" s="52">
        <f>Параметры!$B$9</f>
        <v/>
      </c>
      <c r="H84" s="48">
        <f>MAX(0,(D84-E84)*F84*G84)</f>
        <v/>
      </c>
    </row>
    <row r="85">
      <c r="A85" s="47" t="n">
        <v>7</v>
      </c>
      <c r="B85" s="49" t="inlineStr">
        <is>
          <t>Сидоров К.</t>
        </is>
      </c>
      <c r="C85" s="49" t="inlineStr">
        <is>
          <t>QA</t>
        </is>
      </c>
      <c r="D85" s="47">
        <f>SUMIF('Дорожная карта'!$A$6:$A$16,A85,'Дорожная карта'!$E$6:$E$16)</f>
        <v/>
      </c>
      <c r="E85" s="50" t="n">
        <v>0</v>
      </c>
      <c r="F85" s="51" t="n">
        <v>0.8</v>
      </c>
      <c r="G85" s="52">
        <f>Параметры!$B$9</f>
        <v/>
      </c>
      <c r="H85" s="48">
        <f>MAX(0,(D85-E85)*F85*G85)</f>
        <v/>
      </c>
    </row>
    <row r="86">
      <c r="A86" s="47" t="n">
        <v>7</v>
      </c>
      <c r="B86" s="49" t="inlineStr">
        <is>
          <t>Кузнецов Д.</t>
        </is>
      </c>
      <c r="C86" s="49" t="inlineStr">
        <is>
          <t>Backend</t>
        </is>
      </c>
      <c r="D86" s="47">
        <f>SUMIF('Дорожная карта'!$A$6:$A$16,A86,'Дорожная карта'!$E$6:$E$16)</f>
        <v/>
      </c>
      <c r="E86" s="50" t="n">
        <v>0</v>
      </c>
      <c r="F86" s="51" t="n">
        <v>1</v>
      </c>
      <c r="G86" s="52">
        <f>Параметры!$B$9</f>
        <v/>
      </c>
      <c r="H86" s="48">
        <f>MAX(0,(D86-E86)*F86*G86)</f>
        <v/>
      </c>
    </row>
    <row r="87">
      <c r="A87" s="47" t="n">
        <v>7</v>
      </c>
      <c r="B87" s="49" t="inlineStr">
        <is>
          <t>Орлова Е.</t>
        </is>
      </c>
      <c r="C87" s="49" t="inlineStr">
        <is>
          <t>Analyst</t>
        </is>
      </c>
      <c r="D87" s="47">
        <f>SUMIF('Дорожная карта'!$A$6:$A$16,A87,'Дорожная карта'!$E$6:$E$16)</f>
        <v/>
      </c>
      <c r="E87" s="50" t="n">
        <v>0</v>
      </c>
      <c r="F87" s="51" t="n">
        <v>0.5</v>
      </c>
      <c r="G87" s="52">
        <f>Параметры!$B$9</f>
        <v/>
      </c>
      <c r="H87" s="48">
        <f>MAX(0,(D87-E87)*F87*G87)</f>
        <v/>
      </c>
    </row>
    <row r="88">
      <c r="A88" s="47" t="n">
        <v>7</v>
      </c>
      <c r="B88" s="49" t="inlineStr">
        <is>
          <t>Смирнов П.</t>
        </is>
      </c>
      <c r="C88" s="49" t="inlineStr">
        <is>
          <t>Backend</t>
        </is>
      </c>
      <c r="D88" s="47">
        <f>SUMIF('Дорожная карта'!$A$6:$A$16,A88,'Дорожная карта'!$E$6:$E$16)</f>
        <v/>
      </c>
      <c r="E88" s="50" t="n">
        <v>0</v>
      </c>
      <c r="F88" s="51" t="n">
        <v>1</v>
      </c>
      <c r="G88" s="52">
        <f>Параметры!$B$9</f>
        <v/>
      </c>
      <c r="H88" s="48">
        <f>MAX(0,(D88-E88)*F88*G88)</f>
        <v/>
      </c>
    </row>
    <row r="89">
      <c r="A89" s="47" t="n">
        <v>7</v>
      </c>
      <c r="B89" s="49" t="inlineStr">
        <is>
          <t>Волкова Н.</t>
        </is>
      </c>
      <c r="C89" s="49" t="inlineStr">
        <is>
          <t>Frontend</t>
        </is>
      </c>
      <c r="D89" s="47">
        <f>SUMIF('Дорожная карта'!$A$6:$A$16,A89,'Дорожная карта'!$E$6:$E$16)</f>
        <v/>
      </c>
      <c r="E89" s="50" t="n">
        <v>0</v>
      </c>
      <c r="F89" s="51" t="n">
        <v>1</v>
      </c>
      <c r="G89" s="52">
        <f>Параметры!$B$9</f>
        <v/>
      </c>
      <c r="H89" s="48">
        <f>MAX(0,(D89-E89)*F89*G89)</f>
        <v/>
      </c>
    </row>
    <row r="90">
      <c r="A90" s="47" t="n">
        <v>7</v>
      </c>
      <c r="B90" s="49" t="inlineStr">
        <is>
          <t>Морозов И.</t>
        </is>
      </c>
      <c r="C90" s="49" t="inlineStr">
        <is>
          <t>QA</t>
        </is>
      </c>
      <c r="D90" s="47">
        <f>SUMIF('Дорожная карта'!$A$6:$A$16,A90,'Дорожная карта'!$E$6:$E$16)</f>
        <v/>
      </c>
      <c r="E90" s="50" t="n">
        <v>0</v>
      </c>
      <c r="F90" s="51" t="n">
        <v>1</v>
      </c>
      <c r="G90" s="52">
        <f>Параметры!$B$9</f>
        <v/>
      </c>
      <c r="H90" s="48">
        <f>MAX(0,(D90-E90)*F90*G90)</f>
        <v/>
      </c>
    </row>
    <row r="91">
      <c r="A91" s="47" t="n">
        <v>7</v>
      </c>
      <c r="B91" s="49" t="inlineStr">
        <is>
          <t>Новиков А.</t>
        </is>
      </c>
      <c r="C91" s="49" t="inlineStr">
        <is>
          <t>DevOps</t>
        </is>
      </c>
      <c r="D91" s="47">
        <f>SUMIF('Дорожная карта'!$A$6:$A$16,A91,'Дорожная карта'!$E$6:$E$16)</f>
        <v/>
      </c>
      <c r="E91" s="50" t="n">
        <v>0</v>
      </c>
      <c r="F91" s="51" t="n">
        <v>0.8</v>
      </c>
      <c r="G91" s="52">
        <f>Параметры!$B$9</f>
        <v/>
      </c>
      <c r="H91" s="48">
        <f>MAX(0,(D91-E91)*F91*G91)</f>
        <v/>
      </c>
    </row>
    <row r="92">
      <c r="A92" s="47" t="n">
        <v>7</v>
      </c>
      <c r="B92" s="49" t="inlineStr">
        <is>
          <t>Фёдорова О.</t>
        </is>
      </c>
      <c r="C92" s="49" t="inlineStr">
        <is>
          <t>Analyst</t>
        </is>
      </c>
      <c r="D92" s="47">
        <f>SUMIF('Дорожная карта'!$A$6:$A$16,A92,'Дорожная карта'!$E$6:$E$16)</f>
        <v/>
      </c>
      <c r="E92" s="50" t="n">
        <v>0</v>
      </c>
      <c r="F92" s="51" t="n">
        <v>1</v>
      </c>
      <c r="G92" s="52">
        <f>Параметры!$B$9</f>
        <v/>
      </c>
      <c r="H92" s="48">
        <f>MAX(0,(D92-E92)*F92*G92)</f>
        <v/>
      </c>
    </row>
    <row r="93">
      <c r="A93" s="47" t="n">
        <v>7</v>
      </c>
      <c r="B93" s="49" t="inlineStr">
        <is>
          <t>Козлов В.</t>
        </is>
      </c>
      <c r="C93" s="49" t="inlineStr">
        <is>
          <t>Backend</t>
        </is>
      </c>
      <c r="D93" s="47">
        <f>SUMIF('Дорожная карта'!$A$6:$A$16,A93,'Дорожная карта'!$E$6:$E$16)</f>
        <v/>
      </c>
      <c r="E93" s="50" t="n">
        <v>0</v>
      </c>
      <c r="F93" s="51" t="n">
        <v>1</v>
      </c>
      <c r="G93" s="52">
        <f>Параметры!$B$9</f>
        <v/>
      </c>
      <c r="H93" s="48">
        <f>MAX(0,(D93-E93)*F93*G93)</f>
        <v/>
      </c>
    </row>
    <row r="94">
      <c r="A94" s="47" t="n">
        <v>7</v>
      </c>
      <c r="B94" s="49" t="inlineStr">
        <is>
          <t>Лебедева Т.</t>
        </is>
      </c>
      <c r="C94" s="49" t="inlineStr">
        <is>
          <t>Designer</t>
        </is>
      </c>
      <c r="D94" s="47">
        <f>SUMIF('Дорожная карта'!$A$6:$A$16,A94,'Дорожная карта'!$E$6:$E$16)</f>
        <v/>
      </c>
      <c r="E94" s="50" t="n">
        <v>0</v>
      </c>
      <c r="F94" s="51" t="n">
        <v>0.8</v>
      </c>
      <c r="G94" s="52">
        <f>Параметры!$B$9</f>
        <v/>
      </c>
      <c r="H94" s="48">
        <f>MAX(0,(D94-E94)*F94*G94)</f>
        <v/>
      </c>
    </row>
    <row r="95">
      <c r="A95" s="47" t="n">
        <v>7</v>
      </c>
      <c r="B95" s="49" t="inlineStr">
        <is>
          <t>Соколов Р.</t>
        </is>
      </c>
      <c r="C95" s="49" t="inlineStr">
        <is>
          <t>Frontend</t>
        </is>
      </c>
      <c r="D95" s="47">
        <f>SUMIF('Дорожная карта'!$A$6:$A$16,A95,'Дорожная карта'!$E$6:$E$16)</f>
        <v/>
      </c>
      <c r="E95" s="50" t="n">
        <v>0</v>
      </c>
      <c r="F95" s="51" t="n">
        <v>1</v>
      </c>
      <c r="G95" s="52">
        <f>Параметры!$B$9</f>
        <v/>
      </c>
      <c r="H95" s="48">
        <f>MAX(0,(D95-E95)*F95*G95)</f>
        <v/>
      </c>
    </row>
    <row r="96">
      <c r="A96" s="55" t="n">
        <v>8</v>
      </c>
      <c r="B96" s="41" t="inlineStr">
        <is>
          <t>Иванов А.</t>
        </is>
      </c>
      <c r="C96" s="41" t="inlineStr">
        <is>
          <t>Backend</t>
        </is>
      </c>
      <c r="D96" s="42">
        <f>SUMIF('Дорожная карта'!$A$6:$A$16,A96,'Дорожная карта'!$E$6:$E$16)</f>
        <v/>
      </c>
      <c r="E96" s="43" t="n">
        <v>5</v>
      </c>
      <c r="F96" s="44" t="n">
        <v>1</v>
      </c>
      <c r="G96" s="45">
        <f>Параметры!$B$9</f>
        <v/>
      </c>
      <c r="H96" s="46">
        <f>MAX(0,(D96-E96)*F96*G96)</f>
        <v/>
      </c>
    </row>
    <row r="97">
      <c r="A97" s="56" t="n">
        <v>8</v>
      </c>
      <c r="B97" s="49" t="inlineStr">
        <is>
          <t>Петрова М.</t>
        </is>
      </c>
      <c r="C97" s="49" t="inlineStr">
        <is>
          <t>Frontend</t>
        </is>
      </c>
      <c r="D97" s="47">
        <f>SUMIF('Дорожная карта'!$A$6:$A$16,A97,'Дорожная карта'!$E$6:$E$16)</f>
        <v/>
      </c>
      <c r="E97" s="50" t="n">
        <v>0</v>
      </c>
      <c r="F97" s="51" t="n">
        <v>1</v>
      </c>
      <c r="G97" s="52">
        <f>Параметры!$B$9</f>
        <v/>
      </c>
      <c r="H97" s="48">
        <f>MAX(0,(D97-E97)*F97*G97)</f>
        <v/>
      </c>
    </row>
    <row r="98">
      <c r="A98" s="56" t="n">
        <v>8</v>
      </c>
      <c r="B98" s="49" t="inlineStr">
        <is>
          <t>Сидоров К.</t>
        </is>
      </c>
      <c r="C98" s="49" t="inlineStr">
        <is>
          <t>QA</t>
        </is>
      </c>
      <c r="D98" s="47">
        <f>SUMIF('Дорожная карта'!$A$6:$A$16,A98,'Дорожная карта'!$E$6:$E$16)</f>
        <v/>
      </c>
      <c r="E98" s="50" t="n">
        <v>0</v>
      </c>
      <c r="F98" s="51" t="n">
        <v>0.8</v>
      </c>
      <c r="G98" s="52">
        <f>Параметры!$B$9</f>
        <v/>
      </c>
      <c r="H98" s="48">
        <f>MAX(0,(D98-E98)*F98*G98)</f>
        <v/>
      </c>
    </row>
    <row r="99">
      <c r="A99" s="56" t="n">
        <v>8</v>
      </c>
      <c r="B99" s="49" t="inlineStr">
        <is>
          <t>Кузнецов Д.</t>
        </is>
      </c>
      <c r="C99" s="49" t="inlineStr">
        <is>
          <t>Backend</t>
        </is>
      </c>
      <c r="D99" s="47">
        <f>SUMIF('Дорожная карта'!$A$6:$A$16,A99,'Дорожная карта'!$E$6:$E$16)</f>
        <v/>
      </c>
      <c r="E99" s="50" t="n">
        <v>0</v>
      </c>
      <c r="F99" s="51" t="n">
        <v>1</v>
      </c>
      <c r="G99" s="52">
        <f>Параметры!$B$9</f>
        <v/>
      </c>
      <c r="H99" s="48">
        <f>MAX(0,(D99-E99)*F99*G99)</f>
        <v/>
      </c>
    </row>
    <row r="100">
      <c r="A100" s="56" t="n">
        <v>8</v>
      </c>
      <c r="B100" s="49" t="inlineStr">
        <is>
          <t>Орлова Е.</t>
        </is>
      </c>
      <c r="C100" s="49" t="inlineStr">
        <is>
          <t>Analyst</t>
        </is>
      </c>
      <c r="D100" s="47">
        <f>SUMIF('Дорожная карта'!$A$6:$A$16,A100,'Дорожная карта'!$E$6:$E$16)</f>
        <v/>
      </c>
      <c r="E100" s="50" t="n">
        <v>0</v>
      </c>
      <c r="F100" s="51" t="n">
        <v>0.5</v>
      </c>
      <c r="G100" s="52">
        <f>Параметры!$B$9</f>
        <v/>
      </c>
      <c r="H100" s="48">
        <f>MAX(0,(D100-E100)*F100*G100)</f>
        <v/>
      </c>
    </row>
    <row r="101">
      <c r="A101" s="56" t="n">
        <v>8</v>
      </c>
      <c r="B101" s="49" t="inlineStr">
        <is>
          <t>Смирнов П.</t>
        </is>
      </c>
      <c r="C101" s="49" t="inlineStr">
        <is>
          <t>Backend</t>
        </is>
      </c>
      <c r="D101" s="47">
        <f>SUMIF('Дорожная карта'!$A$6:$A$16,A101,'Дорожная карта'!$E$6:$E$16)</f>
        <v/>
      </c>
      <c r="E101" s="50" t="n">
        <v>0</v>
      </c>
      <c r="F101" s="51" t="n">
        <v>1</v>
      </c>
      <c r="G101" s="52">
        <f>Параметры!$B$9</f>
        <v/>
      </c>
      <c r="H101" s="48">
        <f>MAX(0,(D101-E101)*F101*G101)</f>
        <v/>
      </c>
    </row>
    <row r="102">
      <c r="A102" s="56" t="n">
        <v>8</v>
      </c>
      <c r="B102" s="49" t="inlineStr">
        <is>
          <t>Волкова Н.</t>
        </is>
      </c>
      <c r="C102" s="49" t="inlineStr">
        <is>
          <t>Frontend</t>
        </is>
      </c>
      <c r="D102" s="47">
        <f>SUMIF('Дорожная карта'!$A$6:$A$16,A102,'Дорожная карта'!$E$6:$E$16)</f>
        <v/>
      </c>
      <c r="E102" s="50" t="n">
        <v>0</v>
      </c>
      <c r="F102" s="51" t="n">
        <v>1</v>
      </c>
      <c r="G102" s="52">
        <f>Параметры!$B$9</f>
        <v/>
      </c>
      <c r="H102" s="48">
        <f>MAX(0,(D102-E102)*F102*G102)</f>
        <v/>
      </c>
    </row>
    <row r="103">
      <c r="A103" s="56" t="n">
        <v>8</v>
      </c>
      <c r="B103" s="49" t="inlineStr">
        <is>
          <t>Морозов И.</t>
        </is>
      </c>
      <c r="C103" s="49" t="inlineStr">
        <is>
          <t>QA</t>
        </is>
      </c>
      <c r="D103" s="47">
        <f>SUMIF('Дорожная карта'!$A$6:$A$16,A103,'Дорожная карта'!$E$6:$E$16)</f>
        <v/>
      </c>
      <c r="E103" s="50" t="n">
        <v>0</v>
      </c>
      <c r="F103" s="51" t="n">
        <v>1</v>
      </c>
      <c r="G103" s="52">
        <f>Параметры!$B$9</f>
        <v/>
      </c>
      <c r="H103" s="48">
        <f>MAX(0,(D103-E103)*F103*G103)</f>
        <v/>
      </c>
    </row>
    <row r="104">
      <c r="A104" s="56" t="n">
        <v>8</v>
      </c>
      <c r="B104" s="49" t="inlineStr">
        <is>
          <t>Новиков А.</t>
        </is>
      </c>
      <c r="C104" s="49" t="inlineStr">
        <is>
          <t>DevOps</t>
        </is>
      </c>
      <c r="D104" s="47">
        <f>SUMIF('Дорожная карта'!$A$6:$A$16,A104,'Дорожная карта'!$E$6:$E$16)</f>
        <v/>
      </c>
      <c r="E104" s="50" t="n">
        <v>0</v>
      </c>
      <c r="F104" s="51" t="n">
        <v>0.8</v>
      </c>
      <c r="G104" s="52">
        <f>Параметры!$B$9</f>
        <v/>
      </c>
      <c r="H104" s="48">
        <f>MAX(0,(D104-E104)*F104*G104)</f>
        <v/>
      </c>
    </row>
    <row r="105">
      <c r="A105" s="56" t="n">
        <v>8</v>
      </c>
      <c r="B105" s="49" t="inlineStr">
        <is>
          <t>Фёдорова О.</t>
        </is>
      </c>
      <c r="C105" s="49" t="inlineStr">
        <is>
          <t>Analyst</t>
        </is>
      </c>
      <c r="D105" s="47">
        <f>SUMIF('Дорожная карта'!$A$6:$A$16,A105,'Дорожная карта'!$E$6:$E$16)</f>
        <v/>
      </c>
      <c r="E105" s="50" t="n">
        <v>0</v>
      </c>
      <c r="F105" s="51" t="n">
        <v>1</v>
      </c>
      <c r="G105" s="52">
        <f>Параметры!$B$9</f>
        <v/>
      </c>
      <c r="H105" s="48">
        <f>MAX(0,(D105-E105)*F105*G105)</f>
        <v/>
      </c>
    </row>
    <row r="106">
      <c r="A106" s="56" t="n">
        <v>8</v>
      </c>
      <c r="B106" s="49" t="inlineStr">
        <is>
          <t>Козлов В.</t>
        </is>
      </c>
      <c r="C106" s="49" t="inlineStr">
        <is>
          <t>Backend</t>
        </is>
      </c>
      <c r="D106" s="47">
        <f>SUMIF('Дорожная карта'!$A$6:$A$16,A106,'Дорожная карта'!$E$6:$E$16)</f>
        <v/>
      </c>
      <c r="E106" s="50" t="n">
        <v>0</v>
      </c>
      <c r="F106" s="51" t="n">
        <v>1</v>
      </c>
      <c r="G106" s="52">
        <f>Параметры!$B$9</f>
        <v/>
      </c>
      <c r="H106" s="48">
        <f>MAX(0,(D106-E106)*F106*G106)</f>
        <v/>
      </c>
    </row>
    <row r="107">
      <c r="A107" s="56" t="n">
        <v>8</v>
      </c>
      <c r="B107" s="49" t="inlineStr">
        <is>
          <t>Лебедева Т.</t>
        </is>
      </c>
      <c r="C107" s="49" t="inlineStr">
        <is>
          <t>Designer</t>
        </is>
      </c>
      <c r="D107" s="47">
        <f>SUMIF('Дорожная карта'!$A$6:$A$16,A107,'Дорожная карта'!$E$6:$E$16)</f>
        <v/>
      </c>
      <c r="E107" s="50" t="n">
        <v>0</v>
      </c>
      <c r="F107" s="51" t="n">
        <v>0.8</v>
      </c>
      <c r="G107" s="52">
        <f>Параметры!$B$9</f>
        <v/>
      </c>
      <c r="H107" s="48">
        <f>MAX(0,(D107-E107)*F107*G107)</f>
        <v/>
      </c>
    </row>
    <row r="108">
      <c r="A108" s="56" t="n">
        <v>8</v>
      </c>
      <c r="B108" s="49" t="inlineStr">
        <is>
          <t>Соколов Р.</t>
        </is>
      </c>
      <c r="C108" s="49" t="inlineStr">
        <is>
          <t>Frontend</t>
        </is>
      </c>
      <c r="D108" s="47">
        <f>SUMIF('Дорожная карта'!$A$6:$A$16,A108,'Дорожная карта'!$E$6:$E$16)</f>
        <v/>
      </c>
      <c r="E108" s="50" t="n">
        <v>0</v>
      </c>
      <c r="F108" s="51" t="n">
        <v>1</v>
      </c>
      <c r="G108" s="52">
        <f>Параметры!$B$9</f>
        <v/>
      </c>
      <c r="H108" s="48">
        <f>MAX(0,(D108-E108)*F108*G108)</f>
        <v/>
      </c>
    </row>
    <row r="109">
      <c r="A109" s="40" t="n">
        <v>9</v>
      </c>
      <c r="B109" s="41" t="inlineStr">
        <is>
          <t>Иванов А.</t>
        </is>
      </c>
      <c r="C109" s="41" t="inlineStr">
        <is>
          <t>Backend</t>
        </is>
      </c>
      <c r="D109" s="42">
        <f>SUMIF('Дорожная карта'!$A$6:$A$16,A109,'Дорожная карта'!$E$6:$E$16)</f>
        <v/>
      </c>
      <c r="E109" s="43" t="n">
        <v>0</v>
      </c>
      <c r="F109" s="44" t="n">
        <v>1</v>
      </c>
      <c r="G109" s="45">
        <f>Параметры!$B$9</f>
        <v/>
      </c>
      <c r="H109" s="46">
        <f>MAX(0,(D109-E109)*F109*G109)</f>
        <v/>
      </c>
    </row>
    <row r="110">
      <c r="A110" s="47" t="n">
        <v>9</v>
      </c>
      <c r="B110" s="49" t="inlineStr">
        <is>
          <t>Петрова М.</t>
        </is>
      </c>
      <c r="C110" s="49" t="inlineStr">
        <is>
          <t>Frontend</t>
        </is>
      </c>
      <c r="D110" s="47">
        <f>SUMIF('Дорожная карта'!$A$6:$A$16,A110,'Дорожная карта'!$E$6:$E$16)</f>
        <v/>
      </c>
      <c r="E110" s="50" t="n">
        <v>0</v>
      </c>
      <c r="F110" s="51" t="n">
        <v>1</v>
      </c>
      <c r="G110" s="52">
        <f>Параметры!$B$9</f>
        <v/>
      </c>
      <c r="H110" s="48">
        <f>MAX(0,(D110-E110)*F110*G110)</f>
        <v/>
      </c>
    </row>
    <row r="111">
      <c r="A111" s="47" t="n">
        <v>9</v>
      </c>
      <c r="B111" s="49" t="inlineStr">
        <is>
          <t>Сидоров К.</t>
        </is>
      </c>
      <c r="C111" s="49" t="inlineStr">
        <is>
          <t>QA</t>
        </is>
      </c>
      <c r="D111" s="47">
        <f>SUMIF('Дорожная карта'!$A$6:$A$16,A111,'Дорожная карта'!$E$6:$E$16)</f>
        <v/>
      </c>
      <c r="E111" s="50" t="n">
        <v>0</v>
      </c>
      <c r="F111" s="51" t="n">
        <v>0.8</v>
      </c>
      <c r="G111" s="52">
        <f>Параметры!$B$9</f>
        <v/>
      </c>
      <c r="H111" s="48">
        <f>MAX(0,(D111-E111)*F111*G111)</f>
        <v/>
      </c>
    </row>
    <row r="112">
      <c r="A112" s="47" t="n">
        <v>9</v>
      </c>
      <c r="B112" s="49" t="inlineStr">
        <is>
          <t>Кузнецов Д.</t>
        </is>
      </c>
      <c r="C112" s="49" t="inlineStr">
        <is>
          <t>Backend</t>
        </is>
      </c>
      <c r="D112" s="47">
        <f>SUMIF('Дорожная карта'!$A$6:$A$16,A112,'Дорожная карта'!$E$6:$E$16)</f>
        <v/>
      </c>
      <c r="E112" s="50" t="n">
        <v>0</v>
      </c>
      <c r="F112" s="51" t="n">
        <v>1</v>
      </c>
      <c r="G112" s="52">
        <f>Параметры!$B$9</f>
        <v/>
      </c>
      <c r="H112" s="48">
        <f>MAX(0,(D112-E112)*F112*G112)</f>
        <v/>
      </c>
    </row>
    <row r="113">
      <c r="A113" s="47" t="n">
        <v>9</v>
      </c>
      <c r="B113" s="49" t="inlineStr">
        <is>
          <t>Орлова Е.</t>
        </is>
      </c>
      <c r="C113" s="49" t="inlineStr">
        <is>
          <t>Analyst</t>
        </is>
      </c>
      <c r="D113" s="47">
        <f>SUMIF('Дорожная карта'!$A$6:$A$16,A113,'Дорожная карта'!$E$6:$E$16)</f>
        <v/>
      </c>
      <c r="E113" s="50" t="n">
        <v>0</v>
      </c>
      <c r="F113" s="51" t="n">
        <v>0.5</v>
      </c>
      <c r="G113" s="52">
        <f>Параметры!$B$9</f>
        <v/>
      </c>
      <c r="H113" s="48">
        <f>MAX(0,(D113-E113)*F113*G113)</f>
        <v/>
      </c>
    </row>
    <row r="114">
      <c r="A114" s="47" t="n">
        <v>9</v>
      </c>
      <c r="B114" s="49" t="inlineStr">
        <is>
          <t>Смирнов П.</t>
        </is>
      </c>
      <c r="C114" s="49" t="inlineStr">
        <is>
          <t>Backend</t>
        </is>
      </c>
      <c r="D114" s="47">
        <f>SUMIF('Дорожная карта'!$A$6:$A$16,A114,'Дорожная карта'!$E$6:$E$16)</f>
        <v/>
      </c>
      <c r="E114" s="50" t="n">
        <v>0</v>
      </c>
      <c r="F114" s="51" t="n">
        <v>1</v>
      </c>
      <c r="G114" s="52">
        <f>Параметры!$B$9</f>
        <v/>
      </c>
      <c r="H114" s="48">
        <f>MAX(0,(D114-E114)*F114*G114)</f>
        <v/>
      </c>
    </row>
    <row r="115">
      <c r="A115" s="47" t="n">
        <v>9</v>
      </c>
      <c r="B115" s="49" t="inlineStr">
        <is>
          <t>Волкова Н.</t>
        </is>
      </c>
      <c r="C115" s="49" t="inlineStr">
        <is>
          <t>Frontend</t>
        </is>
      </c>
      <c r="D115" s="47">
        <f>SUMIF('Дорожная карта'!$A$6:$A$16,A115,'Дорожная карта'!$E$6:$E$16)</f>
        <v/>
      </c>
      <c r="E115" s="50" t="n">
        <v>0</v>
      </c>
      <c r="F115" s="51" t="n">
        <v>1</v>
      </c>
      <c r="G115" s="52">
        <f>Параметры!$B$9</f>
        <v/>
      </c>
      <c r="H115" s="48">
        <f>MAX(0,(D115-E115)*F115*G115)</f>
        <v/>
      </c>
    </row>
    <row r="116">
      <c r="A116" s="47" t="n">
        <v>9</v>
      </c>
      <c r="B116" s="49" t="inlineStr">
        <is>
          <t>Морозов И.</t>
        </is>
      </c>
      <c r="C116" s="49" t="inlineStr">
        <is>
          <t>QA</t>
        </is>
      </c>
      <c r="D116" s="47">
        <f>SUMIF('Дорожная карта'!$A$6:$A$16,A116,'Дорожная карта'!$E$6:$E$16)</f>
        <v/>
      </c>
      <c r="E116" s="50" t="n">
        <v>0</v>
      </c>
      <c r="F116" s="51" t="n">
        <v>1</v>
      </c>
      <c r="G116" s="52">
        <f>Параметры!$B$9</f>
        <v/>
      </c>
      <c r="H116" s="48">
        <f>MAX(0,(D116-E116)*F116*G116)</f>
        <v/>
      </c>
    </row>
    <row r="117">
      <c r="A117" s="47" t="n">
        <v>9</v>
      </c>
      <c r="B117" s="49" t="inlineStr">
        <is>
          <t>Новиков А.</t>
        </is>
      </c>
      <c r="C117" s="49" t="inlineStr">
        <is>
          <t>DevOps</t>
        </is>
      </c>
      <c r="D117" s="47">
        <f>SUMIF('Дорожная карта'!$A$6:$A$16,A117,'Дорожная карта'!$E$6:$E$16)</f>
        <v/>
      </c>
      <c r="E117" s="50" t="n">
        <v>0</v>
      </c>
      <c r="F117" s="51" t="n">
        <v>0.8</v>
      </c>
      <c r="G117" s="52">
        <f>Параметры!$B$9</f>
        <v/>
      </c>
      <c r="H117" s="48">
        <f>MAX(0,(D117-E117)*F117*G117)</f>
        <v/>
      </c>
    </row>
    <row r="118">
      <c r="A118" s="47" t="n">
        <v>9</v>
      </c>
      <c r="B118" s="49" t="inlineStr">
        <is>
          <t>Фёдорова О.</t>
        </is>
      </c>
      <c r="C118" s="49" t="inlineStr">
        <is>
          <t>Analyst</t>
        </is>
      </c>
      <c r="D118" s="47">
        <f>SUMIF('Дорожная карта'!$A$6:$A$16,A118,'Дорожная карта'!$E$6:$E$16)</f>
        <v/>
      </c>
      <c r="E118" s="50" t="n">
        <v>0</v>
      </c>
      <c r="F118" s="51" t="n">
        <v>1</v>
      </c>
      <c r="G118" s="52">
        <f>Параметры!$B$9</f>
        <v/>
      </c>
      <c r="H118" s="48">
        <f>MAX(0,(D118-E118)*F118*G118)</f>
        <v/>
      </c>
    </row>
    <row r="119">
      <c r="A119" s="47" t="n">
        <v>9</v>
      </c>
      <c r="B119" s="49" t="inlineStr">
        <is>
          <t>Козлов В.</t>
        </is>
      </c>
      <c r="C119" s="49" t="inlineStr">
        <is>
          <t>Backend</t>
        </is>
      </c>
      <c r="D119" s="47">
        <f>SUMIF('Дорожная карта'!$A$6:$A$16,A119,'Дорожная карта'!$E$6:$E$16)</f>
        <v/>
      </c>
      <c r="E119" s="50" t="n">
        <v>0</v>
      </c>
      <c r="F119" s="51" t="n">
        <v>1</v>
      </c>
      <c r="G119" s="52">
        <f>Параметры!$B$9</f>
        <v/>
      </c>
      <c r="H119" s="48">
        <f>MAX(0,(D119-E119)*F119*G119)</f>
        <v/>
      </c>
    </row>
    <row r="120">
      <c r="A120" s="47" t="n">
        <v>9</v>
      </c>
      <c r="B120" s="49" t="inlineStr">
        <is>
          <t>Лебедева Т.</t>
        </is>
      </c>
      <c r="C120" s="49" t="inlineStr">
        <is>
          <t>Designer</t>
        </is>
      </c>
      <c r="D120" s="47">
        <f>SUMIF('Дорожная карта'!$A$6:$A$16,A120,'Дорожная карта'!$E$6:$E$16)</f>
        <v/>
      </c>
      <c r="E120" s="50" t="n">
        <v>0</v>
      </c>
      <c r="F120" s="51" t="n">
        <v>0.8</v>
      </c>
      <c r="G120" s="52">
        <f>Параметры!$B$9</f>
        <v/>
      </c>
      <c r="H120" s="48">
        <f>MAX(0,(D120-E120)*F120*G120)</f>
        <v/>
      </c>
    </row>
    <row r="121">
      <c r="A121" s="47" t="n">
        <v>9</v>
      </c>
      <c r="B121" s="49" t="inlineStr">
        <is>
          <t>Соколов Р.</t>
        </is>
      </c>
      <c r="C121" s="49" t="inlineStr">
        <is>
          <t>Frontend</t>
        </is>
      </c>
      <c r="D121" s="47">
        <f>SUMIF('Дорожная карта'!$A$6:$A$16,A121,'Дорожная карта'!$E$6:$E$16)</f>
        <v/>
      </c>
      <c r="E121" s="50" t="n">
        <v>0</v>
      </c>
      <c r="F121" s="51" t="n">
        <v>1</v>
      </c>
      <c r="G121" s="52">
        <f>Параметры!$B$9</f>
        <v/>
      </c>
      <c r="H121" s="48">
        <f>MAX(0,(D121-E121)*F121*G121)</f>
        <v/>
      </c>
    </row>
    <row r="122">
      <c r="A122" s="55" t="n">
        <v>10</v>
      </c>
      <c r="B122" s="41" t="inlineStr">
        <is>
          <t>Иванов А.</t>
        </is>
      </c>
      <c r="C122" s="41" t="inlineStr">
        <is>
          <t>Backend</t>
        </is>
      </c>
      <c r="D122" s="42">
        <f>SUMIF('Дорожная карта'!$A$6:$A$16,A122,'Дорожная карта'!$E$6:$E$16)</f>
        <v/>
      </c>
      <c r="E122" s="43" t="n">
        <v>0</v>
      </c>
      <c r="F122" s="44" t="n">
        <v>1</v>
      </c>
      <c r="G122" s="45">
        <f>Параметры!$B$9</f>
        <v/>
      </c>
      <c r="H122" s="46">
        <f>MAX(0,(D122-E122)*F122*G122)</f>
        <v/>
      </c>
    </row>
    <row r="123">
      <c r="A123" s="56" t="n">
        <v>10</v>
      </c>
      <c r="B123" s="49" t="inlineStr">
        <is>
          <t>Петрова М.</t>
        </is>
      </c>
      <c r="C123" s="49" t="inlineStr">
        <is>
          <t>Frontend</t>
        </is>
      </c>
      <c r="D123" s="47">
        <f>SUMIF('Дорожная карта'!$A$6:$A$16,A123,'Дорожная карта'!$E$6:$E$16)</f>
        <v/>
      </c>
      <c r="E123" s="50" t="n">
        <v>0</v>
      </c>
      <c r="F123" s="51" t="n">
        <v>1</v>
      </c>
      <c r="G123" s="52">
        <f>Параметры!$B$9</f>
        <v/>
      </c>
      <c r="H123" s="48">
        <f>MAX(0,(D123-E123)*F123*G123)</f>
        <v/>
      </c>
    </row>
    <row r="124">
      <c r="A124" s="56" t="n">
        <v>10</v>
      </c>
      <c r="B124" s="49" t="inlineStr">
        <is>
          <t>Сидоров К.</t>
        </is>
      </c>
      <c r="C124" s="49" t="inlineStr">
        <is>
          <t>QA</t>
        </is>
      </c>
      <c r="D124" s="47">
        <f>SUMIF('Дорожная карта'!$A$6:$A$16,A124,'Дорожная карта'!$E$6:$E$16)</f>
        <v/>
      </c>
      <c r="E124" s="50" t="n">
        <v>0</v>
      </c>
      <c r="F124" s="51" t="n">
        <v>0.8</v>
      </c>
      <c r="G124" s="52">
        <f>Параметры!$B$9</f>
        <v/>
      </c>
      <c r="H124" s="48">
        <f>MAX(0,(D124-E124)*F124*G124)</f>
        <v/>
      </c>
    </row>
    <row r="125">
      <c r="A125" s="56" t="n">
        <v>10</v>
      </c>
      <c r="B125" s="49" t="inlineStr">
        <is>
          <t>Кузнецов Д.</t>
        </is>
      </c>
      <c r="C125" s="49" t="inlineStr">
        <is>
          <t>Backend</t>
        </is>
      </c>
      <c r="D125" s="47">
        <f>SUMIF('Дорожная карта'!$A$6:$A$16,A125,'Дорожная карта'!$E$6:$E$16)</f>
        <v/>
      </c>
      <c r="E125" s="50" t="n">
        <v>0</v>
      </c>
      <c r="F125" s="51" t="n">
        <v>1</v>
      </c>
      <c r="G125" s="52">
        <f>Параметры!$B$9</f>
        <v/>
      </c>
      <c r="H125" s="48">
        <f>MAX(0,(D125-E125)*F125*G125)</f>
        <v/>
      </c>
    </row>
    <row r="126">
      <c r="A126" s="56" t="n">
        <v>10</v>
      </c>
      <c r="B126" s="49" t="inlineStr">
        <is>
          <t>Орлова Е.</t>
        </is>
      </c>
      <c r="C126" s="49" t="inlineStr">
        <is>
          <t>Analyst</t>
        </is>
      </c>
      <c r="D126" s="47">
        <f>SUMIF('Дорожная карта'!$A$6:$A$16,A126,'Дорожная карта'!$E$6:$E$16)</f>
        <v/>
      </c>
      <c r="E126" s="50" t="n">
        <v>0</v>
      </c>
      <c r="F126" s="51" t="n">
        <v>0.5</v>
      </c>
      <c r="G126" s="52">
        <f>Параметры!$B$9</f>
        <v/>
      </c>
      <c r="H126" s="48">
        <f>MAX(0,(D126-E126)*F126*G126)</f>
        <v/>
      </c>
    </row>
    <row r="127">
      <c r="A127" s="56" t="n">
        <v>10</v>
      </c>
      <c r="B127" s="49" t="inlineStr">
        <is>
          <t>Смирнов П.</t>
        </is>
      </c>
      <c r="C127" s="49" t="inlineStr">
        <is>
          <t>Backend</t>
        </is>
      </c>
      <c r="D127" s="47">
        <f>SUMIF('Дорожная карта'!$A$6:$A$16,A127,'Дорожная карта'!$E$6:$E$16)</f>
        <v/>
      </c>
      <c r="E127" s="50" t="n">
        <v>0</v>
      </c>
      <c r="F127" s="51" t="n">
        <v>1</v>
      </c>
      <c r="G127" s="52">
        <f>Параметры!$B$9</f>
        <v/>
      </c>
      <c r="H127" s="48">
        <f>MAX(0,(D127-E127)*F127*G127)</f>
        <v/>
      </c>
    </row>
    <row r="128">
      <c r="A128" s="56" t="n">
        <v>10</v>
      </c>
      <c r="B128" s="49" t="inlineStr">
        <is>
          <t>Волкова Н.</t>
        </is>
      </c>
      <c r="C128" s="49" t="inlineStr">
        <is>
          <t>Frontend</t>
        </is>
      </c>
      <c r="D128" s="47">
        <f>SUMIF('Дорожная карта'!$A$6:$A$16,A128,'Дорожная карта'!$E$6:$E$16)</f>
        <v/>
      </c>
      <c r="E128" s="50" t="n">
        <v>0</v>
      </c>
      <c r="F128" s="51" t="n">
        <v>1</v>
      </c>
      <c r="G128" s="52">
        <f>Параметры!$B$9</f>
        <v/>
      </c>
      <c r="H128" s="48">
        <f>MAX(0,(D128-E128)*F128*G128)</f>
        <v/>
      </c>
    </row>
    <row r="129">
      <c r="A129" s="56" t="n">
        <v>10</v>
      </c>
      <c r="B129" s="49" t="inlineStr">
        <is>
          <t>Морозов И.</t>
        </is>
      </c>
      <c r="C129" s="49" t="inlineStr">
        <is>
          <t>QA</t>
        </is>
      </c>
      <c r="D129" s="47">
        <f>SUMIF('Дорожная карта'!$A$6:$A$16,A129,'Дорожная карта'!$E$6:$E$16)</f>
        <v/>
      </c>
      <c r="E129" s="50" t="n">
        <v>0</v>
      </c>
      <c r="F129" s="51" t="n">
        <v>1</v>
      </c>
      <c r="G129" s="52">
        <f>Параметры!$B$9</f>
        <v/>
      </c>
      <c r="H129" s="48">
        <f>MAX(0,(D129-E129)*F129*G129)</f>
        <v/>
      </c>
    </row>
    <row r="130">
      <c r="A130" s="56" t="n">
        <v>10</v>
      </c>
      <c r="B130" s="49" t="inlineStr">
        <is>
          <t>Новиков А.</t>
        </is>
      </c>
      <c r="C130" s="49" t="inlineStr">
        <is>
          <t>DevOps</t>
        </is>
      </c>
      <c r="D130" s="47">
        <f>SUMIF('Дорожная карта'!$A$6:$A$16,A130,'Дорожная карта'!$E$6:$E$16)</f>
        <v/>
      </c>
      <c r="E130" s="50" t="n">
        <v>0</v>
      </c>
      <c r="F130" s="51" t="n">
        <v>0.8</v>
      </c>
      <c r="G130" s="52">
        <f>Параметры!$B$9</f>
        <v/>
      </c>
      <c r="H130" s="48">
        <f>MAX(0,(D130-E130)*F130*G130)</f>
        <v/>
      </c>
    </row>
    <row r="131">
      <c r="A131" s="56" t="n">
        <v>10</v>
      </c>
      <c r="B131" s="49" t="inlineStr">
        <is>
          <t>Фёдорова О.</t>
        </is>
      </c>
      <c r="C131" s="49" t="inlineStr">
        <is>
          <t>Analyst</t>
        </is>
      </c>
      <c r="D131" s="47">
        <f>SUMIF('Дорожная карта'!$A$6:$A$16,A131,'Дорожная карта'!$E$6:$E$16)</f>
        <v/>
      </c>
      <c r="E131" s="50" t="n">
        <v>0</v>
      </c>
      <c r="F131" s="51" t="n">
        <v>1</v>
      </c>
      <c r="G131" s="52">
        <f>Параметры!$B$9</f>
        <v/>
      </c>
      <c r="H131" s="48">
        <f>MAX(0,(D131-E131)*F131*G131)</f>
        <v/>
      </c>
    </row>
    <row r="132">
      <c r="A132" s="56" t="n">
        <v>10</v>
      </c>
      <c r="B132" s="49" t="inlineStr">
        <is>
          <t>Козлов В.</t>
        </is>
      </c>
      <c r="C132" s="49" t="inlineStr">
        <is>
          <t>Backend</t>
        </is>
      </c>
      <c r="D132" s="47">
        <f>SUMIF('Дорожная карта'!$A$6:$A$16,A132,'Дорожная карта'!$E$6:$E$16)</f>
        <v/>
      </c>
      <c r="E132" s="50" t="n">
        <v>0</v>
      </c>
      <c r="F132" s="51" t="n">
        <v>1</v>
      </c>
      <c r="G132" s="52">
        <f>Параметры!$B$9</f>
        <v/>
      </c>
      <c r="H132" s="48">
        <f>MAX(0,(D132-E132)*F132*G132)</f>
        <v/>
      </c>
    </row>
    <row r="133">
      <c r="A133" s="56" t="n">
        <v>10</v>
      </c>
      <c r="B133" s="49" t="inlineStr">
        <is>
          <t>Лебедева Т.</t>
        </is>
      </c>
      <c r="C133" s="49" t="inlineStr">
        <is>
          <t>Designer</t>
        </is>
      </c>
      <c r="D133" s="47">
        <f>SUMIF('Дорожная карта'!$A$6:$A$16,A133,'Дорожная карта'!$E$6:$E$16)</f>
        <v/>
      </c>
      <c r="E133" s="50" t="n">
        <v>0</v>
      </c>
      <c r="F133" s="51" t="n">
        <v>0.8</v>
      </c>
      <c r="G133" s="52">
        <f>Параметры!$B$9</f>
        <v/>
      </c>
      <c r="H133" s="48">
        <f>MAX(0,(D133-E133)*F133*G133)</f>
        <v/>
      </c>
    </row>
    <row r="134">
      <c r="A134" s="56" t="n">
        <v>10</v>
      </c>
      <c r="B134" s="49" t="inlineStr">
        <is>
          <t>Соколов Р.</t>
        </is>
      </c>
      <c r="C134" s="49" t="inlineStr">
        <is>
          <t>Frontend</t>
        </is>
      </c>
      <c r="D134" s="47">
        <f>SUMIF('Дорожная карта'!$A$6:$A$16,A134,'Дорожная карта'!$E$6:$E$16)</f>
        <v/>
      </c>
      <c r="E134" s="50" t="n">
        <v>0</v>
      </c>
      <c r="F134" s="51" t="n">
        <v>1</v>
      </c>
      <c r="G134" s="52">
        <f>Параметры!$B$9</f>
        <v/>
      </c>
      <c r="H134" s="48">
        <f>MAX(0,(D134-E134)*F134*G134)</f>
        <v/>
      </c>
    </row>
    <row r="135">
      <c r="A135" s="40" t="n">
        <v>11</v>
      </c>
      <c r="B135" s="41" t="inlineStr">
        <is>
          <t>Иванов А.</t>
        </is>
      </c>
      <c r="C135" s="41" t="inlineStr">
        <is>
          <t>Backend</t>
        </is>
      </c>
      <c r="D135" s="42">
        <f>SUMIF('Дорожная карта'!$A$6:$A$16,A135,'Дорожная карта'!$E$6:$E$16)</f>
        <v/>
      </c>
      <c r="E135" s="43" t="n">
        <v>0</v>
      </c>
      <c r="F135" s="44" t="n">
        <v>1</v>
      </c>
      <c r="G135" s="45">
        <f>Параметры!$B$9</f>
        <v/>
      </c>
      <c r="H135" s="46">
        <f>MAX(0,(D135-E135)*F135*G135)</f>
        <v/>
      </c>
    </row>
    <row r="136">
      <c r="A136" s="47" t="n">
        <v>11</v>
      </c>
      <c r="B136" s="49" t="inlineStr">
        <is>
          <t>Петрова М.</t>
        </is>
      </c>
      <c r="C136" s="49" t="inlineStr">
        <is>
          <t>Frontend</t>
        </is>
      </c>
      <c r="D136" s="47">
        <f>SUMIF('Дорожная карта'!$A$6:$A$16,A136,'Дорожная карта'!$E$6:$E$16)</f>
        <v/>
      </c>
      <c r="E136" s="50" t="n">
        <v>0</v>
      </c>
      <c r="F136" s="51" t="n">
        <v>1</v>
      </c>
      <c r="G136" s="52">
        <f>Параметры!$B$9</f>
        <v/>
      </c>
      <c r="H136" s="48">
        <f>MAX(0,(D136-E136)*F136*G136)</f>
        <v/>
      </c>
    </row>
    <row r="137">
      <c r="A137" s="47" t="n">
        <v>11</v>
      </c>
      <c r="B137" s="49" t="inlineStr">
        <is>
          <t>Сидоров К.</t>
        </is>
      </c>
      <c r="C137" s="49" t="inlineStr">
        <is>
          <t>QA</t>
        </is>
      </c>
      <c r="D137" s="47">
        <f>SUMIF('Дорожная карта'!$A$6:$A$16,A137,'Дорожная карта'!$E$6:$E$16)</f>
        <v/>
      </c>
      <c r="E137" s="50" t="n">
        <v>0</v>
      </c>
      <c r="F137" s="51" t="n">
        <v>0.8</v>
      </c>
      <c r="G137" s="52">
        <f>Параметры!$B$9</f>
        <v/>
      </c>
      <c r="H137" s="48">
        <f>MAX(0,(D137-E137)*F137*G137)</f>
        <v/>
      </c>
    </row>
    <row r="138">
      <c r="A138" s="47" t="n">
        <v>11</v>
      </c>
      <c r="B138" s="49" t="inlineStr">
        <is>
          <t>Кузнецов Д.</t>
        </is>
      </c>
      <c r="C138" s="49" t="inlineStr">
        <is>
          <t>Backend</t>
        </is>
      </c>
      <c r="D138" s="47">
        <f>SUMIF('Дорожная карта'!$A$6:$A$16,A138,'Дорожная карта'!$E$6:$E$16)</f>
        <v/>
      </c>
      <c r="E138" s="50" t="n">
        <v>0</v>
      </c>
      <c r="F138" s="51" t="n">
        <v>1</v>
      </c>
      <c r="G138" s="52">
        <f>Параметры!$B$9</f>
        <v/>
      </c>
      <c r="H138" s="48">
        <f>MAX(0,(D138-E138)*F138*G138)</f>
        <v/>
      </c>
    </row>
    <row r="139">
      <c r="A139" s="47" t="n">
        <v>11</v>
      </c>
      <c r="B139" s="49" t="inlineStr">
        <is>
          <t>Орлова Е.</t>
        </is>
      </c>
      <c r="C139" s="49" t="inlineStr">
        <is>
          <t>Analyst</t>
        </is>
      </c>
      <c r="D139" s="47">
        <f>SUMIF('Дорожная карта'!$A$6:$A$16,A139,'Дорожная карта'!$E$6:$E$16)</f>
        <v/>
      </c>
      <c r="E139" s="50" t="n">
        <v>0</v>
      </c>
      <c r="F139" s="51" t="n">
        <v>0.5</v>
      </c>
      <c r="G139" s="52">
        <f>Параметры!$B$9</f>
        <v/>
      </c>
      <c r="H139" s="48">
        <f>MAX(0,(D139-E139)*F139*G139)</f>
        <v/>
      </c>
    </row>
    <row r="140">
      <c r="A140" s="47" t="n">
        <v>11</v>
      </c>
      <c r="B140" s="49" t="inlineStr">
        <is>
          <t>Смирнов П.</t>
        </is>
      </c>
      <c r="C140" s="49" t="inlineStr">
        <is>
          <t>Backend</t>
        </is>
      </c>
      <c r="D140" s="47">
        <f>SUMIF('Дорожная карта'!$A$6:$A$16,A140,'Дорожная карта'!$E$6:$E$16)</f>
        <v/>
      </c>
      <c r="E140" s="50" t="n">
        <v>0</v>
      </c>
      <c r="F140" s="51" t="n">
        <v>1</v>
      </c>
      <c r="G140" s="52">
        <f>Параметры!$B$9</f>
        <v/>
      </c>
      <c r="H140" s="48">
        <f>MAX(0,(D140-E140)*F140*G140)</f>
        <v/>
      </c>
    </row>
    <row r="141">
      <c r="A141" s="47" t="n">
        <v>11</v>
      </c>
      <c r="B141" s="49" t="inlineStr">
        <is>
          <t>Волкова Н.</t>
        </is>
      </c>
      <c r="C141" s="49" t="inlineStr">
        <is>
          <t>Frontend</t>
        </is>
      </c>
      <c r="D141" s="47">
        <f>SUMIF('Дорожная карта'!$A$6:$A$16,A141,'Дорожная карта'!$E$6:$E$16)</f>
        <v/>
      </c>
      <c r="E141" s="50" t="n">
        <v>0</v>
      </c>
      <c r="F141" s="51" t="n">
        <v>1</v>
      </c>
      <c r="G141" s="52">
        <f>Параметры!$B$9</f>
        <v/>
      </c>
      <c r="H141" s="48">
        <f>MAX(0,(D141-E141)*F141*G141)</f>
        <v/>
      </c>
    </row>
    <row r="142">
      <c r="A142" s="47" t="n">
        <v>11</v>
      </c>
      <c r="B142" s="49" t="inlineStr">
        <is>
          <t>Морозов И.</t>
        </is>
      </c>
      <c r="C142" s="49" t="inlineStr">
        <is>
          <t>QA</t>
        </is>
      </c>
      <c r="D142" s="47">
        <f>SUMIF('Дорожная карта'!$A$6:$A$16,A142,'Дорожная карта'!$E$6:$E$16)</f>
        <v/>
      </c>
      <c r="E142" s="50" t="n">
        <v>0</v>
      </c>
      <c r="F142" s="51" t="n">
        <v>1</v>
      </c>
      <c r="G142" s="52">
        <f>Параметры!$B$9</f>
        <v/>
      </c>
      <c r="H142" s="48">
        <f>MAX(0,(D142-E142)*F142*G142)</f>
        <v/>
      </c>
    </row>
    <row r="143">
      <c r="A143" s="47" t="n">
        <v>11</v>
      </c>
      <c r="B143" s="49" t="inlineStr">
        <is>
          <t>Новиков А.</t>
        </is>
      </c>
      <c r="C143" s="49" t="inlineStr">
        <is>
          <t>DevOps</t>
        </is>
      </c>
      <c r="D143" s="47">
        <f>SUMIF('Дорожная карта'!$A$6:$A$16,A143,'Дорожная карта'!$E$6:$E$16)</f>
        <v/>
      </c>
      <c r="E143" s="50" t="n">
        <v>0</v>
      </c>
      <c r="F143" s="51" t="n">
        <v>0.8</v>
      </c>
      <c r="G143" s="52">
        <f>Параметры!$B$9</f>
        <v/>
      </c>
      <c r="H143" s="48">
        <f>MAX(0,(D143-E143)*F143*G143)</f>
        <v/>
      </c>
    </row>
    <row r="144">
      <c r="A144" s="47" t="n">
        <v>11</v>
      </c>
      <c r="B144" s="49" t="inlineStr">
        <is>
          <t>Фёдорова О.</t>
        </is>
      </c>
      <c r="C144" s="49" t="inlineStr">
        <is>
          <t>Analyst</t>
        </is>
      </c>
      <c r="D144" s="47">
        <f>SUMIF('Дорожная карта'!$A$6:$A$16,A144,'Дорожная карта'!$E$6:$E$16)</f>
        <v/>
      </c>
      <c r="E144" s="50" t="n">
        <v>0</v>
      </c>
      <c r="F144" s="51" t="n">
        <v>1</v>
      </c>
      <c r="G144" s="52">
        <f>Параметры!$B$9</f>
        <v/>
      </c>
      <c r="H144" s="48">
        <f>MAX(0,(D144-E144)*F144*G144)</f>
        <v/>
      </c>
    </row>
    <row r="145">
      <c r="A145" s="47" t="n">
        <v>11</v>
      </c>
      <c r="B145" s="49" t="inlineStr">
        <is>
          <t>Козлов В.</t>
        </is>
      </c>
      <c r="C145" s="49" t="inlineStr">
        <is>
          <t>Backend</t>
        </is>
      </c>
      <c r="D145" s="47">
        <f>SUMIF('Дорожная карта'!$A$6:$A$16,A145,'Дорожная карта'!$E$6:$E$16)</f>
        <v/>
      </c>
      <c r="E145" s="50" t="n">
        <v>0</v>
      </c>
      <c r="F145" s="51" t="n">
        <v>1</v>
      </c>
      <c r="G145" s="52">
        <f>Параметры!$B$9</f>
        <v/>
      </c>
      <c r="H145" s="48">
        <f>MAX(0,(D145-E145)*F145*G145)</f>
        <v/>
      </c>
    </row>
    <row r="146">
      <c r="A146" s="47" t="n">
        <v>11</v>
      </c>
      <c r="B146" s="49" t="inlineStr">
        <is>
          <t>Лебедева Т.</t>
        </is>
      </c>
      <c r="C146" s="49" t="inlineStr">
        <is>
          <t>Designer</t>
        </is>
      </c>
      <c r="D146" s="47">
        <f>SUMIF('Дорожная карта'!$A$6:$A$16,A146,'Дорожная карта'!$E$6:$E$16)</f>
        <v/>
      </c>
      <c r="E146" s="50" t="n">
        <v>0</v>
      </c>
      <c r="F146" s="51" t="n">
        <v>0.8</v>
      </c>
      <c r="G146" s="52">
        <f>Параметры!$B$9</f>
        <v/>
      </c>
      <c r="H146" s="48">
        <f>MAX(0,(D146-E146)*F146*G146)</f>
        <v/>
      </c>
    </row>
    <row r="147">
      <c r="A147" s="47" t="n">
        <v>11</v>
      </c>
      <c r="B147" s="49" t="inlineStr">
        <is>
          <t>Соколов Р.</t>
        </is>
      </c>
      <c r="C147" s="49" t="inlineStr">
        <is>
          <t>Frontend</t>
        </is>
      </c>
      <c r="D147" s="47">
        <f>SUMIF('Дорожная карта'!$A$6:$A$16,A147,'Дорожная карта'!$E$6:$E$16)</f>
        <v/>
      </c>
      <c r="E147" s="50" t="n">
        <v>0</v>
      </c>
      <c r="F147" s="51" t="n">
        <v>1</v>
      </c>
      <c r="G147" s="52">
        <f>Параметры!$B$9</f>
        <v/>
      </c>
      <c r="H147" s="48">
        <f>MAX(0,(D147-E147)*F147*G147)</f>
        <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B29"/>
  <sheetViews>
    <sheetView showGridLines="0" workbookViewId="0">
      <selection activeCell="A1" sqref="A1"/>
    </sheetView>
  </sheetViews>
  <sheetFormatPr baseColWidth="8" defaultRowHeight="14.4"/>
  <cols>
    <col width="14" customWidth="1" min="1" max="1"/>
    <col width="30" customWidth="1" min="2" max="2"/>
  </cols>
  <sheetData>
    <row r="1" ht="15.6" customHeight="1">
      <c r="A1" s="91" t="inlineStr">
        <is>
          <t>Производственный календарь (нерабочие дни)</t>
        </is>
      </c>
    </row>
    <row r="2">
      <c r="A2" s="82" t="inlineStr">
        <is>
          <t>Раб. дни каждого спринта считаются как ЧИСТРАБДНИ(начало; конец; этот список).</t>
        </is>
      </c>
    </row>
    <row r="4">
      <c r="A4" s="92" t="inlineStr">
        <is>
          <t>Дата</t>
        </is>
      </c>
      <c r="B4" s="92" t="inlineStr">
        <is>
          <t>Праздник / выходной</t>
        </is>
      </c>
    </row>
    <row r="5">
      <c r="A5" s="107" t="n">
        <v>46330</v>
      </c>
      <c r="B5" s="93" t="inlineStr">
        <is>
          <t>День народного единства</t>
        </is>
      </c>
    </row>
    <row r="6">
      <c r="A6" s="107" t="n">
        <v>46388</v>
      </c>
      <c r="B6" s="93" t="inlineStr">
        <is>
          <t>Новый год</t>
        </is>
      </c>
    </row>
    <row r="7">
      <c r="A7" s="107" t="n">
        <v>46389</v>
      </c>
      <c r="B7" s="93" t="inlineStr">
        <is>
          <t>Новогодние каникулы</t>
        </is>
      </c>
    </row>
    <row r="8">
      <c r="A8" s="107" t="n"/>
      <c r="B8" s="93" t="n"/>
    </row>
    <row r="9">
      <c r="A9" s="107" t="n"/>
      <c r="B9" s="93" t="n"/>
    </row>
    <row r="10">
      <c r="A10" s="107" t="n"/>
      <c r="B10" s="93" t="n"/>
    </row>
    <row r="11">
      <c r="A11" s="107" t="n"/>
      <c r="B11" s="93" t="n"/>
    </row>
    <row r="12">
      <c r="A12" s="107" t="n"/>
      <c r="B12" s="93" t="n"/>
    </row>
    <row r="13">
      <c r="A13" s="107" t="n"/>
      <c r="B13" s="93" t="n"/>
    </row>
    <row r="14">
      <c r="A14" s="107" t="n"/>
      <c r="B14" s="93" t="n"/>
    </row>
    <row r="15">
      <c r="A15" s="107" t="n"/>
      <c r="B15" s="93" t="n"/>
    </row>
    <row r="16">
      <c r="A16" s="107" t="n"/>
      <c r="B16" s="93" t="n"/>
    </row>
    <row r="17">
      <c r="A17" s="107" t="n"/>
      <c r="B17" s="93" t="n"/>
    </row>
    <row r="18">
      <c r="A18" s="107" t="n"/>
      <c r="B18" s="93" t="n"/>
    </row>
    <row r="19">
      <c r="A19" s="107" t="n"/>
      <c r="B19" s="93" t="n"/>
    </row>
    <row r="20">
      <c r="A20" s="107" t="n"/>
      <c r="B20" s="93" t="n"/>
    </row>
    <row r="21">
      <c r="A21" s="107" t="n"/>
      <c r="B21" s="93" t="n"/>
    </row>
    <row r="22">
      <c r="A22" s="107" t="n"/>
      <c r="B22" s="93" t="n"/>
    </row>
    <row r="23">
      <c r="A23" s="107" t="n"/>
      <c r="B23" s="93" t="n"/>
    </row>
    <row r="24">
      <c r="A24" s="107" t="n"/>
      <c r="B24" s="93" t="n"/>
    </row>
    <row r="25">
      <c r="A25" s="107" t="n"/>
      <c r="B25" s="93" t="n"/>
    </row>
    <row r="26">
      <c r="A26" s="107" t="n"/>
      <c r="B26" s="93" t="n"/>
    </row>
    <row r="27">
      <c r="A27" s="107" t="n"/>
      <c r="B27" s="93" t="n"/>
    </row>
    <row r="28">
      <c r="A28" s="107" t="n"/>
      <c r="B28" s="93" t="n"/>
    </row>
    <row r="29">
      <c r="A29" s="107" t="n"/>
      <c r="B29" s="93" t="n"/>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H27"/>
  <sheetViews>
    <sheetView showGridLines="0" workbookViewId="0">
      <pane ySplit="5" topLeftCell="A9" activePane="bottomLeft" state="frozen"/>
      <selection activeCell="H8" sqref="H8"/>
      <selection pane="bottomLeft" activeCell="H8" sqref="H8"/>
    </sheetView>
  </sheetViews>
  <sheetFormatPr baseColWidth="8" defaultRowHeight="14.4"/>
  <cols>
    <col width="12" customWidth="1" min="1" max="1"/>
    <col width="13" customWidth="1" min="2" max="2"/>
    <col width="16" customWidth="1" min="3" max="3"/>
    <col width="10" customWidth="1" min="4" max="4"/>
    <col width="12" customWidth="1" min="5" max="5"/>
    <col width="11.33203125" customWidth="1" min="7" max="7"/>
  </cols>
  <sheetData>
    <row r="1" ht="17.4" customHeight="1">
      <c r="A1" s="37" t="inlineStr">
        <is>
          <t>Загрузка по ролям</t>
        </is>
      </c>
    </row>
    <row r="2">
      <c r="A2" s="38" t="inlineStr">
        <is>
          <t>Капасити — из «Капасити»; спрос — из «Бэклога» по текущему спринту (авто).</t>
        </is>
      </c>
    </row>
    <row r="3">
      <c r="A3" s="14" t="inlineStr">
        <is>
          <t>Текущий спринт:</t>
        </is>
      </c>
      <c r="B3" s="67">
        <f>Параметры!$B$13</f>
        <v/>
      </c>
    </row>
    <row r="5" ht="27.6" customHeight="1">
      <c r="A5" s="39" t="inlineStr">
        <is>
          <t>Роль</t>
        </is>
      </c>
      <c r="B5" s="39" t="inlineStr">
        <is>
          <t>Капасити (дн)</t>
        </is>
      </c>
      <c r="C5" s="39" t="inlineStr">
        <is>
          <t>Спрос / План (дн)</t>
        </is>
      </c>
      <c r="D5" s="39" t="inlineStr">
        <is>
          <t>Загрузка</t>
        </is>
      </c>
      <c r="E5" s="39" t="inlineStr">
        <is>
          <t>Статус</t>
        </is>
      </c>
    </row>
    <row r="6">
      <c r="A6" s="68" t="inlineStr">
        <is>
          <t>Backend</t>
        </is>
      </c>
      <c r="B6" s="35">
        <f>SUMIFS(Капасити!$H$5:$H$147,Капасити!$A$5:$A$147,Параметры!$B$13,Капасити!$C$5:$C$147,A6)</f>
        <v/>
      </c>
      <c r="C6" s="35">
        <f>SUMIFS(Бэклог!$E$5:$E$44,Бэклог!$H$5:$H$44,A6,Бэклог!$M$5:$M$44,Параметры!$B$13)</f>
        <v/>
      </c>
      <c r="D6" s="60">
        <f>IFERROR(C6/B6,0)</f>
        <v/>
      </c>
      <c r="E6" s="47">
        <f>IF(B6=0,"—",IF(D6&gt;1,"Перегруз",IF(D6&gt;=0.9,"На пределе","OK")))</f>
        <v/>
      </c>
    </row>
    <row r="7">
      <c r="A7" s="68" t="inlineStr">
        <is>
          <t>Frontend</t>
        </is>
      </c>
      <c r="B7" s="35">
        <f>SUMIFS(Капасити!$H$5:$H$147,Капасити!$A$5:$A$147,Параметры!$B$13,Капасити!$C$5:$C$147,A7)</f>
        <v/>
      </c>
      <c r="C7" s="35">
        <f>SUMIFS(Бэклог!$E$5:$E$44,Бэклог!$H$5:$H$44,A7,Бэклог!$M$5:$M$44,Параметры!$B$13)</f>
        <v/>
      </c>
      <c r="D7" s="60">
        <f>IFERROR(C7/B7,0)</f>
        <v/>
      </c>
      <c r="E7" s="47">
        <f>IF(B7=0,"—",IF(D7&gt;1,"Перегруз",IF(D7&gt;=0.9,"На пределе","OK")))</f>
        <v/>
      </c>
    </row>
    <row r="8">
      <c r="A8" s="68" t="inlineStr">
        <is>
          <t>QA</t>
        </is>
      </c>
      <c r="B8" s="35">
        <f>SUMIFS(Капасити!$H$5:$H$147,Капасити!$A$5:$A$147,Параметры!$B$13,Капасити!$C$5:$C$147,A8)</f>
        <v/>
      </c>
      <c r="C8" s="35">
        <f>SUMIFS(Бэклог!$E$5:$E$44,Бэклог!$H$5:$H$44,A8,Бэклог!$M$5:$M$44,Параметры!$B$13)</f>
        <v/>
      </c>
      <c r="D8" s="60">
        <f>IFERROR(C8/B8,0)</f>
        <v/>
      </c>
      <c r="E8" s="47">
        <f>IF(B8=0,"—",IF(D8&gt;1,"Перегруз",IF(D8&gt;=0.9,"На пределе","OK")))</f>
        <v/>
      </c>
    </row>
    <row r="9">
      <c r="A9" s="68" t="inlineStr">
        <is>
          <t>DevOps</t>
        </is>
      </c>
      <c r="B9" s="35">
        <f>SUMIFS(Капасити!$H$5:$H$147,Капасити!$A$5:$A$147,Параметры!$B$13,Капасити!$C$5:$C$147,A9)</f>
        <v/>
      </c>
      <c r="C9" s="35">
        <f>SUMIFS(Бэклог!$E$5:$E$44,Бэклог!$H$5:$H$44,A9,Бэклог!$M$5:$M$44,Параметры!$B$13)</f>
        <v/>
      </c>
      <c r="D9" s="60">
        <f>IFERROR(C9/B9,0)</f>
        <v/>
      </c>
      <c r="E9" s="47">
        <f>IF(B9=0,"—",IF(D9&gt;1,"Перегруз",IF(D9&gt;=0.9,"На пределе","OK")))</f>
        <v/>
      </c>
    </row>
    <row r="10">
      <c r="A10" s="68" t="inlineStr">
        <is>
          <t>Analyst</t>
        </is>
      </c>
      <c r="B10" s="35">
        <f>SUMIFS(Капасити!$H$5:$H$147,Капасити!$A$5:$A$147,Параметры!$B$13,Капасити!$C$5:$C$147,A10)</f>
        <v/>
      </c>
      <c r="C10" s="35">
        <f>SUMIFS(Бэклог!$E$5:$E$44,Бэклог!$H$5:$H$44,A10,Бэклог!$M$5:$M$44,Параметры!$B$13)</f>
        <v/>
      </c>
      <c r="D10" s="60">
        <f>IFERROR(C10/B10,0)</f>
        <v/>
      </c>
      <c r="E10" s="47">
        <f>IF(B10=0,"—",IF(D10&gt;1,"Перегруз",IF(D10&gt;=0.9,"На пределе","OK")))</f>
        <v/>
      </c>
    </row>
    <row r="11">
      <c r="A11" s="68" t="inlineStr">
        <is>
          <t>Designer</t>
        </is>
      </c>
      <c r="B11" s="35">
        <f>SUMIFS(Капасити!$H$5:$H$147,Капасити!$A$5:$A$147,Параметры!$B$13,Капасити!$C$5:$C$147,A11)</f>
        <v/>
      </c>
      <c r="C11" s="35">
        <f>SUMIFS(Бэклог!$E$5:$E$44,Бэклог!$H$5:$H$44,A11,Бэклог!$M$5:$M$44,Параметры!$B$13)</f>
        <v/>
      </c>
      <c r="D11" s="60">
        <f>IFERROR(C11/B11,0)</f>
        <v/>
      </c>
      <c r="E11" s="47">
        <f>IF(B11=0,"—",IF(D11&gt;1,"Перегруз",IF(D11&gt;=0.9,"На пределе","OK")))</f>
        <v/>
      </c>
    </row>
    <row r="12">
      <c r="A12" s="53" t="inlineStr">
        <is>
          <t>ИТОГО</t>
        </is>
      </c>
      <c r="B12" s="54">
        <f>SUM(B6:B11)</f>
        <v/>
      </c>
      <c r="C12" s="54">
        <f>SUM(C6:C11)</f>
        <v/>
      </c>
      <c r="D12" s="66">
        <f>IFERROR(C12/B12,0)</f>
        <v/>
      </c>
      <c r="E12" s="65" t="n"/>
    </row>
    <row r="15" ht="15.6" customHeight="1">
      <c r="A15" s="58" t="inlineStr">
        <is>
          <t>Капасити по ролям × спринтам (дн)</t>
        </is>
      </c>
    </row>
    <row r="16" ht="27.6" customHeight="1">
      <c r="A16" s="39" t="inlineStr">
        <is>
          <t>Спринт</t>
        </is>
      </c>
      <c r="B16" s="39" t="inlineStr">
        <is>
          <t>Backend</t>
        </is>
      </c>
      <c r="C16" s="39" t="inlineStr">
        <is>
          <t>Frontend</t>
        </is>
      </c>
      <c r="D16" s="39" t="inlineStr">
        <is>
          <t>QA</t>
        </is>
      </c>
      <c r="E16" s="39" t="inlineStr">
        <is>
          <t>DevOps</t>
        </is>
      </c>
      <c r="F16" s="39" t="inlineStr">
        <is>
          <t>Analyst</t>
        </is>
      </c>
      <c r="G16" s="39" t="inlineStr">
        <is>
          <t>Designer</t>
        </is>
      </c>
      <c r="H16" s="39" t="inlineStr">
        <is>
          <t>Итого</t>
        </is>
      </c>
    </row>
    <row r="17">
      <c r="A17" s="47" t="n">
        <v>1</v>
      </c>
      <c r="B17" s="69">
        <f>SUMIFS(Капасити!$H$5:$H$147,Капасити!$A$5:$A$147,$A17,Капасити!$C$5:$C$147,B$16)</f>
        <v/>
      </c>
      <c r="C17" s="69">
        <f>SUMIFS(Капасити!$H$5:$H$147,Капасити!$A$5:$A$147,$A17,Капасити!$C$5:$C$147,C$16)</f>
        <v/>
      </c>
      <c r="D17" s="69">
        <f>SUMIFS(Капасити!$H$5:$H$147,Капасити!$A$5:$A$147,$A17,Капасити!$C$5:$C$147,D$16)</f>
        <v/>
      </c>
      <c r="E17" s="69">
        <f>SUMIFS(Капасити!$H$5:$H$147,Капасити!$A$5:$A$147,$A17,Капасити!$C$5:$C$147,E$16)</f>
        <v/>
      </c>
      <c r="F17" s="69">
        <f>SUMIFS(Капасити!$H$5:$H$147,Капасити!$A$5:$A$147,$A17,Капасити!$C$5:$C$147,F$16)</f>
        <v/>
      </c>
      <c r="G17" s="69">
        <f>SUMIFS(Капасити!$H$5:$H$147,Капасити!$A$5:$A$147,$A17,Капасити!$C$5:$C$147,G$16)</f>
        <v/>
      </c>
      <c r="H17" s="48">
        <f>SUM(B17:G17)</f>
        <v/>
      </c>
    </row>
    <row r="18">
      <c r="A18" s="47" t="n">
        <v>2</v>
      </c>
      <c r="B18" s="69">
        <f>SUMIFS(Капасити!$H$5:$H$147,Капасити!$A$5:$A$147,$A18,Капасити!$C$5:$C$147,B$16)</f>
        <v/>
      </c>
      <c r="C18" s="69">
        <f>SUMIFS(Капасити!$H$5:$H$147,Капасити!$A$5:$A$147,$A18,Капасити!$C$5:$C$147,C$16)</f>
        <v/>
      </c>
      <c r="D18" s="69">
        <f>SUMIFS(Капасити!$H$5:$H$147,Капасити!$A$5:$A$147,$A18,Капасити!$C$5:$C$147,D$16)</f>
        <v/>
      </c>
      <c r="E18" s="69">
        <f>SUMIFS(Капасити!$H$5:$H$147,Капасити!$A$5:$A$147,$A18,Капасити!$C$5:$C$147,E$16)</f>
        <v/>
      </c>
      <c r="F18" s="69">
        <f>SUMIFS(Капасити!$H$5:$H$147,Капасити!$A$5:$A$147,$A18,Капасити!$C$5:$C$147,F$16)</f>
        <v/>
      </c>
      <c r="G18" s="69">
        <f>SUMIFS(Капасити!$H$5:$H$147,Капасити!$A$5:$A$147,$A18,Капасити!$C$5:$C$147,G$16)</f>
        <v/>
      </c>
      <c r="H18" s="48">
        <f>SUM(B18:G18)</f>
        <v/>
      </c>
    </row>
    <row r="19">
      <c r="A19" s="47" t="n">
        <v>3</v>
      </c>
      <c r="B19" s="69">
        <f>SUMIFS(Капасити!$H$5:$H$147,Капасити!$A$5:$A$147,$A19,Капасити!$C$5:$C$147,B$16)</f>
        <v/>
      </c>
      <c r="C19" s="69">
        <f>SUMIFS(Капасити!$H$5:$H$147,Капасити!$A$5:$A$147,$A19,Капасити!$C$5:$C$147,C$16)</f>
        <v/>
      </c>
      <c r="D19" s="69">
        <f>SUMIFS(Капасити!$H$5:$H$147,Капасити!$A$5:$A$147,$A19,Капасити!$C$5:$C$147,D$16)</f>
        <v/>
      </c>
      <c r="E19" s="69">
        <f>SUMIFS(Капасити!$H$5:$H$147,Капасити!$A$5:$A$147,$A19,Капасити!$C$5:$C$147,E$16)</f>
        <v/>
      </c>
      <c r="F19" s="69">
        <f>SUMIFS(Капасити!$H$5:$H$147,Капасити!$A$5:$A$147,$A19,Капасити!$C$5:$C$147,F$16)</f>
        <v/>
      </c>
      <c r="G19" s="69">
        <f>SUMIFS(Капасити!$H$5:$H$147,Капасити!$A$5:$A$147,$A19,Капасити!$C$5:$C$147,G$16)</f>
        <v/>
      </c>
      <c r="H19" s="48">
        <f>SUM(B19:G19)</f>
        <v/>
      </c>
    </row>
    <row r="20">
      <c r="A20" s="47" t="n">
        <v>4</v>
      </c>
      <c r="B20" s="69">
        <f>SUMIFS(Капасити!$H$5:$H$147,Капасити!$A$5:$A$147,$A20,Капасити!$C$5:$C$147,B$16)</f>
        <v/>
      </c>
      <c r="C20" s="69">
        <f>SUMIFS(Капасити!$H$5:$H$147,Капасити!$A$5:$A$147,$A20,Капасити!$C$5:$C$147,C$16)</f>
        <v/>
      </c>
      <c r="D20" s="69">
        <f>SUMIFS(Капасити!$H$5:$H$147,Капасити!$A$5:$A$147,$A20,Капасити!$C$5:$C$147,D$16)</f>
        <v/>
      </c>
      <c r="E20" s="69">
        <f>SUMIFS(Капасити!$H$5:$H$147,Капасити!$A$5:$A$147,$A20,Капасити!$C$5:$C$147,E$16)</f>
        <v/>
      </c>
      <c r="F20" s="69">
        <f>SUMIFS(Капасити!$H$5:$H$147,Капасити!$A$5:$A$147,$A20,Капасити!$C$5:$C$147,F$16)</f>
        <v/>
      </c>
      <c r="G20" s="69">
        <f>SUMIFS(Капасити!$H$5:$H$147,Капасити!$A$5:$A$147,$A20,Капасити!$C$5:$C$147,G$16)</f>
        <v/>
      </c>
      <c r="H20" s="48">
        <f>SUM(B20:G20)</f>
        <v/>
      </c>
    </row>
    <row r="21">
      <c r="A21" s="47" t="n">
        <v>5</v>
      </c>
      <c r="B21" s="69">
        <f>SUMIFS(Капасити!$H$5:$H$147,Капасити!$A$5:$A$147,$A21,Капасити!$C$5:$C$147,B$16)</f>
        <v/>
      </c>
      <c r="C21" s="69">
        <f>SUMIFS(Капасити!$H$5:$H$147,Капасити!$A$5:$A$147,$A21,Капасити!$C$5:$C$147,C$16)</f>
        <v/>
      </c>
      <c r="D21" s="69">
        <f>SUMIFS(Капасити!$H$5:$H$147,Капасити!$A$5:$A$147,$A21,Капасити!$C$5:$C$147,D$16)</f>
        <v/>
      </c>
      <c r="E21" s="69">
        <f>SUMIFS(Капасити!$H$5:$H$147,Капасити!$A$5:$A$147,$A21,Капасити!$C$5:$C$147,E$16)</f>
        <v/>
      </c>
      <c r="F21" s="69">
        <f>SUMIFS(Капасити!$H$5:$H$147,Капасити!$A$5:$A$147,$A21,Капасити!$C$5:$C$147,F$16)</f>
        <v/>
      </c>
      <c r="G21" s="69">
        <f>SUMIFS(Капасити!$H$5:$H$147,Капасити!$A$5:$A$147,$A21,Капасити!$C$5:$C$147,G$16)</f>
        <v/>
      </c>
      <c r="H21" s="48">
        <f>SUM(B21:G21)</f>
        <v/>
      </c>
    </row>
    <row r="22">
      <c r="A22" s="47" t="n">
        <v>6</v>
      </c>
      <c r="B22" s="69">
        <f>SUMIFS(Капасити!$H$5:$H$147,Капасити!$A$5:$A$147,$A22,Капасити!$C$5:$C$147,B$16)</f>
        <v/>
      </c>
      <c r="C22" s="69">
        <f>SUMIFS(Капасити!$H$5:$H$147,Капасити!$A$5:$A$147,$A22,Капасити!$C$5:$C$147,C$16)</f>
        <v/>
      </c>
      <c r="D22" s="69">
        <f>SUMIFS(Капасити!$H$5:$H$147,Капасити!$A$5:$A$147,$A22,Капасити!$C$5:$C$147,D$16)</f>
        <v/>
      </c>
      <c r="E22" s="69">
        <f>SUMIFS(Капасити!$H$5:$H$147,Капасити!$A$5:$A$147,$A22,Капасити!$C$5:$C$147,E$16)</f>
        <v/>
      </c>
      <c r="F22" s="69">
        <f>SUMIFS(Капасити!$H$5:$H$147,Капасити!$A$5:$A$147,$A22,Капасити!$C$5:$C$147,F$16)</f>
        <v/>
      </c>
      <c r="G22" s="69">
        <f>SUMIFS(Капасити!$H$5:$H$147,Капасити!$A$5:$A$147,$A22,Капасити!$C$5:$C$147,G$16)</f>
        <v/>
      </c>
      <c r="H22" s="48">
        <f>SUM(B22:G22)</f>
        <v/>
      </c>
    </row>
    <row r="23">
      <c r="A23" s="47" t="n">
        <v>7</v>
      </c>
      <c r="B23" s="69">
        <f>SUMIFS(Капасити!$H$5:$H$147,Капасити!$A$5:$A$147,$A23,Капасити!$C$5:$C$147,B$16)</f>
        <v/>
      </c>
      <c r="C23" s="69">
        <f>SUMIFS(Капасити!$H$5:$H$147,Капасити!$A$5:$A$147,$A23,Капасити!$C$5:$C$147,C$16)</f>
        <v/>
      </c>
      <c r="D23" s="69">
        <f>SUMIFS(Капасити!$H$5:$H$147,Капасити!$A$5:$A$147,$A23,Капасити!$C$5:$C$147,D$16)</f>
        <v/>
      </c>
      <c r="E23" s="69">
        <f>SUMIFS(Капасити!$H$5:$H$147,Капасити!$A$5:$A$147,$A23,Капасити!$C$5:$C$147,E$16)</f>
        <v/>
      </c>
      <c r="F23" s="69">
        <f>SUMIFS(Капасити!$H$5:$H$147,Капасити!$A$5:$A$147,$A23,Капасити!$C$5:$C$147,F$16)</f>
        <v/>
      </c>
      <c r="G23" s="69">
        <f>SUMIFS(Капасити!$H$5:$H$147,Капасити!$A$5:$A$147,$A23,Капасити!$C$5:$C$147,G$16)</f>
        <v/>
      </c>
      <c r="H23" s="48">
        <f>SUM(B23:G23)</f>
        <v/>
      </c>
    </row>
    <row r="24">
      <c r="A24" s="47" t="n">
        <v>8</v>
      </c>
      <c r="B24" s="69">
        <f>SUMIFS(Капасити!$H$5:$H$147,Капасити!$A$5:$A$147,$A24,Капасити!$C$5:$C$147,B$16)</f>
        <v/>
      </c>
      <c r="C24" s="69">
        <f>SUMIFS(Капасити!$H$5:$H$147,Капасити!$A$5:$A$147,$A24,Капасити!$C$5:$C$147,C$16)</f>
        <v/>
      </c>
      <c r="D24" s="69">
        <f>SUMIFS(Капасити!$H$5:$H$147,Капасити!$A$5:$A$147,$A24,Капасити!$C$5:$C$147,D$16)</f>
        <v/>
      </c>
      <c r="E24" s="69">
        <f>SUMIFS(Капасити!$H$5:$H$147,Капасити!$A$5:$A$147,$A24,Капасити!$C$5:$C$147,E$16)</f>
        <v/>
      </c>
      <c r="F24" s="69">
        <f>SUMIFS(Капасити!$H$5:$H$147,Капасити!$A$5:$A$147,$A24,Капасити!$C$5:$C$147,F$16)</f>
        <v/>
      </c>
      <c r="G24" s="69">
        <f>SUMIFS(Капасити!$H$5:$H$147,Капасити!$A$5:$A$147,$A24,Капасити!$C$5:$C$147,G$16)</f>
        <v/>
      </c>
      <c r="H24" s="48">
        <f>SUM(B24:G24)</f>
        <v/>
      </c>
    </row>
    <row r="25">
      <c r="A25" s="47" t="n">
        <v>9</v>
      </c>
      <c r="B25" s="69">
        <f>SUMIFS(Капасити!$H$5:$H$147,Капасити!$A$5:$A$147,$A25,Капасити!$C$5:$C$147,B$16)</f>
        <v/>
      </c>
      <c r="C25" s="69">
        <f>SUMIFS(Капасити!$H$5:$H$147,Капасити!$A$5:$A$147,$A25,Капасити!$C$5:$C$147,C$16)</f>
        <v/>
      </c>
      <c r="D25" s="69">
        <f>SUMIFS(Капасити!$H$5:$H$147,Капасити!$A$5:$A$147,$A25,Капасити!$C$5:$C$147,D$16)</f>
        <v/>
      </c>
      <c r="E25" s="69">
        <f>SUMIFS(Капасити!$H$5:$H$147,Капасити!$A$5:$A$147,$A25,Капасити!$C$5:$C$147,E$16)</f>
        <v/>
      </c>
      <c r="F25" s="69">
        <f>SUMIFS(Капасити!$H$5:$H$147,Капасити!$A$5:$A$147,$A25,Капасити!$C$5:$C$147,F$16)</f>
        <v/>
      </c>
      <c r="G25" s="69">
        <f>SUMIFS(Капасити!$H$5:$H$147,Капасити!$A$5:$A$147,$A25,Капасити!$C$5:$C$147,G$16)</f>
        <v/>
      </c>
      <c r="H25" s="48">
        <f>SUM(B25:G25)</f>
        <v/>
      </c>
    </row>
    <row r="26">
      <c r="A26" s="47" t="n">
        <v>10</v>
      </c>
      <c r="B26" s="69">
        <f>SUMIFS(Капасити!$H$5:$H$147,Капасити!$A$5:$A$147,$A26,Капасити!$C$5:$C$147,B$16)</f>
        <v/>
      </c>
      <c r="C26" s="69">
        <f>SUMIFS(Капасити!$H$5:$H$147,Капасити!$A$5:$A$147,$A26,Капасити!$C$5:$C$147,C$16)</f>
        <v/>
      </c>
      <c r="D26" s="69">
        <f>SUMIFS(Капасити!$H$5:$H$147,Капасити!$A$5:$A$147,$A26,Капасити!$C$5:$C$147,D$16)</f>
        <v/>
      </c>
      <c r="E26" s="69">
        <f>SUMIFS(Капасити!$H$5:$H$147,Капасити!$A$5:$A$147,$A26,Капасити!$C$5:$C$147,E$16)</f>
        <v/>
      </c>
      <c r="F26" s="69">
        <f>SUMIFS(Капасити!$H$5:$H$147,Капасити!$A$5:$A$147,$A26,Капасити!$C$5:$C$147,F$16)</f>
        <v/>
      </c>
      <c r="G26" s="69">
        <f>SUMIFS(Капасити!$H$5:$H$147,Капасити!$A$5:$A$147,$A26,Капасити!$C$5:$C$147,G$16)</f>
        <v/>
      </c>
      <c r="H26" s="48">
        <f>SUM(B26:G26)</f>
        <v/>
      </c>
    </row>
    <row r="27">
      <c r="A27" s="47" t="n">
        <v>11</v>
      </c>
      <c r="B27" s="69">
        <f>SUMIFS(Капасити!$H$5:$H$147,Капасити!$A$5:$A$147,$A27,Капасити!$C$5:$C$147,B$16)</f>
        <v/>
      </c>
      <c r="C27" s="69">
        <f>SUMIFS(Капасити!$H$5:$H$147,Капасити!$A$5:$A$147,$A27,Капасити!$C$5:$C$147,C$16)</f>
        <v/>
      </c>
      <c r="D27" s="69">
        <f>SUMIFS(Капасити!$H$5:$H$147,Капасити!$A$5:$A$147,$A27,Капасити!$C$5:$C$147,D$16)</f>
        <v/>
      </c>
      <c r="E27" s="69">
        <f>SUMIFS(Капасити!$H$5:$H$147,Капасити!$A$5:$A$147,$A27,Капасити!$C$5:$C$147,E$16)</f>
        <v/>
      </c>
      <c r="F27" s="69">
        <f>SUMIFS(Капасити!$H$5:$H$147,Капасити!$A$5:$A$147,$A27,Капасити!$C$5:$C$147,F$16)</f>
        <v/>
      </c>
      <c r="G27" s="69">
        <f>SUMIFS(Капасити!$H$5:$H$147,Капасити!$A$5:$A$147,$A27,Капасити!$C$5:$C$147,G$16)</f>
        <v/>
      </c>
      <c r="H27" s="48">
        <f>SUM(B27:G27)</f>
        <v/>
      </c>
    </row>
  </sheetData>
  <conditionalFormatting sqref="D6:D11">
    <cfRule type="cellIs" priority="1" operator="greaterThan" dxfId="2">
      <formula>1</formula>
    </cfRule>
    <cfRule type="cellIs" priority="2" operator="between" dxfId="1">
      <formula>0.9</formula>
      <formula>1</formula>
    </cfRule>
    <cfRule type="cellIs" priority="3" operator="lessThan" dxfId="0">
      <formula>0.9</formula>
    </cfRule>
  </conditionalFormatting>
  <pageMargins left="0.75" right="0.75" top="1" bottom="1" header="0.5" footer="0.5"/>
  <drawing xmlns:r="http://schemas.openxmlformats.org/officeDocument/2006/relationships" r:id="rId1"/>
</worksheet>
</file>

<file path=xl/worksheets/sheet21.xml><?xml version="1.0" encoding="utf-8"?>
<worksheet xmlns="http://schemas.openxmlformats.org/spreadsheetml/2006/main">
  <sheetPr>
    <outlinePr summaryBelow="1" summaryRight="1"/>
    <pageSetUpPr/>
  </sheetPr>
  <dimension ref="A1:U100"/>
  <sheetViews>
    <sheetView showGridLines="0" workbookViewId="0">
      <pane ySplit="4" topLeftCell="A11" activePane="bottomLeft" state="frozen"/>
      <selection activeCell="H8" sqref="H8"/>
      <selection pane="bottomLeft" activeCell="H8" sqref="H8"/>
    </sheetView>
  </sheetViews>
  <sheetFormatPr baseColWidth="8" defaultRowHeight="14.4"/>
  <cols>
    <col width="8" customWidth="1" min="1" max="1"/>
    <col width="34" customWidth="1" min="2" max="2"/>
    <col width="14" customWidth="1" min="3" max="3"/>
    <col width="11" customWidth="1" min="4" max="5"/>
    <col width="12" customWidth="1" min="6" max="6"/>
    <col width="11" customWidth="1" min="7" max="8"/>
    <col width="10" customWidth="1" min="9" max="9"/>
    <col width="15.88671875" customWidth="1" min="10" max="10"/>
    <col width="9" customWidth="1" min="11" max="12"/>
    <col width="8" customWidth="1" min="13" max="13"/>
    <col width="12" customWidth="1" min="14" max="14"/>
    <col width="10" customWidth="1" min="15" max="17"/>
    <col width="8" customWidth="1" min="18" max="19"/>
    <col width="9" customWidth="1" min="20" max="20"/>
    <col width="11" customWidth="1" min="21" max="21"/>
  </cols>
  <sheetData>
    <row r="1" ht="17.4" customHeight="1">
      <c r="A1" s="1" t="inlineStr">
        <is>
          <t>Бэклог спринта (задачи)</t>
        </is>
      </c>
    </row>
    <row r="2">
      <c r="A2" s="2" t="inlineStr">
        <is>
          <t>Оценка (дн) — трудоёмкость задачи в человеко-днях. Остаток пересчитывается по статусу («Готово» → 0).</t>
        </is>
      </c>
    </row>
    <row r="4" ht="27.6" customHeight="1">
      <c r="A4" s="3" t="inlineStr">
        <is>
          <t>ID</t>
        </is>
      </c>
      <c r="B4" s="3" t="inlineStr">
        <is>
          <t>Задача</t>
        </is>
      </c>
      <c r="C4" s="3" t="inlineStr">
        <is>
          <t>Исполнитель</t>
        </is>
      </c>
      <c r="D4" s="3" t="inlineStr">
        <is>
          <t>Приоритет</t>
        </is>
      </c>
      <c r="E4" s="3" t="inlineStr">
        <is>
          <t>Оценка (дн)</t>
        </is>
      </c>
      <c r="F4" s="3" t="inlineStr">
        <is>
          <t>Статус</t>
        </is>
      </c>
      <c r="G4" s="3" t="inlineStr">
        <is>
          <t>Остаток (дн)</t>
        </is>
      </c>
      <c r="H4" s="39" t="inlineStr">
        <is>
          <t>Роль</t>
        </is>
      </c>
      <c r="I4" s="39" t="inlineStr">
        <is>
          <t>Факт (дн)</t>
        </is>
      </c>
      <c r="J4" s="39" t="inlineStr">
        <is>
          <t>Точность
(Факт/Оценка)</t>
        </is>
      </c>
      <c r="K4" s="39" t="inlineStr">
        <is>
          <t>Блокер</t>
        </is>
      </c>
      <c r="L4" s="39" t="inlineStr">
        <is>
          <t>Дней
в блоке</t>
        </is>
      </c>
      <c r="M4" s="113" t="inlineStr">
        <is>
          <t>Спринт</t>
        </is>
      </c>
      <c r="N4" s="92" t="inlineStr">
        <is>
          <t>Добавлено
после старта</t>
        </is>
      </c>
      <c r="O4" s="92" t="inlineStr">
        <is>
          <t>Создана</t>
        </is>
      </c>
      <c r="P4" s="92" t="inlineStr">
        <is>
          <t>В работу</t>
        </is>
      </c>
      <c r="Q4" s="92" t="inlineStr">
        <is>
          <t>Готово</t>
        </is>
      </c>
      <c r="R4" s="92" t="inlineStr">
        <is>
          <t>Cycle
(дн)</t>
        </is>
      </c>
      <c r="S4" s="92" t="inlineStr">
        <is>
          <t>Lead
(дн)</t>
        </is>
      </c>
      <c r="T4" s="92" t="inlineStr">
        <is>
          <t>Возраст
WIP (дн)</t>
        </is>
      </c>
      <c r="U4" s="200" t="inlineStr">
        <is>
          <t>Тип</t>
        </is>
      </c>
    </row>
    <row r="5">
      <c r="A5" s="94" t="inlineStr">
        <is>
          <t>T-01</t>
        </is>
      </c>
      <c r="B5" s="95" t="inlineStr">
        <is>
          <t>Проектирование API заказов</t>
        </is>
      </c>
      <c r="C5" s="95" t="inlineStr">
        <is>
          <t>Иванов А.</t>
        </is>
      </c>
      <c r="D5" s="94" t="inlineStr">
        <is>
          <t>High</t>
        </is>
      </c>
      <c r="E5" s="96" t="n">
        <v>5</v>
      </c>
      <c r="F5" s="94" t="inlineStr">
        <is>
          <t>Готово</t>
        </is>
      </c>
      <c r="G5" s="23">
        <f>IF(F5="Готово",0,IF(E5="","",E5))</f>
        <v/>
      </c>
      <c r="H5" s="70">
        <f>IFERROR(INDEX(Капасити!$C$5:$C$147,MATCH($C5,Капасити!$B$5:$B$147,0)),"")</f>
        <v/>
      </c>
      <c r="I5" s="97" t="n">
        <v>6</v>
      </c>
      <c r="J5" s="72">
        <f>IF(AND(I5&lt;&gt;"",E5&lt;&gt;""),I5/E5,"")</f>
        <v/>
      </c>
      <c r="K5" s="50" t="inlineStr">
        <is>
          <t>Нет</t>
        </is>
      </c>
      <c r="L5" s="33" t="n"/>
      <c r="M5" s="98" t="n">
        <v>1</v>
      </c>
      <c r="N5" s="109" t="inlineStr">
        <is>
          <t>Нет</t>
        </is>
      </c>
      <c r="O5" s="128" t="n">
        <v>46233</v>
      </c>
      <c r="P5" s="128" t="n">
        <v>46237</v>
      </c>
      <c r="Q5" s="128" t="n">
        <v>46240</v>
      </c>
      <c r="R5" s="90">
        <f>IF(AND(Q5&lt;&gt;"",P5&lt;&gt;""),Q5-P5,"")</f>
        <v/>
      </c>
      <c r="S5" s="90">
        <f>IF(AND(Q5&lt;&gt;"",O5&lt;&gt;""),Q5-O5,"")</f>
        <v/>
      </c>
      <c r="T5" s="90">
        <f>IF(AND(F5="В работе",P5&lt;&gt;""),Параметры!$B$10-P5,"")</f>
        <v/>
      </c>
      <c r="U5" s="201" t="inlineStr">
        <is>
          <t>История</t>
        </is>
      </c>
    </row>
    <row r="6">
      <c r="A6" s="94" t="inlineStr">
        <is>
          <t>T-02</t>
        </is>
      </c>
      <c r="B6" s="95" t="inlineStr">
        <is>
          <t>Экран корзины (вёрстка)</t>
        </is>
      </c>
      <c r="C6" s="95" t="inlineStr">
        <is>
          <t>Петрова М.</t>
        </is>
      </c>
      <c r="D6" s="94" t="inlineStr">
        <is>
          <t>High</t>
        </is>
      </c>
      <c r="E6" s="96" t="n">
        <v>8</v>
      </c>
      <c r="F6" s="94" t="inlineStr">
        <is>
          <t>Готово</t>
        </is>
      </c>
      <c r="G6" s="23">
        <f>IF(F6="Готово",0,IF(E6="","",E6))</f>
        <v/>
      </c>
      <c r="H6" s="70">
        <f>IFERROR(INDEX(Капасити!$C$5:$C$147,MATCH($C6,Капасити!$B$5:$B$147,0)),"")</f>
        <v/>
      </c>
      <c r="I6" s="97" t="n">
        <v>8</v>
      </c>
      <c r="J6" s="72">
        <f>IF(AND(I6&lt;&gt;"",E6&lt;&gt;""),I6/E6,"")</f>
        <v/>
      </c>
      <c r="K6" s="50" t="inlineStr">
        <is>
          <t>Нет</t>
        </is>
      </c>
      <c r="L6" s="33" t="n"/>
      <c r="M6" s="98" t="n">
        <v>1</v>
      </c>
      <c r="N6" s="109" t="inlineStr">
        <is>
          <t>Нет</t>
        </is>
      </c>
      <c r="O6" s="128" t="n">
        <v>46233</v>
      </c>
      <c r="P6" s="128" t="n">
        <v>46238</v>
      </c>
      <c r="Q6" s="128" t="n">
        <v>46246</v>
      </c>
      <c r="R6" s="90">
        <f>IF(AND(Q6&lt;&gt;"",P6&lt;&gt;""),Q6-P6,"")</f>
        <v/>
      </c>
      <c r="S6" s="90">
        <f>IF(AND(Q6&lt;&gt;"",O6&lt;&gt;""),Q6-O6,"")</f>
        <v/>
      </c>
      <c r="T6" s="90">
        <f>IF(AND(F6="В работе",P6&lt;&gt;""),Параметры!$B$10-P6,"")</f>
        <v/>
      </c>
      <c r="U6" s="201" t="inlineStr">
        <is>
          <t>Задача</t>
        </is>
      </c>
    </row>
    <row r="7">
      <c r="A7" s="94" t="inlineStr">
        <is>
          <t>T-09</t>
        </is>
      </c>
      <c r="B7" s="95" t="inlineStr">
        <is>
          <t>Настройка CI/CD</t>
        </is>
      </c>
      <c r="C7" s="95" t="inlineStr">
        <is>
          <t>Новиков А.</t>
        </is>
      </c>
      <c r="D7" s="94" t="inlineStr">
        <is>
          <t>Medium</t>
        </is>
      </c>
      <c r="E7" s="96" t="n">
        <v>4</v>
      </c>
      <c r="F7" s="94" t="inlineStr">
        <is>
          <t>Готово</t>
        </is>
      </c>
      <c r="G7" s="23">
        <f>IF(F7="Готово",0,IF(E7="","",E7))</f>
        <v/>
      </c>
      <c r="H7" s="70">
        <f>IFERROR(INDEX(Капасити!$C$5:$C$147,MATCH($C7,Капасити!$B$5:$B$147,0)),"")</f>
        <v/>
      </c>
      <c r="I7" s="97" t="n">
        <v>5</v>
      </c>
      <c r="J7" s="72">
        <f>IF(AND(I7&lt;&gt;"",E7&lt;&gt;""),I7/E7,"")</f>
        <v/>
      </c>
      <c r="K7" s="50" t="inlineStr">
        <is>
          <t>Нет</t>
        </is>
      </c>
      <c r="L7" s="33" t="n"/>
      <c r="M7" s="98" t="n">
        <v>1</v>
      </c>
      <c r="N7" s="109" t="inlineStr">
        <is>
          <t>Нет</t>
        </is>
      </c>
      <c r="O7" s="128" t="n">
        <v>46234</v>
      </c>
      <c r="P7" s="128" t="n">
        <v>46237</v>
      </c>
      <c r="Q7" s="128" t="n">
        <v>46239</v>
      </c>
      <c r="R7" s="90">
        <f>IF(AND(Q7&lt;&gt;"",P7&lt;&gt;""),Q7-P7,"")</f>
        <v/>
      </c>
      <c r="S7" s="90">
        <f>IF(AND(Q7&lt;&gt;"",O7&lt;&gt;""),Q7-O7,"")</f>
        <v/>
      </c>
      <c r="T7" s="90">
        <f>IF(AND(F7="В работе",P7&lt;&gt;""),Параметры!$B$10-P7,"")</f>
        <v/>
      </c>
      <c r="U7" s="201" t="inlineStr">
        <is>
          <t>Задача</t>
        </is>
      </c>
    </row>
    <row r="8">
      <c r="A8" s="94" t="inlineStr">
        <is>
          <t>T-10</t>
        </is>
      </c>
      <c r="B8" s="95" t="inlineStr">
        <is>
          <t>Модель данных заказа</t>
        </is>
      </c>
      <c r="C8" s="95" t="inlineStr">
        <is>
          <t>Кузнецов Д.</t>
        </is>
      </c>
      <c r="D8" s="94" t="inlineStr">
        <is>
          <t>High</t>
        </is>
      </c>
      <c r="E8" s="96" t="n">
        <v>5</v>
      </c>
      <c r="F8" s="94" t="inlineStr">
        <is>
          <t>В работе</t>
        </is>
      </c>
      <c r="G8" s="23">
        <f>IF(F8="Готово",0,IF(E8="","",E8))</f>
        <v/>
      </c>
      <c r="H8" s="70">
        <f>IFERROR(INDEX(Капасити!$C$5:$C$147,MATCH($C8,Капасити!$B$5:$B$147,0)),"")</f>
        <v/>
      </c>
      <c r="I8" s="97" t="n"/>
      <c r="J8" s="72">
        <f>IF(AND(I8&lt;&gt;"",E8&lt;&gt;""),I8/E8,"")</f>
        <v/>
      </c>
      <c r="K8" s="50" t="inlineStr">
        <is>
          <t>Нет</t>
        </is>
      </c>
      <c r="L8" s="33" t="n"/>
      <c r="M8" s="98" t="n">
        <v>1</v>
      </c>
      <c r="N8" s="109" t="inlineStr">
        <is>
          <t>Нет</t>
        </is>
      </c>
      <c r="O8" s="128" t="n">
        <v>46234</v>
      </c>
      <c r="P8" s="128" t="n">
        <v>46239</v>
      </c>
      <c r="Q8" s="129" t="n"/>
      <c r="R8" s="90">
        <f>IF(AND(Q8&lt;&gt;"",P8&lt;&gt;""),Q8-P8,"")</f>
        <v/>
      </c>
      <c r="S8" s="90">
        <f>IF(AND(Q8&lt;&gt;"",O8&lt;&gt;""),Q8-O8,"")</f>
        <v/>
      </c>
      <c r="T8" s="90">
        <f>IF(AND(F8="В работе",P8&lt;&gt;""),Параметры!$B$10-P8,"")</f>
        <v/>
      </c>
      <c r="U8" s="201" t="inlineStr">
        <is>
          <t>История</t>
        </is>
      </c>
    </row>
    <row r="9">
      <c r="A9" s="94" t="inlineStr">
        <is>
          <t>T-03</t>
        </is>
      </c>
      <c r="B9" s="95" t="inlineStr">
        <is>
          <t>Интеграция платежей</t>
        </is>
      </c>
      <c r="C9" s="95" t="inlineStr">
        <is>
          <t>Иванов А.</t>
        </is>
      </c>
      <c r="D9" s="94" t="inlineStr">
        <is>
          <t>High</t>
        </is>
      </c>
      <c r="E9" s="96" t="n">
        <v>8</v>
      </c>
      <c r="F9" s="94" t="inlineStr">
        <is>
          <t>Готово</t>
        </is>
      </c>
      <c r="G9" s="23">
        <f>IF(F9="Готово",0,IF(E9="","",E9))</f>
        <v/>
      </c>
      <c r="H9" s="70">
        <f>IFERROR(INDEX(Капасити!$C$5:$C$147,MATCH($C9,Капасити!$B$5:$B$147,0)),"")</f>
        <v/>
      </c>
      <c r="I9" s="97" t="n">
        <v>9</v>
      </c>
      <c r="J9" s="72">
        <f>IF(AND(I9&lt;&gt;"",E9&lt;&gt;""),I9/E9,"")</f>
        <v/>
      </c>
      <c r="K9" s="50" t="inlineStr">
        <is>
          <t>Нет</t>
        </is>
      </c>
      <c r="L9" s="33" t="n"/>
      <c r="M9" s="98" t="n">
        <v>2</v>
      </c>
      <c r="N9" s="109" t="inlineStr">
        <is>
          <t>Нет</t>
        </is>
      </c>
      <c r="O9" s="128" t="n">
        <v>46244</v>
      </c>
      <c r="P9" s="128" t="n">
        <v>46251</v>
      </c>
      <c r="Q9" s="128" t="n">
        <v>46258</v>
      </c>
      <c r="R9" s="90">
        <f>IF(AND(Q9&lt;&gt;"",P9&lt;&gt;""),Q9-P9,"")</f>
        <v/>
      </c>
      <c r="S9" s="90">
        <f>IF(AND(Q9&lt;&gt;"",O9&lt;&gt;""),Q9-O9,"")</f>
        <v/>
      </c>
      <c r="T9" s="90">
        <f>IF(AND(F9="В работе",P9&lt;&gt;""),Параметры!$B$10-P9,"")</f>
        <v/>
      </c>
      <c r="U9" s="201" t="inlineStr">
        <is>
          <t>Задача</t>
        </is>
      </c>
    </row>
    <row r="10">
      <c r="A10" s="94" t="inlineStr">
        <is>
          <t>T-04</t>
        </is>
      </c>
      <c r="B10" s="95" t="inlineStr">
        <is>
          <t>Тест-кейсы оформления</t>
        </is>
      </c>
      <c r="C10" s="95" t="inlineStr">
        <is>
          <t>Сидоров К.</t>
        </is>
      </c>
      <c r="D10" s="94" t="inlineStr">
        <is>
          <t>Medium</t>
        </is>
      </c>
      <c r="E10" s="96" t="n">
        <v>4</v>
      </c>
      <c r="F10" s="94" t="inlineStr">
        <is>
          <t>Готово</t>
        </is>
      </c>
      <c r="G10" s="23">
        <f>IF(F10="Готово",0,IF(E10="","",E10))</f>
        <v/>
      </c>
      <c r="H10" s="70">
        <f>IFERROR(INDEX(Капасити!$C$5:$C$147,MATCH($C10,Капасити!$B$5:$B$147,0)),"")</f>
        <v/>
      </c>
      <c r="I10" s="97" t="n">
        <v>4</v>
      </c>
      <c r="J10" s="72">
        <f>IF(AND(I10&lt;&gt;"",E10&lt;&gt;""),I10/E10,"")</f>
        <v/>
      </c>
      <c r="K10" s="50" t="inlineStr">
        <is>
          <t>Нет</t>
        </is>
      </c>
      <c r="L10" s="33" t="n"/>
      <c r="M10" s="98" t="n">
        <v>2</v>
      </c>
      <c r="N10" s="109" t="inlineStr">
        <is>
          <t>Нет</t>
        </is>
      </c>
      <c r="O10" s="128" t="n">
        <v>46246</v>
      </c>
      <c r="P10" s="128" t="n">
        <v>46252</v>
      </c>
      <c r="Q10" s="128" t="n">
        <v>46254</v>
      </c>
      <c r="R10" s="90">
        <f>IF(AND(Q10&lt;&gt;"",P10&lt;&gt;""),Q10-P10,"")</f>
        <v/>
      </c>
      <c r="S10" s="90">
        <f>IF(AND(Q10&lt;&gt;"",O10&lt;&gt;""),Q10-O10,"")</f>
        <v/>
      </c>
      <c r="T10" s="90">
        <f>IF(AND(F10="В работе",P10&lt;&gt;""),Параметры!$B$10-P10,"")</f>
        <v/>
      </c>
      <c r="U10" s="201" t="inlineStr">
        <is>
          <t>Тех.долг</t>
        </is>
      </c>
    </row>
    <row r="11">
      <c r="A11" s="94" t="inlineStr">
        <is>
          <t>T-08</t>
        </is>
      </c>
      <c r="B11" s="95" t="inlineStr">
        <is>
          <t>Уведомления по e-mail</t>
        </is>
      </c>
      <c r="C11" s="95" t="inlineStr">
        <is>
          <t>Смирнов П.</t>
        </is>
      </c>
      <c r="D11" s="94" t="inlineStr">
        <is>
          <t>Low</t>
        </is>
      </c>
      <c r="E11" s="96" t="n">
        <v>4</v>
      </c>
      <c r="F11" s="94" t="inlineStr">
        <is>
          <t>Готово</t>
        </is>
      </c>
      <c r="G11" s="23">
        <f>IF(F11="Готово",0,IF(E11="","",E11))</f>
        <v/>
      </c>
      <c r="H11" s="70">
        <f>IFERROR(INDEX(Капасити!$C$5:$C$147,MATCH($C11,Капасити!$B$5:$B$147,0)),"")</f>
        <v/>
      </c>
      <c r="I11" s="97" t="n">
        <v>4</v>
      </c>
      <c r="J11" s="72">
        <f>IF(AND(I11&lt;&gt;"",E11&lt;&gt;""),I11/E11,"")</f>
        <v/>
      </c>
      <c r="K11" s="50" t="inlineStr">
        <is>
          <t>Нет</t>
        </is>
      </c>
      <c r="L11" s="33" t="n"/>
      <c r="M11" s="98" t="n">
        <v>2</v>
      </c>
      <c r="N11" s="109" t="inlineStr">
        <is>
          <t>Нет</t>
        </is>
      </c>
      <c r="O11" s="128" t="n">
        <v>46246</v>
      </c>
      <c r="P11" s="128" t="n">
        <v>46253</v>
      </c>
      <c r="Q11" s="128" t="n">
        <v>46260</v>
      </c>
      <c r="R11" s="90">
        <f>IF(AND(Q11&lt;&gt;"",P11&lt;&gt;""),Q11-P11,"")</f>
        <v/>
      </c>
      <c r="S11" s="90">
        <f>IF(AND(Q11&lt;&gt;"",O11&lt;&gt;""),Q11-O11,"")</f>
        <v/>
      </c>
      <c r="T11" s="90">
        <f>IF(AND(F11="В работе",P11&lt;&gt;""),Параметры!$B$10-P11,"")</f>
        <v/>
      </c>
      <c r="U11" s="201" t="inlineStr">
        <is>
          <t>Задача</t>
        </is>
      </c>
    </row>
    <row r="12">
      <c r="A12" s="94" t="inlineStr">
        <is>
          <t>T-11</t>
        </is>
      </c>
      <c r="B12" s="95" t="inlineStr">
        <is>
          <t>API промокодов</t>
        </is>
      </c>
      <c r="C12" s="95" t="inlineStr">
        <is>
          <t>Козлов В.</t>
        </is>
      </c>
      <c r="D12" s="94" t="inlineStr">
        <is>
          <t>Medium</t>
        </is>
      </c>
      <c r="E12" s="96" t="n">
        <v>5</v>
      </c>
      <c r="F12" s="94" t="inlineStr">
        <is>
          <t>Готово</t>
        </is>
      </c>
      <c r="G12" s="23">
        <f>IF(F12="Готово",0,IF(E12="","",E12))</f>
        <v/>
      </c>
      <c r="H12" s="70">
        <f>IFERROR(INDEX(Капасити!$C$5:$C$147,MATCH($C12,Капасити!$B$5:$B$147,0)),"")</f>
        <v/>
      </c>
      <c r="I12" s="97" t="n">
        <v>5</v>
      </c>
      <c r="J12" s="72">
        <f>IF(AND(I12&lt;&gt;"",E12&lt;&gt;""),I12/E12,"")</f>
        <v/>
      </c>
      <c r="K12" s="50" t="inlineStr">
        <is>
          <t>Нет</t>
        </is>
      </c>
      <c r="L12" s="33" t="n"/>
      <c r="M12" s="98" t="n">
        <v>2</v>
      </c>
      <c r="N12" s="109" t="inlineStr">
        <is>
          <t>Нет</t>
        </is>
      </c>
      <c r="O12" s="128" t="n">
        <v>46245</v>
      </c>
      <c r="P12" s="128" t="n">
        <v>46251</v>
      </c>
      <c r="Q12" s="128" t="n">
        <v>46259</v>
      </c>
      <c r="R12" s="90">
        <f>IF(AND(Q12&lt;&gt;"",P12&lt;&gt;""),Q12-P12,"")</f>
        <v/>
      </c>
      <c r="S12" s="90">
        <f>IF(AND(Q12&lt;&gt;"",O12&lt;&gt;""),Q12-O12,"")</f>
        <v/>
      </c>
      <c r="T12" s="90">
        <f>IF(AND(F12="В работе",P12&lt;&gt;""),Параметры!$B$10-P12,"")</f>
        <v/>
      </c>
      <c r="U12" s="201" t="inlineStr">
        <is>
          <t>История</t>
        </is>
      </c>
    </row>
    <row r="13">
      <c r="A13" s="94" t="inlineStr">
        <is>
          <t>T-12</t>
        </is>
      </c>
      <c r="B13" s="95" t="inlineStr">
        <is>
          <t>Логирование и метрики</t>
        </is>
      </c>
      <c r="C13" s="95" t="inlineStr">
        <is>
          <t>Новиков А.</t>
        </is>
      </c>
      <c r="D13" s="94" t="inlineStr">
        <is>
          <t>Low</t>
        </is>
      </c>
      <c r="E13" s="96" t="n">
        <v>3</v>
      </c>
      <c r="F13" s="94" t="inlineStr">
        <is>
          <t>To Do</t>
        </is>
      </c>
      <c r="G13" s="23">
        <f>IF(F13="Готово",0,IF(E13="","",E13))</f>
        <v/>
      </c>
      <c r="H13" s="70">
        <f>IFERROR(INDEX(Капасити!$C$5:$C$147,MATCH($C13,Капасити!$B$5:$B$147,0)),"")</f>
        <v/>
      </c>
      <c r="I13" s="97" t="n"/>
      <c r="J13" s="72">
        <f>IF(AND(I13&lt;&gt;"",E13&lt;&gt;""),I13/E13,"")</f>
        <v/>
      </c>
      <c r="K13" s="50" t="inlineStr">
        <is>
          <t>Нет</t>
        </is>
      </c>
      <c r="L13" s="33" t="n"/>
      <c r="M13" s="98" t="n">
        <v>2</v>
      </c>
      <c r="N13" s="109" t="inlineStr">
        <is>
          <t>Нет</t>
        </is>
      </c>
      <c r="O13" s="129" t="n"/>
      <c r="P13" s="129" t="n"/>
      <c r="Q13" s="129" t="n"/>
      <c r="R13" s="90">
        <f>IF(AND(Q13&lt;&gt;"",P13&lt;&gt;""),Q13-P13,"")</f>
        <v/>
      </c>
      <c r="S13" s="90">
        <f>IF(AND(Q13&lt;&gt;"",O13&lt;&gt;""),Q13-O13,"")</f>
        <v/>
      </c>
      <c r="T13" s="90">
        <f>IF(AND(F13="В работе",P13&lt;&gt;""),Параметры!$B$10-P13,"")</f>
        <v/>
      </c>
      <c r="U13" s="201" t="inlineStr">
        <is>
          <t>Задача</t>
        </is>
      </c>
    </row>
    <row r="14">
      <c r="A14" s="94" t="inlineStr">
        <is>
          <t>T-05</t>
        </is>
      </c>
      <c r="B14" s="95" t="inlineStr">
        <is>
          <t>Рефакторинг авторизации</t>
        </is>
      </c>
      <c r="C14" s="95" t="inlineStr">
        <is>
          <t>Кузнецов Д.</t>
        </is>
      </c>
      <c r="D14" s="94" t="inlineStr">
        <is>
          <t>Medium</t>
        </is>
      </c>
      <c r="E14" s="96" t="n">
        <v>3</v>
      </c>
      <c r="F14" s="94" t="inlineStr">
        <is>
          <t>В работе</t>
        </is>
      </c>
      <c r="G14" s="23">
        <f>IF(F14="Готово",0,IF(E14="","",E14))</f>
        <v/>
      </c>
      <c r="H14" s="70">
        <f>IFERROR(INDEX(Капасити!$C$5:$C$147,MATCH($C14,Капасити!$B$5:$B$147,0)),"")</f>
        <v/>
      </c>
      <c r="I14" s="97" t="n"/>
      <c r="J14" s="72">
        <f>IF(AND(I14&lt;&gt;"",E14&lt;&gt;""),I14/E14,"")</f>
        <v/>
      </c>
      <c r="K14" s="50" t="inlineStr">
        <is>
          <t>Нет</t>
        </is>
      </c>
      <c r="L14" s="33" t="n"/>
      <c r="M14" s="98" t="n">
        <v>3</v>
      </c>
      <c r="N14" s="109" t="inlineStr">
        <is>
          <t>Нет</t>
        </is>
      </c>
      <c r="O14" s="128" t="n">
        <v>46262</v>
      </c>
      <c r="P14" s="128" t="n">
        <v>46267</v>
      </c>
      <c r="Q14" s="129" t="n"/>
      <c r="R14" s="90">
        <f>IF(AND(Q14&lt;&gt;"",P14&lt;&gt;""),Q14-P14,"")</f>
        <v/>
      </c>
      <c r="S14" s="90">
        <f>IF(AND(Q14&lt;&gt;"",O14&lt;&gt;""),Q14-O14,"")</f>
        <v/>
      </c>
      <c r="T14" s="90">
        <f>IF(AND(F14="В работе",P14&lt;&gt;""),Параметры!$B$10-P14,"")</f>
        <v/>
      </c>
      <c r="U14" s="201" t="inlineStr">
        <is>
          <t>Задача</t>
        </is>
      </c>
    </row>
    <row r="15">
      <c r="A15" s="94" t="inlineStr">
        <is>
          <t>T-06</t>
        </is>
      </c>
      <c r="B15" s="95" t="inlineStr">
        <is>
          <t>Аналитика воронки</t>
        </is>
      </c>
      <c r="C15" s="95" t="inlineStr">
        <is>
          <t>Орлова Е.</t>
        </is>
      </c>
      <c r="D15" s="94" t="inlineStr">
        <is>
          <t>Low</t>
        </is>
      </c>
      <c r="E15" s="96" t="n">
        <v>3</v>
      </c>
      <c r="F15" s="94" t="inlineStr">
        <is>
          <t>To Do</t>
        </is>
      </c>
      <c r="G15" s="23">
        <f>IF(F15="Готово",0,IF(E15="","",E15))</f>
        <v/>
      </c>
      <c r="H15" s="70">
        <f>IFERROR(INDEX(Капасити!$C$5:$C$147,MATCH($C15,Капасити!$B$5:$B$147,0)),"")</f>
        <v/>
      </c>
      <c r="I15" s="97" t="n"/>
      <c r="J15" s="72">
        <f>IF(AND(I15&lt;&gt;"",E15&lt;&gt;""),I15/E15,"")</f>
        <v/>
      </c>
      <c r="K15" s="50" t="inlineStr">
        <is>
          <t>Нет</t>
        </is>
      </c>
      <c r="L15" s="33" t="n"/>
      <c r="M15" s="98" t="n">
        <v>3</v>
      </c>
      <c r="N15" s="109" t="inlineStr">
        <is>
          <t>Да</t>
        </is>
      </c>
      <c r="O15" s="129" t="n"/>
      <c r="P15" s="129" t="n"/>
      <c r="Q15" s="129" t="n"/>
      <c r="R15" s="90">
        <f>IF(AND(Q15&lt;&gt;"",P15&lt;&gt;""),Q15-P15,"")</f>
        <v/>
      </c>
      <c r="S15" s="90">
        <f>IF(AND(Q15&lt;&gt;"",O15&lt;&gt;""),Q15-O15,"")</f>
        <v/>
      </c>
      <c r="T15" s="90">
        <f>IF(AND(F15="В работе",P15&lt;&gt;""),Параметры!$B$10-P15,"")</f>
        <v/>
      </c>
      <c r="U15" s="201" t="inlineStr">
        <is>
          <t>История</t>
        </is>
      </c>
    </row>
    <row r="16">
      <c r="A16" s="94" t="inlineStr">
        <is>
          <t>T-07</t>
        </is>
      </c>
      <c r="B16" s="95" t="inlineStr">
        <is>
          <t>Регресс-тестирование релиза</t>
        </is>
      </c>
      <c r="C16" s="95" t="inlineStr">
        <is>
          <t>Сидоров К.</t>
        </is>
      </c>
      <c r="D16" s="94" t="inlineStr">
        <is>
          <t>Medium</t>
        </is>
      </c>
      <c r="E16" s="96" t="n">
        <v>5</v>
      </c>
      <c r="F16" s="94" t="inlineStr">
        <is>
          <t>To Do</t>
        </is>
      </c>
      <c r="G16" s="23">
        <f>IF(F16="Готово",0,IF(E16="","",E16))</f>
        <v/>
      </c>
      <c r="H16" s="70">
        <f>IFERROR(INDEX(Капасити!$C$5:$C$147,MATCH($C16,Капасити!$B$5:$B$147,0)),"")</f>
        <v/>
      </c>
      <c r="I16" s="97" t="n"/>
      <c r="J16" s="72">
        <f>IF(AND(I16&lt;&gt;"",E16&lt;&gt;""),I16/E16,"")</f>
        <v/>
      </c>
      <c r="K16" s="50" t="inlineStr">
        <is>
          <t>Нет</t>
        </is>
      </c>
      <c r="L16" s="33" t="n"/>
      <c r="M16" s="98" t="n">
        <v>3</v>
      </c>
      <c r="N16" s="109" t="inlineStr">
        <is>
          <t>Нет</t>
        </is>
      </c>
      <c r="O16" s="129" t="n"/>
      <c r="P16" s="129" t="n"/>
      <c r="Q16" s="129" t="n"/>
      <c r="R16" s="90">
        <f>IF(AND(Q16&lt;&gt;"",P16&lt;&gt;""),Q16-P16,"")</f>
        <v/>
      </c>
      <c r="S16" s="90">
        <f>IF(AND(Q16&lt;&gt;"",O16&lt;&gt;""),Q16-O16,"")</f>
        <v/>
      </c>
      <c r="T16" s="90">
        <f>IF(AND(F16="В работе",P16&lt;&gt;""),Параметры!$B$10-P16,"")</f>
        <v/>
      </c>
      <c r="U16" s="201" t="inlineStr">
        <is>
          <t>Задача</t>
        </is>
      </c>
    </row>
    <row r="17">
      <c r="A17" s="94" t="inlineStr">
        <is>
          <t>T-13</t>
        </is>
      </c>
      <c r="B17" s="95" t="inlineStr">
        <is>
          <t>Экран оплаты</t>
        </is>
      </c>
      <c r="C17" s="95" t="inlineStr">
        <is>
          <t>Волкова Н.</t>
        </is>
      </c>
      <c r="D17" s="94" t="inlineStr">
        <is>
          <t>High</t>
        </is>
      </c>
      <c r="E17" s="96" t="n">
        <v>8</v>
      </c>
      <c r="F17" s="94" t="inlineStr">
        <is>
          <t>В работе</t>
        </is>
      </c>
      <c r="G17" s="23">
        <f>IF(F17="Готово",0,IF(E17="","",E17))</f>
        <v/>
      </c>
      <c r="H17" s="70">
        <f>IFERROR(INDEX(Капасити!$C$5:$C$147,MATCH($C17,Капасити!$B$5:$B$147,0)),"")</f>
        <v/>
      </c>
      <c r="I17" s="97" t="n"/>
      <c r="J17" s="72">
        <f>IF(AND(I17&lt;&gt;"",E17&lt;&gt;""),I17/E17,"")</f>
        <v/>
      </c>
      <c r="K17" s="50" t="inlineStr">
        <is>
          <t>Нет</t>
        </is>
      </c>
      <c r="L17" s="33" t="n"/>
      <c r="M17" s="98" t="n">
        <v>3</v>
      </c>
      <c r="N17" s="109" t="inlineStr">
        <is>
          <t>Нет</t>
        </is>
      </c>
      <c r="O17" s="128" t="n">
        <v>46262</v>
      </c>
      <c r="P17" s="128" t="n">
        <v>46266</v>
      </c>
      <c r="Q17" s="129" t="n"/>
      <c r="R17" s="90">
        <f>IF(AND(Q17&lt;&gt;"",P17&lt;&gt;""),Q17-P17,"")</f>
        <v/>
      </c>
      <c r="S17" s="90">
        <f>IF(AND(Q17&lt;&gt;"",O17&lt;&gt;""),Q17-O17,"")</f>
        <v/>
      </c>
      <c r="T17" s="90">
        <f>IF(AND(F17="В работе",P17&lt;&gt;""),Параметры!$B$10-P17,"")</f>
        <v/>
      </c>
      <c r="U17" s="201" t="inlineStr">
        <is>
          <t>Задача</t>
        </is>
      </c>
    </row>
    <row r="18">
      <c r="A18" s="94" t="inlineStr">
        <is>
          <t>T-14</t>
        </is>
      </c>
      <c r="B18" s="95" t="inlineStr">
        <is>
          <t>Вебхуки платежей</t>
        </is>
      </c>
      <c r="C18" s="95" t="inlineStr">
        <is>
          <t>Иванов А.</t>
        </is>
      </c>
      <c r="D18" s="94" t="inlineStr">
        <is>
          <t>High</t>
        </is>
      </c>
      <c r="E18" s="96" t="n">
        <v>5</v>
      </c>
      <c r="F18" s="94" t="inlineStr">
        <is>
          <t>To Do</t>
        </is>
      </c>
      <c r="G18" s="23">
        <f>IF(F18="Готово",0,IF(E18="","",E18))</f>
        <v/>
      </c>
      <c r="H18" s="70">
        <f>IFERROR(INDEX(Капасити!$C$5:$C$147,MATCH($C18,Капасити!$B$5:$B$147,0)),"")</f>
        <v/>
      </c>
      <c r="I18" s="97" t="n"/>
      <c r="J18" s="72">
        <f>IF(AND(I18&lt;&gt;"",E18&lt;&gt;""),I18/E18,"")</f>
        <v/>
      </c>
      <c r="K18" s="99" t="inlineStr">
        <is>
          <t>Да</t>
        </is>
      </c>
      <c r="L18" s="100" t="n">
        <v>1</v>
      </c>
      <c r="M18" s="98" t="n">
        <v>3</v>
      </c>
      <c r="N18" s="109" t="inlineStr">
        <is>
          <t>Да</t>
        </is>
      </c>
      <c r="O18" s="129" t="n"/>
      <c r="P18" s="129" t="n"/>
      <c r="Q18" s="129" t="n"/>
      <c r="R18" s="90">
        <f>IF(AND(Q18&lt;&gt;"",P18&lt;&gt;""),Q18-P18,"")</f>
        <v/>
      </c>
      <c r="S18" s="90">
        <f>IF(AND(Q18&lt;&gt;"",O18&lt;&gt;""),Q18-O18,"")</f>
        <v/>
      </c>
      <c r="T18" s="90">
        <f>IF(AND(F18="В работе",P18&lt;&gt;""),Параметры!$B$10-P18,"")</f>
        <v/>
      </c>
      <c r="U18" s="201" t="inlineStr">
        <is>
          <t>История</t>
        </is>
      </c>
    </row>
    <row r="19">
      <c r="A19" s="94" t="inlineStr">
        <is>
          <t>T-15</t>
        </is>
      </c>
      <c r="B19" s="95" t="inlineStr">
        <is>
          <t>История заказов</t>
        </is>
      </c>
      <c r="C19" s="95" t="inlineStr">
        <is>
          <t>Соколов Р.</t>
        </is>
      </c>
      <c r="D19" s="94" t="inlineStr">
        <is>
          <t>Medium</t>
        </is>
      </c>
      <c r="E19" s="96" t="n">
        <v>5</v>
      </c>
      <c r="F19" s="94" t="inlineStr">
        <is>
          <t>To Do</t>
        </is>
      </c>
      <c r="G19" s="23">
        <f>IF(F19="Готово",0,IF(E19="","",E19))</f>
        <v/>
      </c>
      <c r="H19" s="70">
        <f>IFERROR(INDEX(Капасити!$C$5:$C$147,MATCH($C19,Капасити!$B$5:$B$147,0)),"")</f>
        <v/>
      </c>
      <c r="I19" s="97" t="n"/>
      <c r="J19" s="72">
        <f>IF(AND(I19&lt;&gt;"",E19&lt;&gt;""),I19/E19,"")</f>
        <v/>
      </c>
      <c r="K19" s="50" t="inlineStr">
        <is>
          <t>Нет</t>
        </is>
      </c>
      <c r="L19" s="33" t="n"/>
      <c r="M19" s="98" t="n">
        <v>3</v>
      </c>
      <c r="N19" s="109" t="inlineStr">
        <is>
          <t>Нет</t>
        </is>
      </c>
      <c r="O19" s="129" t="n"/>
      <c r="P19" s="129" t="n"/>
      <c r="Q19" s="129" t="n"/>
      <c r="R19" s="90">
        <f>IF(AND(Q19&lt;&gt;"",P19&lt;&gt;""),Q19-P19,"")</f>
        <v/>
      </c>
      <c r="S19" s="90">
        <f>IF(AND(Q19&lt;&gt;"",O19&lt;&gt;""),Q19-O19,"")</f>
        <v/>
      </c>
      <c r="T19" s="90">
        <f>IF(AND(F19="В работе",P19&lt;&gt;""),Параметры!$B$10-P19,"")</f>
        <v/>
      </c>
      <c r="U19" s="201" t="inlineStr">
        <is>
          <t>Задача</t>
        </is>
      </c>
    </row>
    <row r="20">
      <c r="A20" s="94" t="inlineStr">
        <is>
          <t>T-16</t>
        </is>
      </c>
      <c r="B20" s="95" t="inlineStr">
        <is>
          <t>Личный кабинет</t>
        </is>
      </c>
      <c r="C20" s="95" t="inlineStr">
        <is>
          <t>Волкова Н.</t>
        </is>
      </c>
      <c r="D20" s="94" t="inlineStr">
        <is>
          <t>Medium</t>
        </is>
      </c>
      <c r="E20" s="96" t="n">
        <v>8</v>
      </c>
      <c r="F20" s="94" t="inlineStr">
        <is>
          <t>To Do</t>
        </is>
      </c>
      <c r="G20" s="23">
        <f>IF(F20="Готово",0,IF(E20="","",E20))</f>
        <v/>
      </c>
      <c r="H20" s="70">
        <f>IFERROR(INDEX(Капасити!$C$5:$C$147,MATCH($C20,Капасити!$B$5:$B$147,0)),"")</f>
        <v/>
      </c>
      <c r="I20" s="97" t="n"/>
      <c r="J20" s="72">
        <f>IF(AND(I20&lt;&gt;"",E20&lt;&gt;""),I20/E20,"")</f>
        <v/>
      </c>
      <c r="K20" s="50" t="inlineStr">
        <is>
          <t>Нет</t>
        </is>
      </c>
      <c r="L20" s="33" t="n"/>
      <c r="M20" s="98" t="n">
        <v>4</v>
      </c>
      <c r="N20" s="109" t="inlineStr">
        <is>
          <t>Нет</t>
        </is>
      </c>
      <c r="O20" s="129" t="n"/>
      <c r="P20" s="129" t="n"/>
      <c r="Q20" s="129" t="n"/>
      <c r="R20" s="90">
        <f>IF(AND(Q20&lt;&gt;"",P20&lt;&gt;""),Q20-P20,"")</f>
        <v/>
      </c>
      <c r="S20" s="90">
        <f>IF(AND(Q20&lt;&gt;"",O20&lt;&gt;""),Q20-O20,"")</f>
        <v/>
      </c>
      <c r="T20" s="90">
        <f>IF(AND(F20="В работе",P20&lt;&gt;""),Параметры!$B$10-P20,"")</f>
        <v/>
      </c>
      <c r="U20" s="201" t="inlineStr">
        <is>
          <t>Задача</t>
        </is>
      </c>
    </row>
    <row r="21">
      <c r="A21" s="94" t="inlineStr">
        <is>
          <t>T-17</t>
        </is>
      </c>
      <c r="B21" s="95" t="inlineStr">
        <is>
          <t>Фильтры каталога</t>
        </is>
      </c>
      <c r="C21" s="95" t="inlineStr">
        <is>
          <t>Морозов И.</t>
        </is>
      </c>
      <c r="D21" s="94" t="inlineStr">
        <is>
          <t>Medium</t>
        </is>
      </c>
      <c r="E21" s="96" t="n">
        <v>6</v>
      </c>
      <c r="F21" s="94" t="inlineStr">
        <is>
          <t>To Do</t>
        </is>
      </c>
      <c r="G21" s="23">
        <f>IF(F21="Готово",0,IF(E21="","",E21))</f>
        <v/>
      </c>
      <c r="H21" s="70">
        <f>IFERROR(INDEX(Капасити!$C$5:$C$147,MATCH($C21,Капасити!$B$5:$B$147,0)),"")</f>
        <v/>
      </c>
      <c r="I21" s="97" t="n"/>
      <c r="J21" s="72">
        <f>IF(AND(I21&lt;&gt;"",E21&lt;&gt;""),I21/E21,"")</f>
        <v/>
      </c>
      <c r="K21" s="50" t="inlineStr">
        <is>
          <t>Нет</t>
        </is>
      </c>
      <c r="L21" s="33" t="n"/>
      <c r="M21" s="98" t="n">
        <v>4</v>
      </c>
      <c r="N21" s="109" t="inlineStr">
        <is>
          <t>Нет</t>
        </is>
      </c>
      <c r="O21" s="129" t="n"/>
      <c r="P21" s="129" t="n"/>
      <c r="Q21" s="129" t="n"/>
      <c r="R21" s="90">
        <f>IF(AND(Q21&lt;&gt;"",P21&lt;&gt;""),Q21-P21,"")</f>
        <v/>
      </c>
      <c r="S21" s="90">
        <f>IF(AND(Q21&lt;&gt;"",O21&lt;&gt;""),Q21-O21,"")</f>
        <v/>
      </c>
      <c r="T21" s="90">
        <f>IF(AND(F21="В работе",P21&lt;&gt;""),Параметры!$B$10-P21,"")</f>
        <v/>
      </c>
      <c r="U21" s="201" t="inlineStr">
        <is>
          <t>История</t>
        </is>
      </c>
    </row>
    <row r="22">
      <c r="A22" s="94" t="inlineStr">
        <is>
          <t>T-18</t>
        </is>
      </c>
      <c r="B22" s="95" t="inlineStr">
        <is>
          <t>Отзывы и рейтинги</t>
        </is>
      </c>
      <c r="C22" s="95" t="inlineStr">
        <is>
          <t>Лебедева Т.</t>
        </is>
      </c>
      <c r="D22" s="94" t="inlineStr">
        <is>
          <t>Low</t>
        </is>
      </c>
      <c r="E22" s="96" t="n">
        <v>5</v>
      </c>
      <c r="F22" s="94" t="inlineStr">
        <is>
          <t>To Do</t>
        </is>
      </c>
      <c r="G22" s="23">
        <f>IF(F22="Готово",0,IF(E22="","",E22))</f>
        <v/>
      </c>
      <c r="H22" s="70">
        <f>IFERROR(INDEX(Капасити!$C$5:$C$147,MATCH($C22,Капасити!$B$5:$B$147,0)),"")</f>
        <v/>
      </c>
      <c r="I22" s="97" t="n"/>
      <c r="J22" s="72">
        <f>IF(AND(I22&lt;&gt;"",E22&lt;&gt;""),I22/E22,"")</f>
        <v/>
      </c>
      <c r="K22" s="50" t="inlineStr">
        <is>
          <t>Нет</t>
        </is>
      </c>
      <c r="L22" s="33" t="n"/>
      <c r="M22" s="98" t="n">
        <v>4</v>
      </c>
      <c r="N22" s="109" t="inlineStr">
        <is>
          <t>Нет</t>
        </is>
      </c>
      <c r="O22" s="129" t="n"/>
      <c r="P22" s="129" t="n"/>
      <c r="Q22" s="129" t="n"/>
      <c r="R22" s="90">
        <f>IF(AND(Q22&lt;&gt;"",P22&lt;&gt;""),Q22-P22,"")</f>
        <v/>
      </c>
      <c r="S22" s="90">
        <f>IF(AND(Q22&lt;&gt;"",O22&lt;&gt;""),Q22-O22,"")</f>
        <v/>
      </c>
      <c r="T22" s="90">
        <f>IF(AND(F22="В работе",P22&lt;&gt;""),Параметры!$B$10-P22,"")</f>
        <v/>
      </c>
      <c r="U22" s="201" t="inlineStr">
        <is>
          <t>Тех.долг</t>
        </is>
      </c>
    </row>
    <row r="23">
      <c r="A23" s="94" t="inlineStr">
        <is>
          <t>T-19</t>
        </is>
      </c>
      <c r="B23" s="95" t="inlineStr">
        <is>
          <t>Рекомендации</t>
        </is>
      </c>
      <c r="C23" s="95" t="inlineStr">
        <is>
          <t>Фёдорова О.</t>
        </is>
      </c>
      <c r="D23" s="94" t="inlineStr">
        <is>
          <t>Low</t>
        </is>
      </c>
      <c r="E23" s="96" t="n">
        <v>8</v>
      </c>
      <c r="F23" s="94" t="inlineStr">
        <is>
          <t>To Do</t>
        </is>
      </c>
      <c r="G23" s="23">
        <f>IF(F23="Готово",0,IF(E23="","",E23))</f>
        <v/>
      </c>
      <c r="H23" s="70">
        <f>IFERROR(INDEX(Капасити!$C$5:$C$147,MATCH($C23,Капасити!$B$5:$B$147,0)),"")</f>
        <v/>
      </c>
      <c r="I23" s="97" t="n"/>
      <c r="J23" s="72">
        <f>IF(AND(I23&lt;&gt;"",E23&lt;&gt;""),I23/E23,"")</f>
        <v/>
      </c>
      <c r="K23" s="50" t="inlineStr">
        <is>
          <t>Нет</t>
        </is>
      </c>
      <c r="L23" s="33" t="n"/>
      <c r="M23" s="98" t="n">
        <v>5</v>
      </c>
      <c r="N23" s="109" t="inlineStr">
        <is>
          <t>Нет</t>
        </is>
      </c>
      <c r="O23" s="129" t="n"/>
      <c r="P23" s="129" t="n"/>
      <c r="Q23" s="129" t="n"/>
      <c r="R23" s="90">
        <f>IF(AND(Q23&lt;&gt;"",P23&lt;&gt;""),Q23-P23,"")</f>
        <v/>
      </c>
      <c r="S23" s="90">
        <f>IF(AND(Q23&lt;&gt;"",O23&lt;&gt;""),Q23-O23,"")</f>
        <v/>
      </c>
      <c r="T23" s="90">
        <f>IF(AND(F23="В работе",P23&lt;&gt;""),Параметры!$B$10-P23,"")</f>
        <v/>
      </c>
      <c r="U23" s="201" t="inlineStr">
        <is>
          <t>История</t>
        </is>
      </c>
    </row>
    <row r="24">
      <c r="A24" s="94" t="inlineStr">
        <is>
          <t>T-20</t>
        </is>
      </c>
      <c r="B24" s="95" t="inlineStr">
        <is>
          <t>A/B тесты чекаута</t>
        </is>
      </c>
      <c r="C24" s="95" t="inlineStr">
        <is>
          <t>Морозов И.</t>
        </is>
      </c>
      <c r="D24" s="94" t="inlineStr">
        <is>
          <t>Medium</t>
        </is>
      </c>
      <c r="E24" s="96" t="n">
        <v>5</v>
      </c>
      <c r="F24" s="94" t="inlineStr">
        <is>
          <t>To Do</t>
        </is>
      </c>
      <c r="G24" s="23">
        <f>IF(F24="Готово",0,IF(E24="","",E24))</f>
        <v/>
      </c>
      <c r="H24" s="70">
        <f>IFERROR(INDEX(Капасити!$C$5:$C$147,MATCH($C24,Капасити!$B$5:$B$147,0)),"")</f>
        <v/>
      </c>
      <c r="I24" s="97" t="n"/>
      <c r="J24" s="72">
        <f>IF(AND(I24&lt;&gt;"",E24&lt;&gt;""),I24/E24,"")</f>
        <v/>
      </c>
      <c r="K24" s="50" t="inlineStr">
        <is>
          <t>Нет</t>
        </is>
      </c>
      <c r="L24" s="33" t="n"/>
      <c r="M24" s="98" t="n">
        <v>5</v>
      </c>
      <c r="N24" s="109" t="inlineStr">
        <is>
          <t>Нет</t>
        </is>
      </c>
      <c r="O24" s="129" t="n"/>
      <c r="P24" s="129" t="n"/>
      <c r="Q24" s="129" t="n"/>
      <c r="R24" s="90">
        <f>IF(AND(Q24&lt;&gt;"",P24&lt;&gt;""),Q24-P24,"")</f>
        <v/>
      </c>
      <c r="S24" s="90">
        <f>IF(AND(Q24&lt;&gt;"",O24&lt;&gt;""),Q24-O24,"")</f>
        <v/>
      </c>
      <c r="T24" s="90">
        <f>IF(AND(F24="В работе",P24&lt;&gt;""),Параметры!$B$10-P24,"")</f>
        <v/>
      </c>
      <c r="U24" s="201" t="inlineStr">
        <is>
          <t>Задача</t>
        </is>
      </c>
    </row>
    <row r="25">
      <c r="A25" s="5" t="n"/>
      <c r="B25" s="13" t="n"/>
      <c r="C25" s="13" t="n"/>
      <c r="D25" s="5" t="n"/>
      <c r="E25" s="24" t="n"/>
      <c r="F25" s="5" t="n"/>
      <c r="G25" s="23">
        <f>IF(F25="Готово",0,IF(E25="","",E25))</f>
        <v/>
      </c>
      <c r="H25" s="70">
        <f>IFERROR(INDEX(Капасити!$C$5:$C$147,MATCH($C25,Капасити!$B$5:$B$147,0)),"")</f>
        <v/>
      </c>
      <c r="I25" s="71" t="n"/>
      <c r="J25" s="72">
        <f>IF(AND(I25&lt;&gt;"",E25&lt;&gt;""),I25/E25,"")</f>
        <v/>
      </c>
      <c r="K25" s="50" t="inlineStr">
        <is>
          <t>Нет</t>
        </is>
      </c>
      <c r="L25" s="33" t="n"/>
      <c r="M25" s="101" t="n"/>
      <c r="N25" s="109" t="n"/>
      <c r="O25" s="129" t="n"/>
      <c r="P25" s="129" t="n"/>
      <c r="Q25" s="129" t="n"/>
      <c r="R25" s="90">
        <f>IF(AND(Q25&lt;&gt;"",P25&lt;&gt;""),Q25-P25,"")</f>
        <v/>
      </c>
      <c r="S25" s="90">
        <f>IF(AND(Q25&lt;&gt;"",O25&lt;&gt;""),Q25-O25,"")</f>
        <v/>
      </c>
      <c r="T25" s="90">
        <f>IF(AND(F25="В работе",P25&lt;&gt;""),Параметры!$B$10-P25,"")</f>
        <v/>
      </c>
      <c r="U25" s="211" t="n"/>
    </row>
    <row r="26">
      <c r="A26" s="5" t="n"/>
      <c r="B26" s="13" t="n"/>
      <c r="C26" s="13" t="n"/>
      <c r="D26" s="5" t="n"/>
      <c r="E26" s="24" t="n"/>
      <c r="F26" s="5" t="n"/>
      <c r="G26" s="23">
        <f>IF(F26="Готово",0,IF(E26="","",E26))</f>
        <v/>
      </c>
      <c r="H26" s="70">
        <f>IFERROR(INDEX(Капасити!$C$5:$C$147,MATCH($C26,Капасити!$B$5:$B$147,0)),"")</f>
        <v/>
      </c>
      <c r="I26" s="71" t="n"/>
      <c r="J26" s="72">
        <f>IF(AND(I26&lt;&gt;"",E26&lt;&gt;""),I26/E26,"")</f>
        <v/>
      </c>
      <c r="K26" s="50" t="inlineStr">
        <is>
          <t>Нет</t>
        </is>
      </c>
      <c r="L26" s="33" t="n"/>
      <c r="M26" s="101" t="n"/>
      <c r="N26" s="109" t="n"/>
      <c r="O26" s="129" t="n"/>
      <c r="P26" s="129" t="n"/>
      <c r="Q26" s="129" t="n"/>
      <c r="R26" s="90">
        <f>IF(AND(Q26&lt;&gt;"",P26&lt;&gt;""),Q26-P26,"")</f>
        <v/>
      </c>
      <c r="S26" s="90">
        <f>IF(AND(Q26&lt;&gt;"",O26&lt;&gt;""),Q26-O26,"")</f>
        <v/>
      </c>
      <c r="T26" s="90">
        <f>IF(AND(F26="В работе",P26&lt;&gt;""),Параметры!$B$10-P26,"")</f>
        <v/>
      </c>
      <c r="U26" s="211" t="n"/>
    </row>
    <row r="27">
      <c r="A27" s="5" t="n"/>
      <c r="B27" s="13" t="n"/>
      <c r="C27" s="13" t="n"/>
      <c r="D27" s="5" t="n"/>
      <c r="E27" s="24" t="n"/>
      <c r="F27" s="5" t="n"/>
      <c r="G27" s="23">
        <f>IF(F27="Готово",0,IF(E27="","",E27))</f>
        <v/>
      </c>
      <c r="H27" s="70">
        <f>IFERROR(INDEX(Капасити!$C$5:$C$147,MATCH($C27,Капасити!$B$5:$B$147,0)),"")</f>
        <v/>
      </c>
      <c r="I27" s="71" t="n"/>
      <c r="J27" s="72">
        <f>IF(AND(I27&lt;&gt;"",E27&lt;&gt;""),I27/E27,"")</f>
        <v/>
      </c>
      <c r="K27" s="50" t="inlineStr">
        <is>
          <t>Нет</t>
        </is>
      </c>
      <c r="L27" s="33" t="n"/>
      <c r="M27" s="101" t="n"/>
      <c r="N27" s="109" t="n"/>
      <c r="O27" s="129" t="n"/>
      <c r="P27" s="129" t="n"/>
      <c r="Q27" s="129" t="n"/>
      <c r="R27" s="90">
        <f>IF(AND(Q27&lt;&gt;"",P27&lt;&gt;""),Q27-P27,"")</f>
        <v/>
      </c>
      <c r="S27" s="90">
        <f>IF(AND(Q27&lt;&gt;"",O27&lt;&gt;""),Q27-O27,"")</f>
        <v/>
      </c>
      <c r="T27" s="90">
        <f>IF(AND(F27="В работе",P27&lt;&gt;""),Параметры!$B$10-P27,"")</f>
        <v/>
      </c>
      <c r="U27" s="211" t="n"/>
    </row>
    <row r="28">
      <c r="A28" s="5" t="n"/>
      <c r="B28" s="13" t="n"/>
      <c r="C28" s="13" t="n"/>
      <c r="D28" s="5" t="n"/>
      <c r="E28" s="24" t="n"/>
      <c r="F28" s="5" t="n"/>
      <c r="G28" s="23">
        <f>IF(F28="Готово",0,IF(E28="","",E28))</f>
        <v/>
      </c>
      <c r="H28" s="70">
        <f>IFERROR(INDEX(Капасити!$C$5:$C$147,MATCH($C28,Капасити!$B$5:$B$147,0)),"")</f>
        <v/>
      </c>
      <c r="I28" s="71" t="n"/>
      <c r="J28" s="72">
        <f>IF(AND(I28&lt;&gt;"",E28&lt;&gt;""),I28/E28,"")</f>
        <v/>
      </c>
      <c r="K28" s="50" t="inlineStr">
        <is>
          <t>Нет</t>
        </is>
      </c>
      <c r="L28" s="33" t="n"/>
      <c r="M28" s="101" t="n"/>
      <c r="N28" s="109" t="n"/>
      <c r="O28" s="129" t="n"/>
      <c r="P28" s="129" t="n"/>
      <c r="Q28" s="129" t="n"/>
      <c r="R28" s="90">
        <f>IF(AND(Q28&lt;&gt;"",P28&lt;&gt;""),Q28-P28,"")</f>
        <v/>
      </c>
      <c r="S28" s="90">
        <f>IF(AND(Q28&lt;&gt;"",O28&lt;&gt;""),Q28-O28,"")</f>
        <v/>
      </c>
      <c r="T28" s="90">
        <f>IF(AND(F28="В работе",P28&lt;&gt;""),Параметры!$B$10-P28,"")</f>
        <v/>
      </c>
      <c r="U28" s="211" t="n"/>
    </row>
    <row r="29">
      <c r="A29" s="5" t="n"/>
      <c r="B29" s="13" t="n"/>
      <c r="C29" s="13" t="n"/>
      <c r="D29" s="5" t="n"/>
      <c r="E29" s="24" t="n"/>
      <c r="F29" s="5" t="n"/>
      <c r="G29" s="23">
        <f>IF(F29="Готово",0,IF(E29="","",E29))</f>
        <v/>
      </c>
      <c r="H29" s="70">
        <f>IFERROR(INDEX(Капасити!$C$5:$C$147,MATCH($C29,Капасити!$B$5:$B$147,0)),"")</f>
        <v/>
      </c>
      <c r="I29" s="71" t="n"/>
      <c r="J29" s="72">
        <f>IF(AND(I29&lt;&gt;"",E29&lt;&gt;""),I29/E29,"")</f>
        <v/>
      </c>
      <c r="K29" s="50" t="inlineStr">
        <is>
          <t>Нет</t>
        </is>
      </c>
      <c r="L29" s="33" t="n"/>
      <c r="M29" s="101" t="n"/>
      <c r="N29" s="109" t="n"/>
      <c r="O29" s="129" t="n"/>
      <c r="P29" s="129" t="n"/>
      <c r="Q29" s="129" t="n"/>
      <c r="R29" s="90">
        <f>IF(AND(Q29&lt;&gt;"",P29&lt;&gt;""),Q29-P29,"")</f>
        <v/>
      </c>
      <c r="S29" s="90">
        <f>IF(AND(Q29&lt;&gt;"",O29&lt;&gt;""),Q29-O29,"")</f>
        <v/>
      </c>
      <c r="T29" s="90">
        <f>IF(AND(F29="В работе",P29&lt;&gt;""),Параметры!$B$10-P29,"")</f>
        <v/>
      </c>
      <c r="U29" s="211" t="n"/>
    </row>
    <row r="30">
      <c r="A30" s="5" t="n"/>
      <c r="B30" s="13" t="n"/>
      <c r="C30" s="13" t="n"/>
      <c r="D30" s="5" t="n"/>
      <c r="E30" s="24" t="n"/>
      <c r="F30" s="5" t="n"/>
      <c r="G30" s="23">
        <f>IF(F30="Готово",0,IF(E30="","",E30))</f>
        <v/>
      </c>
      <c r="H30" s="70">
        <f>IFERROR(INDEX(Капасити!$C$5:$C$147,MATCH($C30,Капасити!$B$5:$B$147,0)),"")</f>
        <v/>
      </c>
      <c r="I30" s="71" t="n"/>
      <c r="J30" s="72">
        <f>IF(AND(I30&lt;&gt;"",E30&lt;&gt;""),I30/E30,"")</f>
        <v/>
      </c>
      <c r="K30" s="50" t="inlineStr">
        <is>
          <t>Нет</t>
        </is>
      </c>
      <c r="L30" s="33" t="n"/>
      <c r="M30" s="101" t="n"/>
      <c r="N30" s="109" t="n"/>
      <c r="O30" s="129" t="n"/>
      <c r="P30" s="129" t="n"/>
      <c r="Q30" s="129" t="n"/>
      <c r="R30" s="90">
        <f>IF(AND(Q30&lt;&gt;"",P30&lt;&gt;""),Q30-P30,"")</f>
        <v/>
      </c>
      <c r="S30" s="90">
        <f>IF(AND(Q30&lt;&gt;"",O30&lt;&gt;""),Q30-O30,"")</f>
        <v/>
      </c>
      <c r="T30" s="90">
        <f>IF(AND(F30="В работе",P30&lt;&gt;""),Параметры!$B$10-P30,"")</f>
        <v/>
      </c>
      <c r="U30" s="211" t="n"/>
    </row>
    <row r="31">
      <c r="A31" s="5" t="n"/>
      <c r="B31" s="13" t="n"/>
      <c r="C31" s="13" t="n"/>
      <c r="D31" s="5" t="n"/>
      <c r="E31" s="24" t="n"/>
      <c r="F31" s="5" t="n"/>
      <c r="G31" s="23">
        <f>IF(F31="Готово",0,IF(E31="","",E31))</f>
        <v/>
      </c>
      <c r="H31" s="70">
        <f>IFERROR(INDEX(Капасити!$C$5:$C$147,MATCH($C31,Капасити!$B$5:$B$147,0)),"")</f>
        <v/>
      </c>
      <c r="I31" s="71" t="n"/>
      <c r="J31" s="72">
        <f>IF(AND(I31&lt;&gt;"",E31&lt;&gt;""),I31/E31,"")</f>
        <v/>
      </c>
      <c r="K31" s="50" t="inlineStr">
        <is>
          <t>Нет</t>
        </is>
      </c>
      <c r="L31" s="33" t="n"/>
      <c r="M31" s="101" t="n"/>
      <c r="N31" s="109" t="n"/>
      <c r="O31" s="129" t="n"/>
      <c r="P31" s="129" t="n"/>
      <c r="Q31" s="129" t="n"/>
      <c r="R31" s="90">
        <f>IF(AND(Q31&lt;&gt;"",P31&lt;&gt;""),Q31-P31,"")</f>
        <v/>
      </c>
      <c r="S31" s="90">
        <f>IF(AND(Q31&lt;&gt;"",O31&lt;&gt;""),Q31-O31,"")</f>
        <v/>
      </c>
      <c r="T31" s="90">
        <f>IF(AND(F31="В работе",P31&lt;&gt;""),Параметры!$B$10-P31,"")</f>
        <v/>
      </c>
      <c r="U31" s="211" t="n"/>
    </row>
    <row r="32">
      <c r="A32" s="5" t="n"/>
      <c r="B32" s="13" t="n"/>
      <c r="C32" s="13" t="n"/>
      <c r="D32" s="5" t="n"/>
      <c r="E32" s="24" t="n"/>
      <c r="F32" s="5" t="n"/>
      <c r="G32" s="23">
        <f>IF(F32="Готово",0,IF(E32="","",E32))</f>
        <v/>
      </c>
      <c r="H32" s="70">
        <f>IFERROR(INDEX(Капасити!$C$5:$C$147,MATCH($C32,Капасити!$B$5:$B$147,0)),"")</f>
        <v/>
      </c>
      <c r="I32" s="71" t="n"/>
      <c r="J32" s="72">
        <f>IF(AND(I32&lt;&gt;"",E32&lt;&gt;""),I32/E32,"")</f>
        <v/>
      </c>
      <c r="K32" s="50" t="inlineStr">
        <is>
          <t>Нет</t>
        </is>
      </c>
      <c r="L32" s="33" t="n"/>
      <c r="M32" s="101" t="n"/>
      <c r="N32" s="109" t="n"/>
      <c r="O32" s="129" t="n"/>
      <c r="P32" s="129" t="n"/>
      <c r="Q32" s="129" t="n"/>
      <c r="R32" s="90">
        <f>IF(AND(Q32&lt;&gt;"",P32&lt;&gt;""),Q32-P32,"")</f>
        <v/>
      </c>
      <c r="S32" s="90">
        <f>IF(AND(Q32&lt;&gt;"",O32&lt;&gt;""),Q32-O32,"")</f>
        <v/>
      </c>
      <c r="T32" s="90">
        <f>IF(AND(F32="В работе",P32&lt;&gt;""),Параметры!$B$10-P32,"")</f>
        <v/>
      </c>
      <c r="U32" s="211" t="n"/>
    </row>
    <row r="33">
      <c r="A33" s="5" t="n"/>
      <c r="B33" s="13" t="n"/>
      <c r="C33" s="13" t="n"/>
      <c r="D33" s="5" t="n"/>
      <c r="E33" s="24" t="n"/>
      <c r="F33" s="5" t="n"/>
      <c r="G33" s="23">
        <f>IF(F33="Готово",0,IF(E33="","",E33))</f>
        <v/>
      </c>
      <c r="H33" s="70">
        <f>IFERROR(INDEX(Капасити!$C$5:$C$147,MATCH($C33,Капасити!$B$5:$B$147,0)),"")</f>
        <v/>
      </c>
      <c r="I33" s="71" t="n"/>
      <c r="J33" s="72">
        <f>IF(AND(I33&lt;&gt;"",E33&lt;&gt;""),I33/E33,"")</f>
        <v/>
      </c>
      <c r="K33" s="50" t="inlineStr">
        <is>
          <t>Нет</t>
        </is>
      </c>
      <c r="L33" s="33" t="n"/>
      <c r="M33" s="101" t="n"/>
      <c r="N33" s="109" t="n"/>
      <c r="O33" s="129" t="n"/>
      <c r="P33" s="129" t="n"/>
      <c r="Q33" s="129" t="n"/>
      <c r="R33" s="90">
        <f>IF(AND(Q33&lt;&gt;"",P33&lt;&gt;""),Q33-P33,"")</f>
        <v/>
      </c>
      <c r="S33" s="90">
        <f>IF(AND(Q33&lt;&gt;"",O33&lt;&gt;""),Q33-O33,"")</f>
        <v/>
      </c>
      <c r="T33" s="90">
        <f>IF(AND(F33="В работе",P33&lt;&gt;""),Параметры!$B$10-P33,"")</f>
        <v/>
      </c>
      <c r="U33" s="211" t="n"/>
    </row>
    <row r="34">
      <c r="A34" s="5" t="n"/>
      <c r="B34" s="13" t="n"/>
      <c r="C34" s="13" t="n"/>
      <c r="D34" s="5" t="n"/>
      <c r="E34" s="24" t="n"/>
      <c r="F34" s="5" t="n"/>
      <c r="G34" s="23">
        <f>IF(F34="Готово",0,IF(E34="","",E34))</f>
        <v/>
      </c>
      <c r="H34" s="70">
        <f>IFERROR(INDEX(Капасити!$C$5:$C$147,MATCH($C34,Капасити!$B$5:$B$147,0)),"")</f>
        <v/>
      </c>
      <c r="I34" s="71" t="n"/>
      <c r="J34" s="72">
        <f>IF(AND(I34&lt;&gt;"",E34&lt;&gt;""),I34/E34,"")</f>
        <v/>
      </c>
      <c r="K34" s="50" t="inlineStr">
        <is>
          <t>Нет</t>
        </is>
      </c>
      <c r="L34" s="33" t="n"/>
      <c r="M34" s="101" t="n"/>
      <c r="N34" s="109" t="n"/>
      <c r="O34" s="129" t="n"/>
      <c r="P34" s="129" t="n"/>
      <c r="Q34" s="129" t="n"/>
      <c r="R34" s="90">
        <f>IF(AND(Q34&lt;&gt;"",P34&lt;&gt;""),Q34-P34,"")</f>
        <v/>
      </c>
      <c r="S34" s="90">
        <f>IF(AND(Q34&lt;&gt;"",O34&lt;&gt;""),Q34-O34,"")</f>
        <v/>
      </c>
      <c r="T34" s="90">
        <f>IF(AND(F34="В работе",P34&lt;&gt;""),Параметры!$B$10-P34,"")</f>
        <v/>
      </c>
      <c r="U34" s="211" t="n"/>
    </row>
    <row r="35">
      <c r="A35" s="5" t="n"/>
      <c r="B35" s="13" t="n"/>
      <c r="C35" s="13" t="n"/>
      <c r="D35" s="5" t="n"/>
      <c r="E35" s="24" t="n"/>
      <c r="F35" s="5" t="n"/>
      <c r="G35" s="23">
        <f>IF(F35="Готово",0,IF(E35="","",E35))</f>
        <v/>
      </c>
      <c r="H35" s="70">
        <f>IFERROR(INDEX(Капасити!$C$5:$C$147,MATCH($C35,Капасити!$B$5:$B$147,0)),"")</f>
        <v/>
      </c>
      <c r="I35" s="71" t="n"/>
      <c r="J35" s="72">
        <f>IF(AND(I35&lt;&gt;"",E35&lt;&gt;""),I35/E35,"")</f>
        <v/>
      </c>
      <c r="K35" s="50" t="inlineStr">
        <is>
          <t>Нет</t>
        </is>
      </c>
      <c r="L35" s="33" t="n"/>
      <c r="M35" s="101" t="n"/>
      <c r="N35" s="109" t="n"/>
      <c r="O35" s="129" t="n"/>
      <c r="P35" s="129" t="n"/>
      <c r="Q35" s="129" t="n"/>
      <c r="R35" s="90">
        <f>IF(AND(Q35&lt;&gt;"",P35&lt;&gt;""),Q35-P35,"")</f>
        <v/>
      </c>
      <c r="S35" s="90">
        <f>IF(AND(Q35&lt;&gt;"",O35&lt;&gt;""),Q35-O35,"")</f>
        <v/>
      </c>
      <c r="T35" s="90">
        <f>IF(AND(F35="В работе",P35&lt;&gt;""),Параметры!$B$10-P35,"")</f>
        <v/>
      </c>
      <c r="U35" s="211" t="n"/>
    </row>
    <row r="36">
      <c r="A36" s="5" t="n"/>
      <c r="B36" s="13" t="n"/>
      <c r="C36" s="13" t="n"/>
      <c r="D36" s="5" t="n"/>
      <c r="E36" s="24" t="n"/>
      <c r="F36" s="5" t="n"/>
      <c r="G36" s="23">
        <f>IF(F36="Готово",0,IF(E36="","",E36))</f>
        <v/>
      </c>
      <c r="H36" s="70">
        <f>IFERROR(INDEX(Капасити!$C$5:$C$147,MATCH($C36,Капасити!$B$5:$B$147,0)),"")</f>
        <v/>
      </c>
      <c r="I36" s="71" t="n"/>
      <c r="J36" s="72">
        <f>IF(AND(I36&lt;&gt;"",E36&lt;&gt;""),I36/E36,"")</f>
        <v/>
      </c>
      <c r="K36" s="50" t="inlineStr">
        <is>
          <t>Нет</t>
        </is>
      </c>
      <c r="L36" s="33" t="n"/>
      <c r="M36" s="101" t="n"/>
      <c r="N36" s="109" t="n"/>
      <c r="O36" s="129" t="n"/>
      <c r="P36" s="129" t="n"/>
      <c r="Q36" s="129" t="n"/>
      <c r="R36" s="90">
        <f>IF(AND(Q36&lt;&gt;"",P36&lt;&gt;""),Q36-P36,"")</f>
        <v/>
      </c>
      <c r="S36" s="90">
        <f>IF(AND(Q36&lt;&gt;"",O36&lt;&gt;""),Q36-O36,"")</f>
        <v/>
      </c>
      <c r="T36" s="90">
        <f>IF(AND(F36="В работе",P36&lt;&gt;""),Параметры!$B$10-P36,"")</f>
        <v/>
      </c>
      <c r="U36" s="211" t="n"/>
    </row>
    <row r="37">
      <c r="A37" s="5" t="n"/>
      <c r="B37" s="13" t="n"/>
      <c r="C37" s="13" t="n"/>
      <c r="D37" s="5" t="n"/>
      <c r="E37" s="24" t="n"/>
      <c r="F37" s="5" t="n"/>
      <c r="G37" s="23">
        <f>IF(F37="Готово",0,IF(E37="","",E37))</f>
        <v/>
      </c>
      <c r="H37" s="70">
        <f>IFERROR(INDEX(Капасити!$C$5:$C$147,MATCH($C37,Капасити!$B$5:$B$147,0)),"")</f>
        <v/>
      </c>
      <c r="I37" s="71" t="n"/>
      <c r="J37" s="72">
        <f>IF(AND(I37&lt;&gt;"",E37&lt;&gt;""),I37/E37,"")</f>
        <v/>
      </c>
      <c r="K37" s="50" t="inlineStr">
        <is>
          <t>Нет</t>
        </is>
      </c>
      <c r="L37" s="33" t="n"/>
      <c r="M37" s="101" t="n"/>
      <c r="N37" s="109" t="n"/>
      <c r="O37" s="129" t="n"/>
      <c r="P37" s="129" t="n"/>
      <c r="Q37" s="129" t="n"/>
      <c r="R37" s="90">
        <f>IF(AND(Q37&lt;&gt;"",P37&lt;&gt;""),Q37-P37,"")</f>
        <v/>
      </c>
      <c r="S37" s="90">
        <f>IF(AND(Q37&lt;&gt;"",O37&lt;&gt;""),Q37-O37,"")</f>
        <v/>
      </c>
      <c r="T37" s="90">
        <f>IF(AND(F37="В работе",P37&lt;&gt;""),Параметры!$B$10-P37,"")</f>
        <v/>
      </c>
      <c r="U37" s="211" t="n"/>
    </row>
    <row r="38">
      <c r="A38" s="5" t="n"/>
      <c r="B38" s="13" t="n"/>
      <c r="C38" s="13" t="n"/>
      <c r="D38" s="5" t="n"/>
      <c r="E38" s="24" t="n"/>
      <c r="F38" s="5" t="n"/>
      <c r="G38" s="23">
        <f>IF(F38="Готово",0,IF(E38="","",E38))</f>
        <v/>
      </c>
      <c r="H38" s="70">
        <f>IFERROR(INDEX(Капасити!$C$5:$C$147,MATCH($C38,Капасити!$B$5:$B$147,0)),"")</f>
        <v/>
      </c>
      <c r="I38" s="71" t="n"/>
      <c r="J38" s="72">
        <f>IF(AND(I38&lt;&gt;"",E38&lt;&gt;""),I38/E38,"")</f>
        <v/>
      </c>
      <c r="K38" s="50" t="inlineStr">
        <is>
          <t>Нет</t>
        </is>
      </c>
      <c r="L38" s="33" t="n"/>
      <c r="M38" s="101" t="n"/>
      <c r="N38" s="109" t="n"/>
      <c r="O38" s="129" t="n"/>
      <c r="P38" s="129" t="n"/>
      <c r="Q38" s="129" t="n"/>
      <c r="R38" s="90">
        <f>IF(AND(Q38&lt;&gt;"",P38&lt;&gt;""),Q38-P38,"")</f>
        <v/>
      </c>
      <c r="S38" s="90">
        <f>IF(AND(Q38&lt;&gt;"",O38&lt;&gt;""),Q38-O38,"")</f>
        <v/>
      </c>
      <c r="T38" s="90">
        <f>IF(AND(F38="В работе",P38&lt;&gt;""),Параметры!$B$10-P38,"")</f>
        <v/>
      </c>
      <c r="U38" s="211" t="n"/>
    </row>
    <row r="39">
      <c r="A39" s="5" t="n"/>
      <c r="B39" s="13" t="n"/>
      <c r="C39" s="13" t="n"/>
      <c r="D39" s="5" t="n"/>
      <c r="E39" s="24" t="n"/>
      <c r="F39" s="5" t="n"/>
      <c r="G39" s="23">
        <f>IF(F39="Готово",0,IF(E39="","",E39))</f>
        <v/>
      </c>
      <c r="H39" s="70">
        <f>IFERROR(INDEX(Капасити!$C$5:$C$147,MATCH($C39,Капасити!$B$5:$B$147,0)),"")</f>
        <v/>
      </c>
      <c r="I39" s="71" t="n"/>
      <c r="J39" s="72">
        <f>IF(AND(I39&lt;&gt;"",E39&lt;&gt;""),I39/E39,"")</f>
        <v/>
      </c>
      <c r="K39" s="50" t="inlineStr">
        <is>
          <t>Нет</t>
        </is>
      </c>
      <c r="L39" s="33" t="n"/>
      <c r="M39" s="101" t="n"/>
      <c r="N39" s="109" t="n"/>
      <c r="O39" s="129" t="n"/>
      <c r="P39" s="129" t="n"/>
      <c r="Q39" s="129" t="n"/>
      <c r="R39" s="90">
        <f>IF(AND(Q39&lt;&gt;"",P39&lt;&gt;""),Q39-P39,"")</f>
        <v/>
      </c>
      <c r="S39" s="90">
        <f>IF(AND(Q39&lt;&gt;"",O39&lt;&gt;""),Q39-O39,"")</f>
        <v/>
      </c>
      <c r="T39" s="90">
        <f>IF(AND(F39="В работе",P39&lt;&gt;""),Параметры!$B$10-P39,"")</f>
        <v/>
      </c>
      <c r="U39" s="211" t="n"/>
    </row>
    <row r="40">
      <c r="A40" s="5" t="n"/>
      <c r="B40" s="13" t="n"/>
      <c r="C40" s="13" t="n"/>
      <c r="D40" s="5" t="n"/>
      <c r="E40" s="24" t="n"/>
      <c r="F40" s="5" t="n"/>
      <c r="G40" s="23">
        <f>IF(F40="Готово",0,IF(E40="","",E40))</f>
        <v/>
      </c>
      <c r="H40" s="70">
        <f>IFERROR(INDEX(Капасити!$C$5:$C$147,MATCH($C40,Капасити!$B$5:$B$147,0)),"")</f>
        <v/>
      </c>
      <c r="I40" s="71" t="n"/>
      <c r="J40" s="72">
        <f>IF(AND(I40&lt;&gt;"",E40&lt;&gt;""),I40/E40,"")</f>
        <v/>
      </c>
      <c r="K40" s="50" t="inlineStr">
        <is>
          <t>Нет</t>
        </is>
      </c>
      <c r="L40" s="33" t="n"/>
      <c r="M40" s="101" t="n"/>
      <c r="N40" s="109" t="n"/>
      <c r="O40" s="129" t="n"/>
      <c r="P40" s="129" t="n"/>
      <c r="Q40" s="129" t="n"/>
      <c r="R40" s="90">
        <f>IF(AND(Q40&lt;&gt;"",P40&lt;&gt;""),Q40-P40,"")</f>
        <v/>
      </c>
      <c r="S40" s="90">
        <f>IF(AND(Q40&lt;&gt;"",O40&lt;&gt;""),Q40-O40,"")</f>
        <v/>
      </c>
      <c r="T40" s="90">
        <f>IF(AND(F40="В работе",P40&lt;&gt;""),Параметры!$B$10-P40,"")</f>
        <v/>
      </c>
      <c r="U40" s="211" t="n"/>
    </row>
    <row r="41">
      <c r="A41" s="5" t="n"/>
      <c r="B41" s="13" t="n"/>
      <c r="C41" s="13" t="n"/>
      <c r="D41" s="5" t="n"/>
      <c r="E41" s="24" t="n"/>
      <c r="F41" s="5" t="n"/>
      <c r="G41" s="23">
        <f>IF(F41="Готово",0,IF(E41="","",E41))</f>
        <v/>
      </c>
      <c r="H41" s="70">
        <f>IFERROR(INDEX(Капасити!$C$5:$C$147,MATCH($C41,Капасити!$B$5:$B$147,0)),"")</f>
        <v/>
      </c>
      <c r="I41" s="71" t="n"/>
      <c r="J41" s="72">
        <f>IF(AND(I41&lt;&gt;"",E41&lt;&gt;""),I41/E41,"")</f>
        <v/>
      </c>
      <c r="K41" s="50" t="inlineStr">
        <is>
          <t>Нет</t>
        </is>
      </c>
      <c r="L41" s="33" t="n"/>
      <c r="M41" s="101" t="n"/>
      <c r="N41" s="109" t="n"/>
      <c r="O41" s="129" t="n"/>
      <c r="P41" s="129" t="n"/>
      <c r="Q41" s="129" t="n"/>
      <c r="R41" s="90">
        <f>IF(AND(Q41&lt;&gt;"",P41&lt;&gt;""),Q41-P41,"")</f>
        <v/>
      </c>
      <c r="S41" s="90">
        <f>IF(AND(Q41&lt;&gt;"",O41&lt;&gt;""),Q41-O41,"")</f>
        <v/>
      </c>
      <c r="T41" s="90">
        <f>IF(AND(F41="В работе",P41&lt;&gt;""),Параметры!$B$10-P41,"")</f>
        <v/>
      </c>
      <c r="U41" s="211" t="n"/>
    </row>
    <row r="42">
      <c r="A42" s="5" t="n"/>
      <c r="B42" s="13" t="n"/>
      <c r="C42" s="13" t="n"/>
      <c r="D42" s="5" t="n"/>
      <c r="E42" s="24" t="n"/>
      <c r="F42" s="5" t="n"/>
      <c r="G42" s="23">
        <f>IF(F42="Готово",0,IF(E42="","",E42))</f>
        <v/>
      </c>
      <c r="H42" s="70">
        <f>IFERROR(INDEX(Капасити!$C$5:$C$147,MATCH($C42,Капасити!$B$5:$B$147,0)),"")</f>
        <v/>
      </c>
      <c r="I42" s="71" t="n"/>
      <c r="J42" s="72">
        <f>IF(AND(I42&lt;&gt;"",E42&lt;&gt;""),I42/E42,"")</f>
        <v/>
      </c>
      <c r="K42" s="50" t="inlineStr">
        <is>
          <t>Нет</t>
        </is>
      </c>
      <c r="L42" s="33" t="n"/>
      <c r="M42" s="101" t="n"/>
      <c r="N42" s="109" t="n"/>
      <c r="O42" s="129" t="n"/>
      <c r="P42" s="129" t="n"/>
      <c r="Q42" s="129" t="n"/>
      <c r="R42" s="90">
        <f>IF(AND(Q42&lt;&gt;"",P42&lt;&gt;""),Q42-P42,"")</f>
        <v/>
      </c>
      <c r="S42" s="90">
        <f>IF(AND(Q42&lt;&gt;"",O42&lt;&gt;""),Q42-O42,"")</f>
        <v/>
      </c>
      <c r="T42" s="90">
        <f>IF(AND(F42="В работе",P42&lt;&gt;""),Параметры!$B$10-P42,"")</f>
        <v/>
      </c>
      <c r="U42" s="211" t="n"/>
    </row>
    <row r="43">
      <c r="A43" s="5" t="n"/>
      <c r="B43" s="13" t="n"/>
      <c r="C43" s="13" t="n"/>
      <c r="D43" s="5" t="n"/>
      <c r="E43" s="24" t="n"/>
      <c r="F43" s="5" t="n"/>
      <c r="G43" s="23">
        <f>IF(F43="Готово",0,IF(E43="","",E43))</f>
        <v/>
      </c>
      <c r="H43" s="70">
        <f>IFERROR(INDEX(Капасити!$C$5:$C$147,MATCH($C43,Капасити!$B$5:$B$147,0)),"")</f>
        <v/>
      </c>
      <c r="I43" s="71" t="n"/>
      <c r="J43" s="72">
        <f>IF(AND(I43&lt;&gt;"",E43&lt;&gt;""),I43/E43,"")</f>
        <v/>
      </c>
      <c r="K43" s="50" t="inlineStr">
        <is>
          <t>Нет</t>
        </is>
      </c>
      <c r="L43" s="33" t="n"/>
      <c r="M43" s="101" t="n"/>
      <c r="N43" s="109" t="n"/>
      <c r="O43" s="129" t="n"/>
      <c r="P43" s="129" t="n"/>
      <c r="Q43" s="129" t="n"/>
      <c r="R43" s="90">
        <f>IF(AND(Q43&lt;&gt;"",P43&lt;&gt;""),Q43-P43,"")</f>
        <v/>
      </c>
      <c r="S43" s="90">
        <f>IF(AND(Q43&lt;&gt;"",O43&lt;&gt;""),Q43-O43,"")</f>
        <v/>
      </c>
      <c r="T43" s="90">
        <f>IF(AND(F43="В работе",P43&lt;&gt;""),Параметры!$B$10-P43,"")</f>
        <v/>
      </c>
      <c r="U43" s="211" t="n"/>
    </row>
    <row r="44">
      <c r="A44" s="5" t="n"/>
      <c r="B44" s="13" t="n"/>
      <c r="C44" s="13" t="n"/>
      <c r="D44" s="5" t="n"/>
      <c r="E44" s="24" t="n"/>
      <c r="F44" s="5" t="n"/>
      <c r="G44" s="23">
        <f>IF(F44="Готово",0,IF(E44="","",E44))</f>
        <v/>
      </c>
      <c r="H44" s="70">
        <f>IFERROR(INDEX(Капасити!$C$5:$C$147,MATCH($C44,Капасити!$B$5:$B$147,0)),"")</f>
        <v/>
      </c>
      <c r="I44" s="71" t="n"/>
      <c r="J44" s="72">
        <f>IF(AND(I44&lt;&gt;"",E44&lt;&gt;""),I44/E44,"")</f>
        <v/>
      </c>
      <c r="K44" s="50" t="inlineStr">
        <is>
          <t>Нет</t>
        </is>
      </c>
      <c r="L44" s="33" t="n"/>
      <c r="M44" s="101" t="n"/>
      <c r="N44" s="109" t="n"/>
      <c r="O44" s="129" t="n"/>
      <c r="P44" s="129" t="n"/>
      <c r="Q44" s="129" t="n"/>
      <c r="R44" s="90">
        <f>IF(AND(Q44&lt;&gt;"",P44&lt;&gt;""),Q44-P44,"")</f>
        <v/>
      </c>
      <c r="S44" s="90">
        <f>IF(AND(Q44&lt;&gt;"",O44&lt;&gt;""),Q44-O44,"")</f>
        <v/>
      </c>
      <c r="T44" s="90">
        <f>IF(AND(F44="В работе",P44&lt;&gt;""),Параметры!$B$10-P44,"")</f>
        <v/>
      </c>
      <c r="U44" s="211" t="n"/>
    </row>
    <row r="45">
      <c r="A45" s="11" t="n"/>
      <c r="B45" s="11" t="n"/>
      <c r="C45" s="12" t="inlineStr">
        <is>
          <t>ИТОГО трудоёмкость:</t>
        </is>
      </c>
      <c r="D45" s="11" t="n"/>
      <c r="E45" s="21">
        <f>SUM(E5:E44)</f>
        <v/>
      </c>
      <c r="F45" s="11" t="n"/>
      <c r="G45" s="21">
        <f>SUM(G5:G44)</f>
        <v/>
      </c>
    </row>
    <row r="47">
      <c r="B47" s="32" t="inlineStr">
        <is>
          <t>Коэфф. точности оценок (Факт/Оценка):</t>
        </is>
      </c>
      <c r="E47" s="73">
        <f>IFERROR(SUM(I5:I44)/SUMPRODUCT((I5:I44&lt;&gt;"")*E5:E44),"")</f>
        <v/>
      </c>
    </row>
    <row r="48">
      <c r="B48" s="38" t="inlineStr">
        <is>
          <t>&gt;1 — систематически недооцениваем; множитель для будущих оценок.</t>
        </is>
      </c>
    </row>
    <row r="49">
      <c r="B49" s="88" t="inlineStr">
        <is>
          <t>Средний Cycle time (дн):</t>
        </is>
      </c>
      <c r="E49" s="130">
        <f>IFERROR(AVERAGEIF(R5:R44,"&gt;=0"),0)</f>
        <v/>
      </c>
    </row>
    <row r="50">
      <c r="B50" s="88" t="inlineStr">
        <is>
          <t>Средний Lead time (дн):</t>
        </is>
      </c>
      <c r="E50" s="130">
        <f>IFERROR(AVERAGEIF(S5:S44,"&gt;=0"),0)</f>
        <v/>
      </c>
    </row>
    <row r="100">
      <c r="D100">
        <f>E45</f>
        <v/>
      </c>
    </row>
  </sheetData>
  <dataValidations count="5">
    <dataValidation sqref="D5:D44" showDropDown="0" showInputMessage="0" showErrorMessage="0" allowBlank="1" errorTitle="Приоритет" error="Выберите: High, Medium или Low" promptTitle="Приоритет" prompt="Выберите приоритет из списка" type="list">
      <formula1>"High,Medium,Low"</formula1>
    </dataValidation>
    <dataValidation sqref="F5:F44" showDropDown="0" showInputMessage="0" showErrorMessage="0" allowBlank="1" errorTitle="Статус" error="Выберите: To Do, В работе или Готово" promptTitle="Статус" prompt="Выберите статус из списка" type="list">
      <formula1>"To Do,В работе,Готово"</formula1>
    </dataValidation>
    <dataValidation sqref="K5:K44 N5:N44" showDropDown="0" showInputMessage="0" showErrorMessage="0" allowBlank="1" type="list">
      <formula1>"Нет,Да"</formula1>
    </dataValidation>
    <dataValidation sqref="M5 M6 M7 M8 M9 M10 M11 M12 M13 M14 M15 M16 M17 M18 M19 M20 M21 M22 M23 M24 M25 M26 M27 M28 M29 M30 M31 M32 M33 M34 M35 M36 M37 M38 M39 M40 M41 M42 M43 M44" showDropDown="0" showInputMessage="0" showErrorMessage="0" allowBlank="1" type="list">
      <formula1>"1,2,3,4,5,6,7,8,9,10,11"</formula1>
    </dataValidation>
    <dataValidation sqref="U5 U6 U7 U8 U9 U10 U11 U12 U13 U14 U15 U16 U17 U18 U19 U20 U21 U22 U23 U24 U25 U26 U27 U28 U29 U30 U31 U32 U33 U34 U35 U36 U37 U38 U39 U40 U41 U42 U43 U44" showDropDown="0" showInputMessage="0" showErrorMessage="0" allowBlank="1" type="list">
      <formula1>"История,Задача,Тех.долг"</formula1>
    </dataValidation>
  </dataValidation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D32"/>
  <sheetViews>
    <sheetView showGridLines="0" workbookViewId="0">
      <pane ySplit="6" topLeftCell="A10" activePane="bottomLeft" state="frozen"/>
      <selection pane="bottomLeft" activeCell="R18" sqref="R18"/>
    </sheetView>
  </sheetViews>
  <sheetFormatPr baseColWidth="8" defaultRowHeight="14.4"/>
  <cols>
    <col width="19.33203125" customWidth="1" min="1" max="1"/>
    <col width="10" customWidth="1" min="2" max="2"/>
    <col width="20" customWidth="1" min="3" max="3"/>
    <col width="18" customWidth="1" min="4" max="4"/>
  </cols>
  <sheetData>
    <row r="1" ht="17.4" customHeight="1">
      <c r="A1" s="1" t="inlineStr">
        <is>
          <t>Диаграмма сгорания (burndown) по задачам</t>
        </is>
      </c>
    </row>
    <row r="2">
      <c r="A2" s="2" t="inlineStr">
        <is>
          <t>Идеальная линия — равномерное сгорание. Фактический остаток обновляется каждый день (жёлтый столбец).</t>
        </is>
      </c>
    </row>
    <row r="3">
      <c r="A3" s="14" t="inlineStr">
        <is>
          <t>Всего работы тек. спринта (дн):</t>
        </is>
      </c>
      <c r="B3" s="25">
        <f>SUMIF(Бэклог!$M$5:$M$44,Параметры!$B$13,Бэклог!$E$5:$E$44)</f>
        <v/>
      </c>
    </row>
    <row r="4">
      <c r="A4" s="14" t="inlineStr">
        <is>
          <t>Рабочих дней:</t>
        </is>
      </c>
      <c r="B4" s="15">
        <f>SUMIF('Дорожная карта'!$A$6:$A$16,Параметры!$B$13,'Дорожная карта'!$E$6:$E$16)</f>
        <v/>
      </c>
    </row>
    <row r="6" ht="27.6" customHeight="1">
      <c r="A6" s="3" t="inlineStr">
        <is>
          <t>День</t>
        </is>
      </c>
      <c r="B6" s="3" t="inlineStr">
        <is>
          <t>Дата</t>
        </is>
      </c>
      <c r="C6" s="3" t="inlineStr">
        <is>
          <t>Идеальный остаток (дн)</t>
        </is>
      </c>
      <c r="D6" s="3" t="inlineStr">
        <is>
          <t>Факт. остаток (дн)</t>
        </is>
      </c>
    </row>
    <row r="7">
      <c r="A7" s="9" t="n">
        <v>0</v>
      </c>
      <c r="B7" s="22">
        <f>WORKDAY(Параметры!$B$6,A7)</f>
        <v/>
      </c>
      <c r="C7" s="23">
        <f>$B$3*($B$4-A7)/$B$4</f>
        <v/>
      </c>
      <c r="D7" s="24">
        <f>$B$3</f>
        <v/>
      </c>
    </row>
    <row r="8">
      <c r="A8" s="9" t="n">
        <v>1</v>
      </c>
      <c r="B8" s="22">
        <f>WORKDAY(Параметры!$B$6,A8)</f>
        <v/>
      </c>
      <c r="C8" s="23">
        <f>$B$3*($B$4-A8)/$B$4</f>
        <v/>
      </c>
      <c r="D8" s="24">
        <f>ROUND($B$3*0.98,1)</f>
        <v/>
      </c>
    </row>
    <row r="9">
      <c r="A9" s="9" t="n">
        <v>2</v>
      </c>
      <c r="B9" s="22">
        <f>WORKDAY(Параметры!$B$6,A9)</f>
        <v/>
      </c>
      <c r="C9" s="23">
        <f>$B$3*($B$4-A9)/$B$4</f>
        <v/>
      </c>
      <c r="D9" s="24">
        <f>ROUND($B$3*0.9,1)</f>
        <v/>
      </c>
    </row>
    <row r="10">
      <c r="A10" s="9" t="n">
        <v>3</v>
      </c>
      <c r="B10" s="22">
        <f>WORKDAY(Параметры!$B$6,A10)</f>
        <v/>
      </c>
      <c r="C10" s="23">
        <f>$B$3*($B$4-A10)/$B$4</f>
        <v/>
      </c>
      <c r="D10" s="24">
        <f>ROUND($B$3*0.86,1)</f>
        <v/>
      </c>
    </row>
    <row r="11">
      <c r="A11" s="9" t="n">
        <v>4</v>
      </c>
      <c r="B11" s="22">
        <f>WORKDAY(Параметры!$B$6,A11)</f>
        <v/>
      </c>
      <c r="C11" s="23">
        <f>$B$3*($B$4-A11)/$B$4</f>
        <v/>
      </c>
      <c r="D11" s="24">
        <f>ROUND($B$3*0.72,1)</f>
        <v/>
      </c>
    </row>
    <row r="12">
      <c r="A12" s="9" t="n">
        <v>5</v>
      </c>
      <c r="B12" s="22">
        <f>WORKDAY(Параметры!$B$6,A12)</f>
        <v/>
      </c>
      <c r="C12" s="23">
        <f>$B$3*($B$4-A12)/$B$4</f>
        <v/>
      </c>
      <c r="D12" s="24">
        <f>ROUND($B$3*0.6,1)</f>
        <v/>
      </c>
    </row>
    <row r="13">
      <c r="A13" s="9" t="n">
        <v>6</v>
      </c>
      <c r="B13" s="22">
        <f>WORKDAY(Параметры!$B$6,A13)</f>
        <v/>
      </c>
      <c r="C13" s="23">
        <f>$B$3*($B$4-A13)/$B$4</f>
        <v/>
      </c>
      <c r="D13" s="24">
        <f>ROUND($B$3*0.55,1)</f>
        <v/>
      </c>
    </row>
    <row r="14">
      <c r="A14" s="9" t="n">
        <v>7</v>
      </c>
      <c r="B14" s="22">
        <f>WORKDAY(Параметры!$B$6,A14)</f>
        <v/>
      </c>
      <c r="C14" s="23">
        <f>$B$3*($B$4-A14)/$B$4</f>
        <v/>
      </c>
      <c r="D14" s="24">
        <f>ROUND($B$3*0.4,1)</f>
        <v/>
      </c>
    </row>
    <row r="15">
      <c r="A15" s="9" t="n">
        <v>8</v>
      </c>
      <c r="B15" s="22">
        <f>WORKDAY(Параметры!$B$6,A15)</f>
        <v/>
      </c>
      <c r="C15" s="23">
        <f>$B$3*($B$4-A15)/$B$4</f>
        <v/>
      </c>
      <c r="D15" s="24">
        <f>ROUND($B$3*0.28,1)</f>
        <v/>
      </c>
    </row>
    <row r="16">
      <c r="A16" s="9" t="n">
        <v>9</v>
      </c>
      <c r="B16" s="22">
        <f>WORKDAY(Параметры!$B$6,A16)</f>
        <v/>
      </c>
      <c r="C16" s="23">
        <f>$B$3*($B$4-A16)/$B$4</f>
        <v/>
      </c>
      <c r="D16" s="24">
        <f>ROUND($B$3*0.12,1)</f>
        <v/>
      </c>
    </row>
    <row r="17">
      <c r="A17" s="9" t="n">
        <v>10</v>
      </c>
      <c r="B17" s="22">
        <f>WORKDAY(Параметры!$B$6,A17)</f>
        <v/>
      </c>
      <c r="C17" s="23">
        <f>$B$3*($B$4-A17)/$B$4</f>
        <v/>
      </c>
      <c r="D17" s="24">
        <f>ROUND($B$3*0,1)</f>
        <v/>
      </c>
    </row>
    <row r="19">
      <c r="A19" s="14" t="inlineStr">
        <is>
          <t>Как читать:</t>
        </is>
      </c>
    </row>
    <row r="20" ht="15.6" customHeight="1">
      <c r="A20" s="91" t="inlineStr">
        <is>
          <t>Burn-up: объём vs накопленно сделано</t>
        </is>
      </c>
    </row>
    <row r="21" ht="41.4" customHeight="1">
      <c r="A21" s="92" t="inlineStr">
        <is>
          <t>Спринт</t>
        </is>
      </c>
      <c r="B21" s="92" t="inlineStr">
        <is>
          <t>Накопл.
сделано (дн)</t>
        </is>
      </c>
      <c r="C21" s="92" t="inlineStr">
        <is>
          <t>Общий
объём (дн)</t>
        </is>
      </c>
    </row>
    <row r="22">
      <c r="A22" s="110" t="n">
        <v>1</v>
      </c>
      <c r="B22" s="102">
        <f>SUMIFS('Дорожная карта'!$I$6:$I$16,'Дорожная карта'!$A$6:$A$16,"&lt;="&amp;A22)</f>
        <v/>
      </c>
      <c r="C22" s="102">
        <f>SUM(Бэклог!$E$5:$E$44)</f>
        <v/>
      </c>
    </row>
    <row r="23">
      <c r="A23" s="110" t="n">
        <v>2</v>
      </c>
      <c r="B23" s="102">
        <f>SUMIFS('Дорожная карта'!$I$6:$I$16,'Дорожная карта'!$A$6:$A$16,"&lt;="&amp;A23)</f>
        <v/>
      </c>
      <c r="C23" s="102">
        <f>SUM(Бэклог!$E$5:$E$44)</f>
        <v/>
      </c>
    </row>
    <row r="24">
      <c r="A24" s="110" t="n">
        <v>3</v>
      </c>
      <c r="B24" s="102">
        <f>SUMIFS('Дорожная карта'!$I$6:$I$16,'Дорожная карта'!$A$6:$A$16,"&lt;="&amp;A24)</f>
        <v/>
      </c>
      <c r="C24" s="102">
        <f>SUM(Бэклог!$E$5:$E$44)</f>
        <v/>
      </c>
    </row>
    <row r="25">
      <c r="A25" s="110" t="n">
        <v>4</v>
      </c>
      <c r="B25" s="102">
        <f>SUMIFS('Дорожная карта'!$I$6:$I$16,'Дорожная карта'!$A$6:$A$16,"&lt;="&amp;A25)</f>
        <v/>
      </c>
      <c r="C25" s="102">
        <f>SUM(Бэклог!$E$5:$E$44)</f>
        <v/>
      </c>
    </row>
    <row r="26">
      <c r="A26" s="110" t="n">
        <v>5</v>
      </c>
      <c r="B26" s="102">
        <f>SUMIFS('Дорожная карта'!$I$6:$I$16,'Дорожная карта'!$A$6:$A$16,"&lt;="&amp;A26)</f>
        <v/>
      </c>
      <c r="C26" s="102">
        <f>SUM(Бэклог!$E$5:$E$44)</f>
        <v/>
      </c>
    </row>
    <row r="27">
      <c r="A27" s="110" t="n">
        <v>6</v>
      </c>
      <c r="B27" s="102">
        <f>SUMIFS('Дорожная карта'!$I$6:$I$16,'Дорожная карта'!$A$6:$A$16,"&lt;="&amp;A27)</f>
        <v/>
      </c>
      <c r="C27" s="102">
        <f>SUM(Бэклог!$E$5:$E$44)</f>
        <v/>
      </c>
    </row>
    <row r="28">
      <c r="A28" s="110" t="n">
        <v>7</v>
      </c>
      <c r="B28" s="102">
        <f>SUMIFS('Дорожная карта'!$I$6:$I$16,'Дорожная карта'!$A$6:$A$16,"&lt;="&amp;A28)</f>
        <v/>
      </c>
      <c r="C28" s="102">
        <f>SUM(Бэклог!$E$5:$E$44)</f>
        <v/>
      </c>
    </row>
    <row r="29">
      <c r="A29" s="110" t="n">
        <v>8</v>
      </c>
      <c r="B29" s="102">
        <f>SUMIFS('Дорожная карта'!$I$6:$I$16,'Дорожная карта'!$A$6:$A$16,"&lt;="&amp;A29)</f>
        <v/>
      </c>
      <c r="C29" s="102">
        <f>SUM(Бэклог!$E$5:$E$44)</f>
        <v/>
      </c>
    </row>
    <row r="30">
      <c r="A30" s="110" t="n">
        <v>9</v>
      </c>
      <c r="B30" s="102">
        <f>SUMIFS('Дорожная карта'!$I$6:$I$16,'Дорожная карта'!$A$6:$A$16,"&lt;="&amp;A30)</f>
        <v/>
      </c>
      <c r="C30" s="102">
        <f>SUM(Бэклог!$E$5:$E$44)</f>
        <v/>
      </c>
    </row>
    <row r="31">
      <c r="A31" s="110" t="n">
        <v>10</v>
      </c>
      <c r="B31" s="102">
        <f>SUMIFS('Дорожная карта'!$I$6:$I$16,'Дорожная карта'!$A$6:$A$16,"&lt;="&amp;A31)</f>
        <v/>
      </c>
      <c r="C31" s="102">
        <f>SUM(Бэклог!$E$5:$E$44)</f>
        <v/>
      </c>
    </row>
    <row r="32">
      <c r="A32" s="110" t="n">
        <v>11</v>
      </c>
      <c r="B32" s="102">
        <f>SUMIFS('Дорожная карта'!$I$6:$I$16,'Дорожная карта'!$A$6:$A$16,"&lt;="&amp;A32)</f>
        <v/>
      </c>
      <c r="C32" s="102">
        <f>SUM(Бэклог!$E$5:$E$44)</f>
        <v/>
      </c>
    </row>
  </sheetData>
  <pageMargins left="0.75" right="0.75" top="1" bottom="1" header="0.5" footer="0.5"/>
  <drawing xmlns:r="http://schemas.openxmlformats.org/officeDocument/2006/relationships" r:id="rId1"/>
</worksheet>
</file>

<file path=xl/worksheets/sheet23.xml><?xml version="1.0" encoding="utf-8"?>
<worksheet xmlns="http://schemas.openxmlformats.org/spreadsheetml/2006/main">
  <sheetPr>
    <outlinePr summaryBelow="1" summaryRight="1"/>
    <pageSetUpPr/>
  </sheetPr>
  <dimension ref="A1:I16"/>
  <sheetViews>
    <sheetView showGridLines="0" workbookViewId="0">
      <pane ySplit="4" topLeftCell="A5" activePane="bottomLeft" state="frozen"/>
      <selection pane="bottomLeft" activeCell="A1" sqref="A1"/>
    </sheetView>
  </sheetViews>
  <sheetFormatPr baseColWidth="8" defaultRowHeight="14.4"/>
  <cols>
    <col width="12" customWidth="1" min="1" max="1"/>
    <col width="10" customWidth="1" min="2" max="3"/>
    <col width="12" customWidth="1" min="4" max="5"/>
    <col width="13" customWidth="1" min="6" max="6"/>
    <col width="9" customWidth="1" min="7" max="7"/>
    <col width="11" customWidth="1" min="8" max="8"/>
    <col width="10" customWidth="1" min="9" max="9"/>
  </cols>
  <sheetData>
    <row r="1" ht="17.4" customHeight="1">
      <c r="A1" s="37" t="inlineStr">
        <is>
          <t>Качество / дефекты по спринтам</t>
        </is>
      </c>
    </row>
    <row r="2">
      <c r="A2" s="38" t="inlineStr">
        <is>
          <t>Найдено/закрыто/время — автоматически из листа «Баги». Открытых — накопительно.</t>
        </is>
      </c>
    </row>
    <row r="4" ht="41.4" customHeight="1">
      <c r="A4" s="39" t="inlineStr">
        <is>
          <t>Спринт</t>
        </is>
      </c>
      <c r="B4" s="39" t="inlineStr">
        <is>
          <t>Найдено</t>
        </is>
      </c>
      <c r="C4" s="39" t="inlineStr">
        <is>
          <t>Закрыто</t>
        </is>
      </c>
      <c r="D4" s="39" t="inlineStr">
        <is>
          <t>Открытых
(накопит.)</t>
        </is>
      </c>
      <c r="E4" s="39" t="inlineStr">
        <is>
          <t>Время на
баги (дн)</t>
        </is>
      </c>
      <c r="F4" s="39" t="inlineStr">
        <is>
          <t>Доля времени
на баги</t>
        </is>
      </c>
      <c r="G4" s="92" t="inlineStr">
        <is>
          <t>Взвеш.
баги</t>
        </is>
      </c>
      <c r="H4" s="92" t="inlineStr">
        <is>
          <t>Плотность
(баг/дн)</t>
        </is>
      </c>
      <c r="I4" s="92" t="inlineStr">
        <is>
          <t>Reopened</t>
        </is>
      </c>
    </row>
    <row r="5">
      <c r="A5" s="63" t="inlineStr">
        <is>
          <t>Спринт 1</t>
        </is>
      </c>
      <c r="B5" s="64">
        <f>COUNTIF(Баги!$D$5:$D$64,1)</f>
        <v/>
      </c>
      <c r="C5" s="64">
        <f>COUNTIFS(Баги!$D$5:$D$64,1,Баги!$F$5:$F$64,"Закрыт")</f>
        <v/>
      </c>
      <c r="D5" s="64">
        <f>IF(B5="","",B5-C5)</f>
        <v/>
      </c>
      <c r="E5" s="35">
        <f>SUMIF(Баги!$D$5:$D$64,1,Баги!$G$5:$G$64)</f>
        <v/>
      </c>
      <c r="F5" s="36">
        <f>IF(E5="","",IFERROR(E5/'Дорожная карта'!F6,0))</f>
        <v/>
      </c>
      <c r="G5" s="90">
        <f>COUNTIFS(Баги!$D$5:$D$64,1,Баги!$E$5:$E$64,"Critical")*5+COUNTIFS(Баги!$D$5:$D$64,1,Баги!$E$5:$E$64,"Major")*3+COUNTIFS(Баги!$D$5:$D$64,1,Баги!$E$5:$E$64,"Minor")*1</f>
        <v/>
      </c>
      <c r="H5" s="111">
        <f>IFERROR(B5/'Дорожная карта'!I6,"")</f>
        <v/>
      </c>
      <c r="I5" s="90">
        <f>COUNTIFS(Баги!$D$5:$D$64,1,Баги!$H$5:$H$64,"Да")</f>
        <v/>
      </c>
    </row>
    <row r="6">
      <c r="A6" s="63" t="inlineStr">
        <is>
          <t>Спринт 2</t>
        </is>
      </c>
      <c r="B6" s="64">
        <f>COUNTIF(Баги!$D$5:$D$64,2)</f>
        <v/>
      </c>
      <c r="C6" s="64">
        <f>COUNTIFS(Баги!$D$5:$D$64,2,Баги!$F$5:$F$64,"Закрыт")</f>
        <v/>
      </c>
      <c r="D6" s="64">
        <f>IF(B6="",D5,MAX(0,N(D5)+B6-C6))</f>
        <v/>
      </c>
      <c r="E6" s="35">
        <f>SUMIF(Баги!$D$5:$D$64,2,Баги!$G$5:$G$64)</f>
        <v/>
      </c>
      <c r="F6" s="36">
        <f>IF(E6="","",IFERROR(E6/'Дорожная карта'!F7,0))</f>
        <v/>
      </c>
      <c r="G6" s="90">
        <f>COUNTIFS(Баги!$D$5:$D$64,2,Баги!$E$5:$E$64,"Critical")*5+COUNTIFS(Баги!$D$5:$D$64,2,Баги!$E$5:$E$64,"Major")*3+COUNTIFS(Баги!$D$5:$D$64,2,Баги!$E$5:$E$64,"Minor")*1</f>
        <v/>
      </c>
      <c r="H6" s="111">
        <f>IFERROR(B6/'Дорожная карта'!I7,"")</f>
        <v/>
      </c>
      <c r="I6" s="90">
        <f>COUNTIFS(Баги!$D$5:$D$64,2,Баги!$H$5:$H$64,"Да")</f>
        <v/>
      </c>
    </row>
    <row r="7">
      <c r="A7" s="63" t="inlineStr">
        <is>
          <t>Спринт 3</t>
        </is>
      </c>
      <c r="B7" s="64">
        <f>COUNTIF(Баги!$D$5:$D$64,3)</f>
        <v/>
      </c>
      <c r="C7" s="64">
        <f>COUNTIFS(Баги!$D$5:$D$64,3,Баги!$F$5:$F$64,"Закрыт")</f>
        <v/>
      </c>
      <c r="D7" s="64">
        <f>IF(B7="",D6,MAX(0,N(D6)+B7-C7))</f>
        <v/>
      </c>
      <c r="E7" s="35">
        <f>SUMIF(Баги!$D$5:$D$64,3,Баги!$G$5:$G$64)</f>
        <v/>
      </c>
      <c r="F7" s="36">
        <f>IF(E7="","",IFERROR(E7/'Дорожная карта'!F8,0))</f>
        <v/>
      </c>
      <c r="G7" s="90">
        <f>COUNTIFS(Баги!$D$5:$D$64,3,Баги!$E$5:$E$64,"Critical")*5+COUNTIFS(Баги!$D$5:$D$64,3,Баги!$E$5:$E$64,"Major")*3+COUNTIFS(Баги!$D$5:$D$64,3,Баги!$E$5:$E$64,"Minor")*1</f>
        <v/>
      </c>
      <c r="H7" s="111">
        <f>IFERROR(B7/'Дорожная карта'!I8,"")</f>
        <v/>
      </c>
      <c r="I7" s="90">
        <f>COUNTIFS(Баги!$D$5:$D$64,3,Баги!$H$5:$H$64,"Да")</f>
        <v/>
      </c>
    </row>
    <row r="8">
      <c r="A8" s="63" t="inlineStr">
        <is>
          <t>Спринт 4</t>
        </is>
      </c>
      <c r="B8" s="64">
        <f>COUNTIF(Баги!$D$5:$D$64,4)</f>
        <v/>
      </c>
      <c r="C8" s="64">
        <f>COUNTIFS(Баги!$D$5:$D$64,4,Баги!$F$5:$F$64,"Закрыт")</f>
        <v/>
      </c>
      <c r="D8" s="64">
        <f>IF(B8="",D7,MAX(0,N(D7)+B8-C8))</f>
        <v/>
      </c>
      <c r="E8" s="35">
        <f>SUMIF(Баги!$D$5:$D$64,4,Баги!$G$5:$G$64)</f>
        <v/>
      </c>
      <c r="F8" s="36">
        <f>IF(E8="","",IFERROR(E8/'Дорожная карта'!F9,0))</f>
        <v/>
      </c>
      <c r="G8" s="90">
        <f>COUNTIFS(Баги!$D$5:$D$64,4,Баги!$E$5:$E$64,"Critical")*5+COUNTIFS(Баги!$D$5:$D$64,4,Баги!$E$5:$E$64,"Major")*3+COUNTIFS(Баги!$D$5:$D$64,4,Баги!$E$5:$E$64,"Minor")*1</f>
        <v/>
      </c>
      <c r="H8" s="111">
        <f>IFERROR(B8/'Дорожная карта'!I9,"")</f>
        <v/>
      </c>
      <c r="I8" s="90">
        <f>COUNTIFS(Баги!$D$5:$D$64,4,Баги!$H$5:$H$64,"Да")</f>
        <v/>
      </c>
    </row>
    <row r="9">
      <c r="A9" s="63" t="inlineStr">
        <is>
          <t>Спринт 5</t>
        </is>
      </c>
      <c r="B9" s="64">
        <f>COUNTIF(Баги!$D$5:$D$64,5)</f>
        <v/>
      </c>
      <c r="C9" s="64">
        <f>COUNTIFS(Баги!$D$5:$D$64,5,Баги!$F$5:$F$64,"Закрыт")</f>
        <v/>
      </c>
      <c r="D9" s="64">
        <f>IF(B9="",D8,MAX(0,N(D8)+B9-C9))</f>
        <v/>
      </c>
      <c r="E9" s="35">
        <f>SUMIF(Баги!$D$5:$D$64,5,Баги!$G$5:$G$64)</f>
        <v/>
      </c>
      <c r="F9" s="36">
        <f>IF(E9="","",IFERROR(E9/'Дорожная карта'!F10,0))</f>
        <v/>
      </c>
      <c r="G9" s="90">
        <f>COUNTIFS(Баги!$D$5:$D$64,5,Баги!$E$5:$E$64,"Critical")*5+COUNTIFS(Баги!$D$5:$D$64,5,Баги!$E$5:$E$64,"Major")*3+COUNTIFS(Баги!$D$5:$D$64,5,Баги!$E$5:$E$64,"Minor")*1</f>
        <v/>
      </c>
      <c r="H9" s="111">
        <f>IFERROR(B9/'Дорожная карта'!I10,"")</f>
        <v/>
      </c>
      <c r="I9" s="90">
        <f>COUNTIFS(Баги!$D$5:$D$64,5,Баги!$H$5:$H$64,"Да")</f>
        <v/>
      </c>
    </row>
    <row r="10">
      <c r="A10" s="63" t="inlineStr">
        <is>
          <t>Спринт 6</t>
        </is>
      </c>
      <c r="B10" s="64">
        <f>COUNTIF(Баги!$D$5:$D$64,6)</f>
        <v/>
      </c>
      <c r="C10" s="64">
        <f>COUNTIFS(Баги!$D$5:$D$64,6,Баги!$F$5:$F$64,"Закрыт")</f>
        <v/>
      </c>
      <c r="D10" s="64">
        <f>IF(B10="",D9,MAX(0,N(D9)+B10-C10))</f>
        <v/>
      </c>
      <c r="E10" s="35">
        <f>SUMIF(Баги!$D$5:$D$64,6,Баги!$G$5:$G$64)</f>
        <v/>
      </c>
      <c r="F10" s="36">
        <f>IF(E10="","",IFERROR(E10/'Дорожная карта'!F11,0))</f>
        <v/>
      </c>
      <c r="G10" s="90">
        <f>COUNTIFS(Баги!$D$5:$D$64,6,Баги!$E$5:$E$64,"Critical")*5+COUNTIFS(Баги!$D$5:$D$64,6,Баги!$E$5:$E$64,"Major")*3+COUNTIFS(Баги!$D$5:$D$64,6,Баги!$E$5:$E$64,"Minor")*1</f>
        <v/>
      </c>
      <c r="H10" s="111">
        <f>IFERROR(B10/'Дорожная карта'!I11,"")</f>
        <v/>
      </c>
      <c r="I10" s="90">
        <f>COUNTIFS(Баги!$D$5:$D$64,6,Баги!$H$5:$H$64,"Да")</f>
        <v/>
      </c>
    </row>
    <row r="11">
      <c r="A11" s="63" t="inlineStr">
        <is>
          <t>Спринт 7</t>
        </is>
      </c>
      <c r="B11" s="64">
        <f>COUNTIF(Баги!$D$5:$D$64,7)</f>
        <v/>
      </c>
      <c r="C11" s="64">
        <f>COUNTIFS(Баги!$D$5:$D$64,7,Баги!$F$5:$F$64,"Закрыт")</f>
        <v/>
      </c>
      <c r="D11" s="64">
        <f>IF(B11="",D10,MAX(0,N(D10)+B11-C11))</f>
        <v/>
      </c>
      <c r="E11" s="35">
        <f>SUMIF(Баги!$D$5:$D$64,7,Баги!$G$5:$G$64)</f>
        <v/>
      </c>
      <c r="F11" s="36">
        <f>IF(E11="","",IFERROR(E11/'Дорожная карта'!F12,0))</f>
        <v/>
      </c>
      <c r="G11" s="90">
        <f>COUNTIFS(Баги!$D$5:$D$64,7,Баги!$E$5:$E$64,"Critical")*5+COUNTIFS(Баги!$D$5:$D$64,7,Баги!$E$5:$E$64,"Major")*3+COUNTIFS(Баги!$D$5:$D$64,7,Баги!$E$5:$E$64,"Minor")*1</f>
        <v/>
      </c>
      <c r="H11" s="111">
        <f>IFERROR(B11/'Дорожная карта'!I12,"")</f>
        <v/>
      </c>
      <c r="I11" s="90">
        <f>COUNTIFS(Баги!$D$5:$D$64,7,Баги!$H$5:$H$64,"Да")</f>
        <v/>
      </c>
    </row>
    <row r="12">
      <c r="A12" s="63" t="inlineStr">
        <is>
          <t>Спринт 8</t>
        </is>
      </c>
      <c r="B12" s="64">
        <f>COUNTIF(Баги!$D$5:$D$64,8)</f>
        <v/>
      </c>
      <c r="C12" s="64">
        <f>COUNTIFS(Баги!$D$5:$D$64,8,Баги!$F$5:$F$64,"Закрыт")</f>
        <v/>
      </c>
      <c r="D12" s="64">
        <f>IF(B12="",D11,MAX(0,N(D11)+B12-C12))</f>
        <v/>
      </c>
      <c r="E12" s="35">
        <f>SUMIF(Баги!$D$5:$D$64,8,Баги!$G$5:$G$64)</f>
        <v/>
      </c>
      <c r="F12" s="36">
        <f>IF(E12="","",IFERROR(E12/'Дорожная карта'!F13,0))</f>
        <v/>
      </c>
      <c r="G12" s="90">
        <f>COUNTIFS(Баги!$D$5:$D$64,8,Баги!$E$5:$E$64,"Critical")*5+COUNTIFS(Баги!$D$5:$D$64,8,Баги!$E$5:$E$64,"Major")*3+COUNTIFS(Баги!$D$5:$D$64,8,Баги!$E$5:$E$64,"Minor")*1</f>
        <v/>
      </c>
      <c r="H12" s="111">
        <f>IFERROR(B12/'Дорожная карта'!I13,"")</f>
        <v/>
      </c>
      <c r="I12" s="90">
        <f>COUNTIFS(Баги!$D$5:$D$64,8,Баги!$H$5:$H$64,"Да")</f>
        <v/>
      </c>
    </row>
    <row r="13">
      <c r="A13" s="63" t="inlineStr">
        <is>
          <t>Спринт 9</t>
        </is>
      </c>
      <c r="B13" s="64">
        <f>COUNTIF(Баги!$D$5:$D$64,9)</f>
        <v/>
      </c>
      <c r="C13" s="64">
        <f>COUNTIFS(Баги!$D$5:$D$64,9,Баги!$F$5:$F$64,"Закрыт")</f>
        <v/>
      </c>
      <c r="D13" s="64">
        <f>IF(B13="",D12,MAX(0,N(D12)+B13-C13))</f>
        <v/>
      </c>
      <c r="E13" s="35">
        <f>SUMIF(Баги!$D$5:$D$64,9,Баги!$G$5:$G$64)</f>
        <v/>
      </c>
      <c r="F13" s="36">
        <f>IF(E13="","",IFERROR(E13/'Дорожная карта'!F14,0))</f>
        <v/>
      </c>
      <c r="G13" s="90">
        <f>COUNTIFS(Баги!$D$5:$D$64,9,Баги!$E$5:$E$64,"Critical")*5+COUNTIFS(Баги!$D$5:$D$64,9,Баги!$E$5:$E$64,"Major")*3+COUNTIFS(Баги!$D$5:$D$64,9,Баги!$E$5:$E$64,"Minor")*1</f>
        <v/>
      </c>
      <c r="H13" s="111">
        <f>IFERROR(B13/'Дорожная карта'!I14,"")</f>
        <v/>
      </c>
      <c r="I13" s="90">
        <f>COUNTIFS(Баги!$D$5:$D$64,9,Баги!$H$5:$H$64,"Да")</f>
        <v/>
      </c>
    </row>
    <row r="14">
      <c r="A14" s="63" t="inlineStr">
        <is>
          <t>Спринт 10</t>
        </is>
      </c>
      <c r="B14" s="64">
        <f>COUNTIF(Баги!$D$5:$D$64,10)</f>
        <v/>
      </c>
      <c r="C14" s="64">
        <f>COUNTIFS(Баги!$D$5:$D$64,10,Баги!$F$5:$F$64,"Закрыт")</f>
        <v/>
      </c>
      <c r="D14" s="64">
        <f>IF(B14="",D13,MAX(0,N(D13)+B14-C14))</f>
        <v/>
      </c>
      <c r="E14" s="35">
        <f>SUMIF(Баги!$D$5:$D$64,10,Баги!$G$5:$G$64)</f>
        <v/>
      </c>
      <c r="F14" s="36">
        <f>IF(E14="","",IFERROR(E14/'Дорожная карта'!F15,0))</f>
        <v/>
      </c>
      <c r="G14" s="90">
        <f>COUNTIFS(Баги!$D$5:$D$64,10,Баги!$E$5:$E$64,"Critical")*5+COUNTIFS(Баги!$D$5:$D$64,10,Баги!$E$5:$E$64,"Major")*3+COUNTIFS(Баги!$D$5:$D$64,10,Баги!$E$5:$E$64,"Minor")*1</f>
        <v/>
      </c>
      <c r="H14" s="111">
        <f>IFERROR(B14/'Дорожная карта'!I15,"")</f>
        <v/>
      </c>
      <c r="I14" s="90">
        <f>COUNTIFS(Баги!$D$5:$D$64,10,Баги!$H$5:$H$64,"Да")</f>
        <v/>
      </c>
    </row>
    <row r="15">
      <c r="A15" s="63" t="inlineStr">
        <is>
          <t>Спринт 11</t>
        </is>
      </c>
      <c r="B15" s="64">
        <f>COUNTIF(Баги!$D$5:$D$64,11)</f>
        <v/>
      </c>
      <c r="C15" s="64">
        <f>COUNTIFS(Баги!$D$5:$D$64,11,Баги!$F$5:$F$64,"Закрыт")</f>
        <v/>
      </c>
      <c r="D15" s="64">
        <f>IF(B15="",D14,MAX(0,N(D14)+B15-C15))</f>
        <v/>
      </c>
      <c r="E15" s="35">
        <f>SUMIF(Баги!$D$5:$D$64,11,Баги!$G$5:$G$64)</f>
        <v/>
      </c>
      <c r="F15" s="36">
        <f>IF(E15="","",IFERROR(E15/'Дорожная карта'!F16,0))</f>
        <v/>
      </c>
      <c r="G15" s="90">
        <f>COUNTIFS(Баги!$D$5:$D$64,11,Баги!$E$5:$E$64,"Critical")*5+COUNTIFS(Баги!$D$5:$D$64,11,Баги!$E$5:$E$64,"Major")*3+COUNTIFS(Баги!$D$5:$D$64,11,Баги!$E$5:$E$64,"Minor")*1</f>
        <v/>
      </c>
      <c r="H15" s="111">
        <f>IFERROR(B15/'Дорожная карта'!I16,"")</f>
        <v/>
      </c>
      <c r="I15" s="90">
        <f>COUNTIFS(Баги!$D$5:$D$64,11,Баги!$H$5:$H$64,"Да")</f>
        <v/>
      </c>
    </row>
    <row r="16">
      <c r="A16" s="53" t="inlineStr">
        <is>
          <t>ИТОГО</t>
        </is>
      </c>
      <c r="B16" s="53">
        <f>SUM(B5:B15)</f>
        <v/>
      </c>
      <c r="C16" s="53">
        <f>SUM(C5:C15)</f>
        <v/>
      </c>
      <c r="D16" s="65" t="n"/>
      <c r="E16" s="54">
        <f>SUM(E5:E15)</f>
        <v/>
      </c>
      <c r="F16" s="65" t="n"/>
    </row>
  </sheetData>
  <pageMargins left="0.75" right="0.75" top="1" bottom="1" header="0.5" footer="0.5"/>
  <drawing xmlns:r="http://schemas.openxmlformats.org/officeDocument/2006/relationships" r:id="rId1"/>
</worksheet>
</file>

<file path=xl/worksheets/sheet24.xml><?xml version="1.0" encoding="utf-8"?>
<worksheet xmlns="http://schemas.openxmlformats.org/spreadsheetml/2006/main">
  <sheetPr>
    <outlinePr summaryBelow="1" summaryRight="1"/>
    <pageSetUpPr/>
  </sheetPr>
  <dimension ref="A1:P64"/>
  <sheetViews>
    <sheetView showGridLines="0" topLeftCell="F1" workbookViewId="0">
      <pane ySplit="4" topLeftCell="A36" activePane="bottomLeft" state="frozen"/>
      <selection pane="bottomLeft" activeCell="K2" sqref="K2"/>
    </sheetView>
  </sheetViews>
  <sheetFormatPr baseColWidth="8" defaultRowHeight="14.4"/>
  <cols>
    <col width="8" customWidth="1" min="1" max="1"/>
    <col width="32" customWidth="1" min="2" max="2"/>
    <col width="10" customWidth="1" min="3" max="3"/>
    <col width="9" customWidth="1" min="4" max="4"/>
    <col width="12" customWidth="1" min="5" max="5"/>
    <col width="11" customWidth="1" min="6" max="7"/>
    <col width="18.109375" customWidth="1" min="8" max="8"/>
    <col width="14" customWidth="1" min="9" max="9"/>
    <col width="8" customWidth="1" min="10" max="11"/>
    <col width="9" customWidth="1" min="12" max="13"/>
    <col width="11" customWidth="1" min="14" max="14"/>
    <col width="10" customWidth="1" min="15" max="15"/>
    <col hidden="1" width="13" customWidth="1" min="16" max="16"/>
  </cols>
  <sheetData>
    <row r="1" ht="15.6" customHeight="1">
      <c r="A1" s="58" t="inlineStr">
        <is>
          <t>Реестр багов (связь с задачами)</t>
        </is>
      </c>
    </row>
    <row r="2">
      <c r="A2" s="38" t="inlineStr">
        <is>
          <t>Каждый баг привязан к задаче из «Бэклога» и спринту. Лист «Качество» считает метрики автоматически из этого реестра.</t>
        </is>
      </c>
    </row>
    <row r="4" ht="27.6" customHeight="1">
      <c r="A4" s="39" t="inlineStr">
        <is>
          <t>ID</t>
        </is>
      </c>
      <c r="B4" s="39" t="inlineStr">
        <is>
          <t>Описание</t>
        </is>
      </c>
      <c r="C4" s="39" t="inlineStr">
        <is>
          <t>Задача</t>
        </is>
      </c>
      <c r="D4" s="39" t="inlineStr">
        <is>
          <t>Спринт</t>
        </is>
      </c>
      <c r="E4" s="39" t="inlineStr">
        <is>
          <t>Серьёзность</t>
        </is>
      </c>
      <c r="F4" s="39" t="inlineStr">
        <is>
          <t>Статус</t>
        </is>
      </c>
      <c r="G4" s="39" t="inlineStr">
        <is>
          <t>Время (дн)</t>
        </is>
      </c>
      <c r="H4" s="92" t="inlineStr">
        <is>
          <t>Переоткрывался</t>
        </is>
      </c>
      <c r="I4" s="161" t="inlineStr">
        <is>
          <t>Причина</t>
        </is>
      </c>
      <c r="J4" s="142" t="inlineStr">
        <is>
          <t>Сводка по багам (по спринтам)</t>
        </is>
      </c>
    </row>
    <row r="5" ht="27.6" customHeight="1">
      <c r="A5" s="50" t="inlineStr">
        <is>
          <t>B-01</t>
        </is>
      </c>
      <c r="B5" s="57" t="inlineStr">
        <is>
          <t>Ошибка валидации email</t>
        </is>
      </c>
      <c r="C5" s="50" t="inlineStr">
        <is>
          <t>T-01</t>
        </is>
      </c>
      <c r="D5" s="33" t="n">
        <v>1</v>
      </c>
      <c r="E5" s="50" t="inlineStr">
        <is>
          <t>Major</t>
        </is>
      </c>
      <c r="F5" s="50" t="inlineStr">
        <is>
          <t>Закрыт</t>
        </is>
      </c>
      <c r="G5" s="71" t="n">
        <v>0.5</v>
      </c>
      <c r="H5" s="109" t="inlineStr">
        <is>
          <t>Нет</t>
        </is>
      </c>
      <c r="I5" s="175" t="inlineStr">
        <is>
          <t>Интеграция</t>
        </is>
      </c>
      <c r="J5" s="143" t="inlineStr">
        <is>
          <t>Спринт</t>
        </is>
      </c>
      <c r="K5" s="143" t="inlineStr">
        <is>
          <t>Всего</t>
        </is>
      </c>
      <c r="L5" s="143" t="inlineStr">
        <is>
          <t>Закрыто</t>
        </is>
      </c>
      <c r="M5" s="143" t="inlineStr">
        <is>
          <t>Открыто</t>
        </is>
      </c>
      <c r="N5" s="143" t="inlineStr">
        <is>
          <t>% закрытых</t>
        </is>
      </c>
      <c r="O5" s="143" t="inlineStr">
        <is>
          <t>% от всех</t>
        </is>
      </c>
    </row>
    <row r="6">
      <c r="A6" s="50" t="inlineStr">
        <is>
          <t>B-02</t>
        </is>
      </c>
      <c r="B6" s="57" t="inlineStr">
        <is>
          <t>Падение при пустой корзине</t>
        </is>
      </c>
      <c r="C6" s="50" t="inlineStr">
        <is>
          <t>T-02</t>
        </is>
      </c>
      <c r="D6" s="33" t="n">
        <v>1</v>
      </c>
      <c r="E6" s="50" t="inlineStr">
        <is>
          <t>Critical</t>
        </is>
      </c>
      <c r="F6" s="50" t="inlineStr">
        <is>
          <t>Закрыт</t>
        </is>
      </c>
      <c r="G6" s="71" t="n">
        <v>0.5</v>
      </c>
      <c r="H6" s="109" t="inlineStr">
        <is>
          <t>Нет</t>
        </is>
      </c>
      <c r="I6" s="175" t="inlineStr">
        <is>
          <t>Код</t>
        </is>
      </c>
      <c r="J6" s="144" t="n">
        <v>1</v>
      </c>
      <c r="K6" s="144">
        <f>COUNTIF($D$5:$D$64,J6)</f>
        <v/>
      </c>
      <c r="L6" s="144">
        <f>COUNTIFS($D$5:$D$64,J6,$F$5:$F$64,"Закрыт")</f>
        <v/>
      </c>
      <c r="M6" s="144">
        <f>K6-L6</f>
        <v/>
      </c>
      <c r="N6" s="145">
        <f>IFERROR(L6/K6,"")</f>
        <v/>
      </c>
      <c r="O6" s="145">
        <f>IFERROR(K6/$K$17,0)</f>
        <v/>
      </c>
      <c r="P6">
        <f>IF(K6=0,NA(),K6)</f>
        <v/>
      </c>
    </row>
    <row r="7">
      <c r="A7" s="50" t="inlineStr">
        <is>
          <t>B-03</t>
        </is>
      </c>
      <c r="B7" s="57" t="inlineStr">
        <is>
          <t>Неверный расчёт скидки</t>
        </is>
      </c>
      <c r="C7" s="50" t="inlineStr">
        <is>
          <t>T-01</t>
        </is>
      </c>
      <c r="D7" s="33" t="n">
        <v>1</v>
      </c>
      <c r="E7" s="50" t="inlineStr">
        <is>
          <t>Major</t>
        </is>
      </c>
      <c r="F7" s="50" t="inlineStr">
        <is>
          <t>Закрыт</t>
        </is>
      </c>
      <c r="G7" s="71" t="n">
        <v>0.5</v>
      </c>
      <c r="H7" s="109" t="inlineStr">
        <is>
          <t>Нет</t>
        </is>
      </c>
      <c r="I7" s="175" t="inlineStr">
        <is>
          <t>Требования</t>
        </is>
      </c>
      <c r="J7" s="144" t="n">
        <v>2</v>
      </c>
      <c r="K7" s="144">
        <f>COUNTIF($D$5:$D$64,J7)</f>
        <v/>
      </c>
      <c r="L7" s="144">
        <f>COUNTIFS($D$5:$D$64,J7,$F$5:$F$64,"Закрыт")</f>
        <v/>
      </c>
      <c r="M7" s="144">
        <f>K7-L7</f>
        <v/>
      </c>
      <c r="N7" s="145">
        <f>IFERROR(L7/K7,"")</f>
        <v/>
      </c>
      <c r="O7" s="145">
        <f>IFERROR(K7/$K$17,0)</f>
        <v/>
      </c>
      <c r="P7">
        <f>IF(K7=0,NA(),K7)</f>
        <v/>
      </c>
    </row>
    <row r="8" ht="27.6" customHeight="1">
      <c r="A8" s="50" t="inlineStr">
        <is>
          <t>B-04</t>
        </is>
      </c>
      <c r="B8" s="57" t="inlineStr">
        <is>
          <t>Съезжает вёрстка на мобильном</t>
        </is>
      </c>
      <c r="C8" s="50" t="inlineStr">
        <is>
          <t>T-02</t>
        </is>
      </c>
      <c r="D8" s="33" t="n">
        <v>1</v>
      </c>
      <c r="E8" s="50" t="inlineStr">
        <is>
          <t>Minor</t>
        </is>
      </c>
      <c r="F8" s="50" t="inlineStr">
        <is>
          <t>Закрыт</t>
        </is>
      </c>
      <c r="G8" s="71" t="n">
        <v>0.3</v>
      </c>
      <c r="H8" s="109" t="inlineStr">
        <is>
          <t>Нет</t>
        </is>
      </c>
      <c r="I8" s="175" t="inlineStr">
        <is>
          <t>Тестирование</t>
        </is>
      </c>
      <c r="J8" s="144" t="n">
        <v>3</v>
      </c>
      <c r="K8" s="144">
        <f>COUNTIF($D$5:$D$64,J8)</f>
        <v/>
      </c>
      <c r="L8" s="144">
        <f>COUNTIFS($D$5:$D$64,J8,$F$5:$F$64,"Закрыт")</f>
        <v/>
      </c>
      <c r="M8" s="144">
        <f>K8-L8</f>
        <v/>
      </c>
      <c r="N8" s="145">
        <f>IFERROR(L8/K8,"")</f>
        <v/>
      </c>
      <c r="O8" s="145">
        <f>IFERROR(K8/$K$17,0)</f>
        <v/>
      </c>
      <c r="P8">
        <f>IF(K8=0,NA(),K8)</f>
        <v/>
      </c>
    </row>
    <row r="9">
      <c r="A9" s="50" t="inlineStr">
        <is>
          <t>B-05</t>
        </is>
      </c>
      <c r="B9" s="57" t="inlineStr">
        <is>
          <t>Таймаут платежа</t>
        </is>
      </c>
      <c r="C9" s="50" t="inlineStr">
        <is>
          <t>T-03</t>
        </is>
      </c>
      <c r="D9" s="33" t="n">
        <v>1</v>
      </c>
      <c r="E9" s="50" t="inlineStr">
        <is>
          <t>Major</t>
        </is>
      </c>
      <c r="F9" s="50" t="inlineStr">
        <is>
          <t>Открыт</t>
        </is>
      </c>
      <c r="G9" s="71" t="n">
        <v>0.2</v>
      </c>
      <c r="H9" s="109" t="inlineStr">
        <is>
          <t>Нет</t>
        </is>
      </c>
      <c r="I9" s="175" t="inlineStr">
        <is>
          <t>Интеграция</t>
        </is>
      </c>
      <c r="J9" s="144" t="n">
        <v>4</v>
      </c>
      <c r="K9" s="144">
        <f>COUNTIF($D$5:$D$64,J9)</f>
        <v/>
      </c>
      <c r="L9" s="144">
        <f>COUNTIFS($D$5:$D$64,J9,$F$5:$F$64,"Закрыт")</f>
        <v/>
      </c>
      <c r="M9" s="144">
        <f>K9-L9</f>
        <v/>
      </c>
      <c r="N9" s="145">
        <f>IFERROR(L9/K9,"")</f>
        <v/>
      </c>
      <c r="O9" s="145">
        <f>IFERROR(K9/$K$17,0)</f>
        <v/>
      </c>
      <c r="P9">
        <f>IF(K9=0,NA(),K9)</f>
        <v/>
      </c>
    </row>
    <row r="10">
      <c r="A10" s="50" t="inlineStr">
        <is>
          <t>B-06</t>
        </is>
      </c>
      <c r="B10" s="57" t="inlineStr">
        <is>
          <t>Дубли заказов</t>
        </is>
      </c>
      <c r="C10" s="50" t="inlineStr">
        <is>
          <t>T-03</t>
        </is>
      </c>
      <c r="D10" s="33" t="n">
        <v>2</v>
      </c>
      <c r="E10" s="50" t="inlineStr">
        <is>
          <t>Critical</t>
        </is>
      </c>
      <c r="F10" s="50" t="inlineStr">
        <is>
          <t>Закрыт</t>
        </is>
      </c>
      <c r="G10" s="71" t="n">
        <v>0.4</v>
      </c>
      <c r="H10" s="109" t="inlineStr">
        <is>
          <t>Да</t>
        </is>
      </c>
      <c r="I10" s="175" t="inlineStr">
        <is>
          <t>Код</t>
        </is>
      </c>
      <c r="J10" s="144" t="n">
        <v>5</v>
      </c>
      <c r="K10" s="144">
        <f>COUNTIF($D$5:$D$64,J10)</f>
        <v/>
      </c>
      <c r="L10" s="144">
        <f>COUNTIFS($D$5:$D$64,J10,$F$5:$F$64,"Закрыт")</f>
        <v/>
      </c>
      <c r="M10" s="144">
        <f>K10-L10</f>
        <v/>
      </c>
      <c r="N10" s="145">
        <f>IFERROR(L10/K10,"")</f>
        <v/>
      </c>
      <c r="O10" s="145">
        <f>IFERROR(K10/$K$17,0)</f>
        <v/>
      </c>
      <c r="P10">
        <f>IF(K10=0,NA(),K10)</f>
        <v/>
      </c>
    </row>
    <row r="11" ht="27.6" customHeight="1">
      <c r="A11" s="50" t="inlineStr">
        <is>
          <t>B-07</t>
        </is>
      </c>
      <c r="B11" s="57" t="inlineStr">
        <is>
          <t>Не приходит письмо-подтверждение</t>
        </is>
      </c>
      <c r="C11" s="50" t="inlineStr">
        <is>
          <t>T-08</t>
        </is>
      </c>
      <c r="D11" s="33" t="n">
        <v>2</v>
      </c>
      <c r="E11" s="50" t="inlineStr">
        <is>
          <t>Major</t>
        </is>
      </c>
      <c r="F11" s="50" t="inlineStr">
        <is>
          <t>Закрыт</t>
        </is>
      </c>
      <c r="G11" s="71" t="n">
        <v>0.3</v>
      </c>
      <c r="H11" s="109" t="inlineStr">
        <is>
          <t>Нет</t>
        </is>
      </c>
      <c r="I11" s="175" t="inlineStr">
        <is>
          <t>Требования</t>
        </is>
      </c>
      <c r="J11" s="144" t="n">
        <v>6</v>
      </c>
      <c r="K11" s="144">
        <f>COUNTIF($D$5:$D$64,J11)</f>
        <v/>
      </c>
      <c r="L11" s="144">
        <f>COUNTIFS($D$5:$D$64,J11,$F$5:$F$64,"Закрыт")</f>
        <v/>
      </c>
      <c r="M11" s="144">
        <f>K11-L11</f>
        <v/>
      </c>
      <c r="N11" s="145">
        <f>IFERROR(L11/K11,"")</f>
        <v/>
      </c>
      <c r="O11" s="145">
        <f>IFERROR(K11/$K$17,0)</f>
        <v/>
      </c>
      <c r="P11">
        <f>IF(K11=0,NA(),K11)</f>
        <v/>
      </c>
    </row>
    <row r="12">
      <c r="A12" s="50" t="inlineStr">
        <is>
          <t>B-08</t>
        </is>
      </c>
      <c r="B12" s="57" t="inlineStr">
        <is>
          <t>Ошибка 500 при оплате</t>
        </is>
      </c>
      <c r="C12" s="50" t="inlineStr">
        <is>
          <t>T-03</t>
        </is>
      </c>
      <c r="D12" s="33" t="n">
        <v>2</v>
      </c>
      <c r="E12" s="50" t="inlineStr">
        <is>
          <t>Critical</t>
        </is>
      </c>
      <c r="F12" s="50" t="inlineStr">
        <is>
          <t>Закрыт</t>
        </is>
      </c>
      <c r="G12" s="71" t="n">
        <v>0.3</v>
      </c>
      <c r="H12" s="109" t="inlineStr">
        <is>
          <t>Нет</t>
        </is>
      </c>
      <c r="I12" s="175" t="inlineStr">
        <is>
          <t>Интеграция</t>
        </is>
      </c>
      <c r="J12" s="144" t="n">
        <v>7</v>
      </c>
      <c r="K12" s="144">
        <f>COUNTIF($D$5:$D$64,J12)</f>
        <v/>
      </c>
      <c r="L12" s="144">
        <f>COUNTIFS($D$5:$D$64,J12,$F$5:$F$64,"Закрыт")</f>
        <v/>
      </c>
      <c r="M12" s="144">
        <f>K12-L12</f>
        <v/>
      </c>
      <c r="N12" s="145">
        <f>IFERROR(L12/K12,"")</f>
        <v/>
      </c>
      <c r="O12" s="145">
        <f>IFERROR(K12/$K$17,0)</f>
        <v/>
      </c>
      <c r="P12">
        <f>IF(K12=0,NA(),K12)</f>
        <v/>
      </c>
    </row>
    <row r="13">
      <c r="A13" s="50" t="inlineStr">
        <is>
          <t>B-09</t>
        </is>
      </c>
      <c r="B13" s="57" t="inlineStr">
        <is>
          <t>Неверный НДС в чеке</t>
        </is>
      </c>
      <c r="C13" s="50" t="inlineStr">
        <is>
          <t>T-06</t>
        </is>
      </c>
      <c r="D13" s="33" t="n">
        <v>2</v>
      </c>
      <c r="E13" s="50" t="inlineStr">
        <is>
          <t>Major</t>
        </is>
      </c>
      <c r="F13" s="50" t="inlineStr">
        <is>
          <t>Закрыт</t>
        </is>
      </c>
      <c r="G13" s="71" t="n">
        <v>0.2</v>
      </c>
      <c r="H13" s="109" t="inlineStr">
        <is>
          <t>Нет</t>
        </is>
      </c>
      <c r="I13" s="175" t="inlineStr">
        <is>
          <t>Данные</t>
        </is>
      </c>
      <c r="J13" s="144" t="n">
        <v>8</v>
      </c>
      <c r="K13" s="144">
        <f>COUNTIF($D$5:$D$64,J13)</f>
        <v/>
      </c>
      <c r="L13" s="144">
        <f>COUNTIFS($D$5:$D$64,J13,$F$5:$F$64,"Закрыт")</f>
        <v/>
      </c>
      <c r="M13" s="144">
        <f>K13-L13</f>
        <v/>
      </c>
      <c r="N13" s="145">
        <f>IFERROR(L13/K13,"")</f>
        <v/>
      </c>
      <c r="O13" s="145">
        <f>IFERROR(K13/$K$17,0)</f>
        <v/>
      </c>
      <c r="P13">
        <f>IF(K13=0,NA(),K13)</f>
        <v/>
      </c>
    </row>
    <row r="14">
      <c r="A14" s="50" t="inlineStr">
        <is>
          <t>B-10</t>
        </is>
      </c>
      <c r="B14" s="57" t="inlineStr">
        <is>
          <t>Кнопка оформления неактивна</t>
        </is>
      </c>
      <c r="C14" s="50" t="inlineStr">
        <is>
          <t>T-02</t>
        </is>
      </c>
      <c r="D14" s="33" t="n">
        <v>2</v>
      </c>
      <c r="E14" s="50" t="inlineStr">
        <is>
          <t>Minor</t>
        </is>
      </c>
      <c r="F14" s="50" t="inlineStr">
        <is>
          <t>Закрыт</t>
        </is>
      </c>
      <c r="G14" s="71" t="n">
        <v>0.1</v>
      </c>
      <c r="H14" s="109" t="inlineStr">
        <is>
          <t>Нет</t>
        </is>
      </c>
      <c r="I14" s="175" t="inlineStr">
        <is>
          <t>Код</t>
        </is>
      </c>
      <c r="J14" s="144" t="n">
        <v>9</v>
      </c>
      <c r="K14" s="144">
        <f>COUNTIF($D$5:$D$64,J14)</f>
        <v/>
      </c>
      <c r="L14" s="144">
        <f>COUNTIFS($D$5:$D$64,J14,$F$5:$F$64,"Закрыт")</f>
        <v/>
      </c>
      <c r="M14" s="144">
        <f>K14-L14</f>
        <v/>
      </c>
      <c r="N14" s="145">
        <f>IFERROR(L14/K14,"")</f>
        <v/>
      </c>
      <c r="O14" s="145">
        <f>IFERROR(K14/$K$17,0)</f>
        <v/>
      </c>
      <c r="P14">
        <f>IF(K14=0,NA(),K14)</f>
        <v/>
      </c>
    </row>
    <row r="15">
      <c r="A15" s="50" t="inlineStr">
        <is>
          <t>B-11</t>
        </is>
      </c>
      <c r="B15" s="57" t="inlineStr">
        <is>
          <t>Переполнение логов</t>
        </is>
      </c>
      <c r="C15" s="50" t="inlineStr">
        <is>
          <t>T-05</t>
        </is>
      </c>
      <c r="D15" s="33" t="n">
        <v>2</v>
      </c>
      <c r="E15" s="50" t="inlineStr">
        <is>
          <t>Minor</t>
        </is>
      </c>
      <c r="F15" s="50" t="inlineStr">
        <is>
          <t>Закрыт</t>
        </is>
      </c>
      <c r="G15" s="71" t="n">
        <v>0.2</v>
      </c>
      <c r="H15" s="109" t="inlineStr">
        <is>
          <t>Нет</t>
        </is>
      </c>
      <c r="I15" s="175" t="inlineStr">
        <is>
          <t>Требования</t>
        </is>
      </c>
      <c r="J15" s="144" t="n">
        <v>10</v>
      </c>
      <c r="K15" s="144">
        <f>COUNTIF($D$5:$D$64,J15)</f>
        <v/>
      </c>
      <c r="L15" s="144">
        <f>COUNTIFS($D$5:$D$64,J15,$F$5:$F$64,"Закрыт")</f>
        <v/>
      </c>
      <c r="M15" s="144">
        <f>K15-L15</f>
        <v/>
      </c>
      <c r="N15" s="145">
        <f>IFERROR(L15/K15,"")</f>
        <v/>
      </c>
      <c r="O15" s="145">
        <f>IFERROR(K15/$K$17,0)</f>
        <v/>
      </c>
      <c r="P15">
        <f>IF(K15=0,NA(),K15)</f>
        <v/>
      </c>
    </row>
    <row r="16" ht="27.6" customHeight="1">
      <c r="A16" s="50" t="inlineStr">
        <is>
          <t>B-12</t>
        </is>
      </c>
      <c r="B16" s="57" t="inlineStr">
        <is>
          <t>Медленный поиск заказов</t>
        </is>
      </c>
      <c r="C16" s="50" t="inlineStr">
        <is>
          <t>T-04</t>
        </is>
      </c>
      <c r="D16" s="33" t="n">
        <v>3</v>
      </c>
      <c r="E16" s="50" t="inlineStr">
        <is>
          <t>Major</t>
        </is>
      </c>
      <c r="F16" s="50" t="inlineStr">
        <is>
          <t>Открыт</t>
        </is>
      </c>
      <c r="G16" s="71" t="n">
        <v>0</v>
      </c>
      <c r="H16" s="109" t="inlineStr">
        <is>
          <t>Нет</t>
        </is>
      </c>
      <c r="I16" s="175" t="inlineStr">
        <is>
          <t>Тестирование</t>
        </is>
      </c>
      <c r="J16" s="144" t="n">
        <v>11</v>
      </c>
      <c r="K16" s="144">
        <f>COUNTIF($D$5:$D$64,J16)</f>
        <v/>
      </c>
      <c r="L16" s="144">
        <f>COUNTIFS($D$5:$D$64,J16,$F$5:$F$64,"Закрыт")</f>
        <v/>
      </c>
      <c r="M16" s="144">
        <f>K16-L16</f>
        <v/>
      </c>
      <c r="N16" s="145">
        <f>IFERROR(L16/K16,"")</f>
        <v/>
      </c>
      <c r="O16" s="145">
        <f>IFERROR(K16/$K$17,0)</f>
        <v/>
      </c>
      <c r="P16">
        <f>IF(K16=0,NA(),K16)</f>
        <v/>
      </c>
    </row>
    <row r="17">
      <c r="A17" s="50" t="inlineStr">
        <is>
          <t>B-13</t>
        </is>
      </c>
      <c r="B17" s="57" t="inlineStr">
        <is>
          <t>Падает экспорт отчёта</t>
        </is>
      </c>
      <c r="C17" s="50" t="inlineStr">
        <is>
          <t>T-07</t>
        </is>
      </c>
      <c r="D17" s="33" t="n">
        <v>3</v>
      </c>
      <c r="E17" s="50" t="inlineStr">
        <is>
          <t>Minor</t>
        </is>
      </c>
      <c r="F17" s="50" t="inlineStr">
        <is>
          <t>Открыт</t>
        </is>
      </c>
      <c r="G17" s="71" t="n">
        <v>0</v>
      </c>
      <c r="H17" s="109" t="inlineStr">
        <is>
          <t>Нет</t>
        </is>
      </c>
      <c r="I17" s="175" t="inlineStr">
        <is>
          <t>Интеграция</t>
        </is>
      </c>
      <c r="J17" s="146" t="inlineStr">
        <is>
          <t>ИТОГО</t>
        </is>
      </c>
      <c r="K17" s="146">
        <f>SUM(K6:K16)</f>
        <v/>
      </c>
      <c r="L17" s="146">
        <f>SUM(L6:L16)</f>
        <v/>
      </c>
      <c r="M17" s="146">
        <f>SUM(M6:M16)</f>
        <v/>
      </c>
      <c r="N17" s="147">
        <f>IFERROR(L17/K17,0)</f>
        <v/>
      </c>
      <c r="O17" s="147">
        <f>IFERROR(K17/K17,0)</f>
        <v/>
      </c>
    </row>
    <row r="18">
      <c r="A18" s="50" t="n"/>
      <c r="B18" s="57" t="n"/>
      <c r="C18" s="50" t="n"/>
      <c r="D18" s="33" t="n"/>
      <c r="E18" s="50" t="n"/>
      <c r="F18" s="50" t="n"/>
      <c r="G18" s="71" t="n"/>
      <c r="H18" s="109" t="n"/>
      <c r="I18" s="185" t="n"/>
    </row>
    <row r="19">
      <c r="A19" s="50" t="n"/>
      <c r="B19" s="57" t="n"/>
      <c r="C19" s="50" t="n"/>
      <c r="D19" s="33" t="n"/>
      <c r="E19" s="50" t="n"/>
      <c r="F19" s="50" t="n"/>
      <c r="G19" s="71" t="n"/>
      <c r="H19" s="109" t="n"/>
      <c r="I19" s="185" t="n"/>
      <c r="J19" s="14" t="inlineStr">
        <is>
          <t>Всего багов:</t>
        </is>
      </c>
      <c r="L19" s="148">
        <f>K17</f>
        <v/>
      </c>
    </row>
    <row r="20">
      <c r="A20" s="50" t="n"/>
      <c r="B20" s="57" t="n"/>
      <c r="C20" s="50" t="n"/>
      <c r="D20" s="33" t="n"/>
      <c r="E20" s="50" t="n"/>
      <c r="F20" s="50" t="n"/>
      <c r="G20" s="71" t="n"/>
      <c r="H20" s="109" t="n"/>
      <c r="I20" s="185" t="n"/>
      <c r="J20" s="14" t="inlineStr">
        <is>
          <t>% закрытых (всего):</t>
        </is>
      </c>
      <c r="L20" s="149">
        <f>IFERROR(L17/K17,0)</f>
        <v/>
      </c>
    </row>
    <row r="21">
      <c r="A21" s="50" t="n"/>
      <c r="B21" s="57" t="n"/>
      <c r="C21" s="50" t="n"/>
      <c r="D21" s="33" t="n"/>
      <c r="E21" s="50" t="n"/>
      <c r="F21" s="50" t="n"/>
      <c r="G21" s="71" t="n"/>
      <c r="H21" s="109" t="n"/>
      <c r="I21" s="185" t="n"/>
    </row>
    <row r="22">
      <c r="A22" s="50" t="n"/>
      <c r="B22" s="57" t="n"/>
      <c r="C22" s="50" t="n"/>
      <c r="D22" s="33" t="n"/>
      <c r="E22" s="50" t="n"/>
      <c r="F22" s="50" t="n"/>
      <c r="G22" s="71" t="n"/>
      <c r="H22" s="109" t="n"/>
      <c r="I22" s="185" t="n"/>
    </row>
    <row r="23">
      <c r="A23" s="50" t="n"/>
      <c r="B23" s="57" t="n"/>
      <c r="C23" s="50" t="n"/>
      <c r="D23" s="33" t="n"/>
      <c r="E23" s="50" t="n"/>
      <c r="F23" s="50" t="n"/>
      <c r="G23" s="71" t="n"/>
      <c r="H23" s="109" t="n"/>
      <c r="I23" s="185" t="n"/>
    </row>
    <row r="24">
      <c r="A24" s="50" t="n"/>
      <c r="B24" s="57" t="n"/>
      <c r="C24" s="50" t="n"/>
      <c r="D24" s="33" t="n"/>
      <c r="E24" s="50" t="n"/>
      <c r="F24" s="50" t="n"/>
      <c r="G24" s="71" t="n"/>
      <c r="H24" s="109" t="n"/>
      <c r="I24" s="185" t="n"/>
    </row>
    <row r="25">
      <c r="A25" s="50" t="n"/>
      <c r="B25" s="57" t="n"/>
      <c r="C25" s="50" t="n"/>
      <c r="D25" s="33" t="n"/>
      <c r="E25" s="50" t="n"/>
      <c r="F25" s="50" t="n"/>
      <c r="G25" s="71" t="n"/>
      <c r="H25" s="109" t="n"/>
      <c r="I25" s="185" t="n"/>
    </row>
    <row r="26">
      <c r="A26" s="50" t="n"/>
      <c r="B26" s="57" t="n"/>
      <c r="C26" s="50" t="n"/>
      <c r="D26" s="33" t="n"/>
      <c r="E26" s="50" t="n"/>
      <c r="F26" s="50" t="n"/>
      <c r="G26" s="71" t="n"/>
      <c r="H26" s="109" t="n"/>
      <c r="I26" s="185" t="n"/>
    </row>
    <row r="27">
      <c r="A27" s="50" t="n"/>
      <c r="B27" s="57" t="n"/>
      <c r="C27" s="50" t="n"/>
      <c r="D27" s="33" t="n"/>
      <c r="E27" s="50" t="n"/>
      <c r="F27" s="50" t="n"/>
      <c r="G27" s="71" t="n"/>
      <c r="H27" s="109" t="n"/>
      <c r="I27" s="185" t="n"/>
    </row>
    <row r="28">
      <c r="A28" s="50" t="n"/>
      <c r="B28" s="57" t="n"/>
      <c r="C28" s="50" t="n"/>
      <c r="D28" s="33" t="n"/>
      <c r="E28" s="50" t="n"/>
      <c r="F28" s="50" t="n"/>
      <c r="G28" s="71" t="n"/>
      <c r="H28" s="109" t="n"/>
      <c r="I28" s="185" t="n"/>
    </row>
    <row r="29">
      <c r="A29" s="50" t="n"/>
      <c r="B29" s="57" t="n"/>
      <c r="C29" s="50" t="n"/>
      <c r="D29" s="33" t="n"/>
      <c r="E29" s="50" t="n"/>
      <c r="F29" s="50" t="n"/>
      <c r="G29" s="71" t="n"/>
      <c r="H29" s="109" t="n"/>
      <c r="I29" s="185" t="n"/>
    </row>
    <row r="30">
      <c r="A30" s="50" t="n"/>
      <c r="B30" s="57" t="n"/>
      <c r="C30" s="50" t="n"/>
      <c r="D30" s="33" t="n"/>
      <c r="E30" s="50" t="n"/>
      <c r="F30" s="50" t="n"/>
      <c r="G30" s="71" t="n"/>
      <c r="H30" s="109" t="n"/>
      <c r="I30" s="185" t="n"/>
    </row>
    <row r="31">
      <c r="A31" s="50" t="n"/>
      <c r="B31" s="57" t="n"/>
      <c r="C31" s="50" t="n"/>
      <c r="D31" s="33" t="n"/>
      <c r="E31" s="50" t="n"/>
      <c r="F31" s="50" t="n"/>
      <c r="G31" s="71" t="n"/>
      <c r="H31" s="109" t="n"/>
      <c r="I31" s="185" t="n"/>
    </row>
    <row r="32">
      <c r="A32" s="50" t="n"/>
      <c r="B32" s="57" t="n"/>
      <c r="C32" s="50" t="n"/>
      <c r="D32" s="33" t="n"/>
      <c r="E32" s="50" t="n"/>
      <c r="F32" s="50" t="n"/>
      <c r="G32" s="71" t="n"/>
      <c r="H32" s="109" t="n"/>
      <c r="I32" s="185" t="n"/>
    </row>
    <row r="33">
      <c r="A33" s="50" t="n"/>
      <c r="B33" s="57" t="n"/>
      <c r="C33" s="50" t="n"/>
      <c r="D33" s="33" t="n"/>
      <c r="E33" s="50" t="n"/>
      <c r="F33" s="50" t="n"/>
      <c r="G33" s="71" t="n"/>
      <c r="H33" s="109" t="n"/>
      <c r="I33" s="185" t="n"/>
    </row>
    <row r="34">
      <c r="A34" s="50" t="n"/>
      <c r="B34" s="57" t="n"/>
      <c r="C34" s="50" t="n"/>
      <c r="D34" s="33" t="n"/>
      <c r="E34" s="50" t="n"/>
      <c r="F34" s="50" t="n"/>
      <c r="G34" s="71" t="n"/>
      <c r="H34" s="109" t="n"/>
      <c r="I34" s="185" t="n"/>
    </row>
    <row r="35">
      <c r="A35" s="50" t="n"/>
      <c r="B35" s="57" t="n"/>
      <c r="C35" s="50" t="n"/>
      <c r="D35" s="33" t="n"/>
      <c r="E35" s="50" t="n"/>
      <c r="F35" s="50" t="n"/>
      <c r="G35" s="71" t="n"/>
      <c r="H35" s="109" t="n"/>
      <c r="I35" s="185" t="n"/>
    </row>
    <row r="36">
      <c r="A36" s="50" t="n"/>
      <c r="B36" s="57" t="n"/>
      <c r="C36" s="50" t="n"/>
      <c r="D36" s="33" t="n"/>
      <c r="E36" s="50" t="n"/>
      <c r="F36" s="50" t="n"/>
      <c r="G36" s="71" t="n"/>
      <c r="H36" s="109" t="n"/>
      <c r="I36" s="185" t="n"/>
    </row>
    <row r="37">
      <c r="A37" s="50" t="n"/>
      <c r="B37" s="57" t="n"/>
      <c r="C37" s="50" t="n"/>
      <c r="D37" s="33" t="n"/>
      <c r="E37" s="50" t="n"/>
      <c r="F37" s="50" t="n"/>
      <c r="G37" s="71" t="n"/>
      <c r="H37" s="109" t="n"/>
      <c r="I37" s="185" t="n"/>
    </row>
    <row r="38">
      <c r="A38" s="50" t="n"/>
      <c r="B38" s="57" t="n"/>
      <c r="C38" s="50" t="n"/>
      <c r="D38" s="33" t="n"/>
      <c r="E38" s="50" t="n"/>
      <c r="F38" s="50" t="n"/>
      <c r="G38" s="71" t="n"/>
      <c r="H38" s="109" t="n"/>
      <c r="I38" s="185" t="n"/>
    </row>
    <row r="39">
      <c r="A39" s="50" t="n"/>
      <c r="B39" s="57" t="n"/>
      <c r="C39" s="50" t="n"/>
      <c r="D39" s="33" t="n"/>
      <c r="E39" s="50" t="n"/>
      <c r="F39" s="50" t="n"/>
      <c r="G39" s="71" t="n"/>
      <c r="H39" s="109" t="n"/>
      <c r="I39" s="185" t="n"/>
    </row>
    <row r="40">
      <c r="A40" s="50" t="n"/>
      <c r="B40" s="57" t="n"/>
      <c r="C40" s="50" t="n"/>
      <c r="D40" s="33" t="n"/>
      <c r="E40" s="50" t="n"/>
      <c r="F40" s="50" t="n"/>
      <c r="G40" s="71" t="n"/>
      <c r="H40" s="109" t="n"/>
      <c r="I40" s="185" t="n"/>
    </row>
    <row r="41">
      <c r="A41" s="50" t="n"/>
      <c r="B41" s="57" t="n"/>
      <c r="C41" s="50" t="n"/>
      <c r="D41" s="33" t="n"/>
      <c r="E41" s="50" t="n"/>
      <c r="F41" s="50" t="n"/>
      <c r="G41" s="71" t="n"/>
      <c r="H41" s="109" t="n"/>
      <c r="I41" s="185" t="n"/>
    </row>
    <row r="42">
      <c r="A42" s="50" t="n"/>
      <c r="B42" s="57" t="n"/>
      <c r="C42" s="50" t="n"/>
      <c r="D42" s="33" t="n"/>
      <c r="E42" s="50" t="n"/>
      <c r="F42" s="50" t="n"/>
      <c r="G42" s="71" t="n"/>
      <c r="H42" s="109" t="n"/>
      <c r="I42" s="185" t="n"/>
    </row>
    <row r="43">
      <c r="A43" s="50" t="n"/>
      <c r="B43" s="57" t="n"/>
      <c r="C43" s="50" t="n"/>
      <c r="D43" s="33" t="n"/>
      <c r="E43" s="50" t="n"/>
      <c r="F43" s="50" t="n"/>
      <c r="G43" s="71" t="n"/>
      <c r="H43" s="109" t="n"/>
      <c r="I43" s="185" t="n"/>
    </row>
    <row r="44">
      <c r="A44" s="50" t="n"/>
      <c r="B44" s="57" t="n"/>
      <c r="C44" s="50" t="n"/>
      <c r="D44" s="33" t="n"/>
      <c r="E44" s="50" t="n"/>
      <c r="F44" s="50" t="n"/>
      <c r="G44" s="71" t="n"/>
      <c r="H44" s="109" t="n"/>
      <c r="I44" s="185" t="n"/>
    </row>
    <row r="45">
      <c r="A45" s="50" t="n"/>
      <c r="B45" s="57" t="n"/>
      <c r="C45" s="50" t="n"/>
      <c r="D45" s="33" t="n"/>
      <c r="E45" s="50" t="n"/>
      <c r="F45" s="50" t="n"/>
      <c r="G45" s="71" t="n"/>
      <c r="H45" s="109" t="n"/>
      <c r="I45" s="185" t="n"/>
    </row>
    <row r="46">
      <c r="A46" s="50" t="n"/>
      <c r="B46" s="57" t="n"/>
      <c r="C46" s="50" t="n"/>
      <c r="D46" s="33" t="n"/>
      <c r="E46" s="50" t="n"/>
      <c r="F46" s="50" t="n"/>
      <c r="G46" s="71" t="n"/>
      <c r="H46" s="109" t="n"/>
      <c r="I46" s="185" t="n"/>
    </row>
    <row r="47">
      <c r="A47" s="50" t="n"/>
      <c r="B47" s="57" t="n"/>
      <c r="C47" s="50" t="n"/>
      <c r="D47" s="33" t="n"/>
      <c r="E47" s="50" t="n"/>
      <c r="F47" s="50" t="n"/>
      <c r="G47" s="71" t="n"/>
      <c r="H47" s="109" t="n"/>
      <c r="I47" s="185" t="n"/>
    </row>
    <row r="48">
      <c r="A48" s="50" t="n"/>
      <c r="B48" s="57" t="n"/>
      <c r="C48" s="50" t="n"/>
      <c r="D48" s="33" t="n"/>
      <c r="E48" s="50" t="n"/>
      <c r="F48" s="50" t="n"/>
      <c r="G48" s="71" t="n"/>
      <c r="H48" s="109" t="n"/>
      <c r="I48" s="185" t="n"/>
    </row>
    <row r="49">
      <c r="A49" s="50" t="n"/>
      <c r="B49" s="57" t="n"/>
      <c r="C49" s="50" t="n"/>
      <c r="D49" s="33" t="n"/>
      <c r="E49" s="50" t="n"/>
      <c r="F49" s="50" t="n"/>
      <c r="G49" s="71" t="n"/>
      <c r="H49" s="109" t="n"/>
      <c r="I49" s="185" t="n"/>
    </row>
    <row r="50">
      <c r="A50" s="50" t="n"/>
      <c r="B50" s="57" t="n"/>
      <c r="C50" s="50" t="n"/>
      <c r="D50" s="33" t="n"/>
      <c r="E50" s="50" t="n"/>
      <c r="F50" s="50" t="n"/>
      <c r="G50" s="71" t="n"/>
      <c r="H50" s="109" t="n"/>
      <c r="I50" s="185" t="n"/>
    </row>
    <row r="51">
      <c r="A51" s="50" t="n"/>
      <c r="B51" s="57" t="n"/>
      <c r="C51" s="50" t="n"/>
      <c r="D51" s="33" t="n"/>
      <c r="E51" s="50" t="n"/>
      <c r="F51" s="50" t="n"/>
      <c r="G51" s="71" t="n"/>
      <c r="H51" s="109" t="n"/>
      <c r="I51" s="185" t="n"/>
    </row>
    <row r="52">
      <c r="A52" s="50" t="n"/>
      <c r="B52" s="57" t="n"/>
      <c r="C52" s="50" t="n"/>
      <c r="D52" s="33" t="n"/>
      <c r="E52" s="50" t="n"/>
      <c r="F52" s="50" t="n"/>
      <c r="G52" s="71" t="n"/>
      <c r="H52" s="109" t="n"/>
      <c r="I52" s="185" t="n"/>
    </row>
    <row r="53">
      <c r="A53" s="50" t="n"/>
      <c r="B53" s="57" t="n"/>
      <c r="C53" s="50" t="n"/>
      <c r="D53" s="33" t="n"/>
      <c r="E53" s="50" t="n"/>
      <c r="F53" s="50" t="n"/>
      <c r="G53" s="71" t="n"/>
      <c r="H53" s="109" t="n"/>
      <c r="I53" s="185" t="n"/>
    </row>
    <row r="54">
      <c r="A54" s="50" t="n"/>
      <c r="B54" s="57" t="n"/>
      <c r="C54" s="50" t="n"/>
      <c r="D54" s="33" t="n"/>
      <c r="E54" s="50" t="n"/>
      <c r="F54" s="50" t="n"/>
      <c r="G54" s="71" t="n"/>
      <c r="H54" s="109" t="n"/>
      <c r="I54" s="185" t="n"/>
    </row>
    <row r="55">
      <c r="A55" s="50" t="n"/>
      <c r="B55" s="57" t="n"/>
      <c r="C55" s="50" t="n"/>
      <c r="D55" s="33" t="n"/>
      <c r="E55" s="50" t="n"/>
      <c r="F55" s="50" t="n"/>
      <c r="G55" s="71" t="n"/>
      <c r="H55" s="109" t="n"/>
      <c r="I55" s="185" t="n"/>
    </row>
    <row r="56">
      <c r="A56" s="50" t="n"/>
      <c r="B56" s="57" t="n"/>
      <c r="C56" s="50" t="n"/>
      <c r="D56" s="33" t="n"/>
      <c r="E56" s="50" t="n"/>
      <c r="F56" s="50" t="n"/>
      <c r="G56" s="71" t="n"/>
      <c r="H56" s="109" t="n"/>
      <c r="I56" s="185" t="n"/>
    </row>
    <row r="57">
      <c r="A57" s="50" t="n"/>
      <c r="B57" s="57" t="n"/>
      <c r="C57" s="50" t="n"/>
      <c r="D57" s="33" t="n"/>
      <c r="E57" s="50" t="n"/>
      <c r="F57" s="50" t="n"/>
      <c r="G57" s="71" t="n"/>
      <c r="H57" s="109" t="n"/>
      <c r="I57" s="185" t="n"/>
    </row>
    <row r="58">
      <c r="A58" s="50" t="n"/>
      <c r="B58" s="57" t="n"/>
      <c r="C58" s="50" t="n"/>
      <c r="D58" s="33" t="n"/>
      <c r="E58" s="50" t="n"/>
      <c r="F58" s="50" t="n"/>
      <c r="G58" s="71" t="n"/>
      <c r="H58" s="109" t="n"/>
      <c r="I58" s="185" t="n"/>
    </row>
    <row r="59">
      <c r="A59" s="50" t="n"/>
      <c r="B59" s="57" t="n"/>
      <c r="C59" s="50" t="n"/>
      <c r="D59" s="33" t="n"/>
      <c r="E59" s="50" t="n"/>
      <c r="F59" s="50" t="n"/>
      <c r="G59" s="71" t="n"/>
      <c r="H59" s="109" t="n"/>
      <c r="I59" s="185" t="n"/>
    </row>
    <row r="60">
      <c r="A60" s="50" t="n"/>
      <c r="B60" s="57" t="n"/>
      <c r="C60" s="50" t="n"/>
      <c r="D60" s="33" t="n"/>
      <c r="E60" s="50" t="n"/>
      <c r="F60" s="50" t="n"/>
      <c r="G60" s="71" t="n"/>
      <c r="H60" s="109" t="n"/>
      <c r="I60" s="185" t="n"/>
    </row>
    <row r="61">
      <c r="A61" s="50" t="n"/>
      <c r="B61" s="57" t="n"/>
      <c r="C61" s="50" t="n"/>
      <c r="D61" s="33" t="n"/>
      <c r="E61" s="50" t="n"/>
      <c r="F61" s="50" t="n"/>
      <c r="G61" s="71" t="n"/>
      <c r="H61" s="109" t="n"/>
      <c r="I61" s="185" t="n"/>
    </row>
    <row r="62">
      <c r="A62" s="50" t="n"/>
      <c r="B62" s="57" t="n"/>
      <c r="C62" s="50" t="n"/>
      <c r="D62" s="33" t="n"/>
      <c r="E62" s="50" t="n"/>
      <c r="F62" s="50" t="n"/>
      <c r="G62" s="71" t="n"/>
      <c r="H62" s="109" t="n"/>
      <c r="I62" s="185" t="n"/>
    </row>
    <row r="63">
      <c r="A63" s="50" t="n"/>
      <c r="B63" s="57" t="n"/>
      <c r="C63" s="50" t="n"/>
      <c r="D63" s="33" t="n"/>
      <c r="E63" s="50" t="n"/>
      <c r="F63" s="50" t="n"/>
      <c r="G63" s="71" t="n"/>
      <c r="H63" s="109" t="n"/>
      <c r="I63" s="185" t="n"/>
    </row>
    <row r="64">
      <c r="A64" s="50" t="n"/>
      <c r="B64" s="57" t="n"/>
      <c r="C64" s="50" t="n"/>
      <c r="D64" s="33" t="n"/>
      <c r="E64" s="50" t="n"/>
      <c r="F64" s="50" t="n"/>
      <c r="G64" s="71" t="n"/>
      <c r="H64" s="109" t="n"/>
      <c r="I64" s="185" t="n"/>
    </row>
  </sheetData>
  <dataValidations count="4">
    <dataValidation sqref="E5 E6 E7 E8 E9 E10 E11 E12 E13 E14 E15 E16 E17 E18 E19 E20 E21 E22 E23 E24 E25 E26 E27 E28 E29 E30 E31 E32 E33 E34 E35 E36 E37 E38 E39 E40 E41 E42 E43 E44 E45 E46 E47 E48 E49 E50 E51 E52 E53 E54 E55 E56 E57 E58 E59 E60 E61 E62 E63 E64" showDropDown="0" showInputMessage="0" showErrorMessage="0" allowBlank="1" type="list">
      <formula1>"Critical,Major,Minor"</formula1>
    </dataValidation>
    <dataValidation sqref="F5 F6 F7 F8 F9 F10 F11 F12 F13 F14 F15 F16 F17 F18 F19 F20 F21 F22 F23 F24 F25 F26 F27 F28 F29 F30 F31 F32 F33 F34 F35 F36 F37 F38 F39 F40 F41 F42 F43 F44 F45 F46 F47 F48 F49 F50 F51 F52 F53 F54 F55 F56 F57 F58 F59 F60 F61 F62 F63 F64" showDropDown="0" showInputMessage="0" showErrorMessage="0" allowBlank="1" type="list">
      <formula1>"Открыт,Закрыт"</formula1>
    </dataValidation>
    <dataValidation sqref="H5 H6 H7 H8 H9 H10 H11 H12 H13 H14 H15 H16 H17 H18 H19 H20 H21 H22 H23 H24 H25 H26 H27 H28 H29 H30 H31 H32 H33 H34 H35 H36 H37 H38 H39 H40 H41 H42 H43 H44 H45 H46 H47 H48 H49 H50 H51 H52 H53 H54 H55 H56 H57 H58 H59 H60 H61 H62 H63 H64" showDropDown="0" showInputMessage="0" showErrorMessage="0" allowBlank="1" type="list">
      <formula1>"Нет,Да"</formula1>
    </dataValidation>
    <dataValidation sqref="I5 I6 I7 I8 I9 I10 I11 I12 I13 I14 I15 I16 I17 I18 I19 I20 I21 I22 I23 I24 I25 I26 I27 I28 I29 I30 I31 I32 I33 I34 I35 I36 I37 I38 I39 I40 I41 I42 I43 I44 I45 I46 I47 I48 I49 I50 I51 I52 I53 I54 I55 I56 I57 I58 I59 I60 I61 I62 I63 I64" showDropDown="0" showInputMessage="0" showErrorMessage="0" allowBlank="1" type="list">
      <formula1>"Интеграция,Код,Требования,Тестирование,Данные,Инфраструктура"</formula1>
    </dataValidation>
  </dataValidations>
  <pageMargins left="0.75" right="0.75" top="1" bottom="1" header="0.5" footer="0.5"/>
  <drawing xmlns:r="http://schemas.openxmlformats.org/officeDocument/2006/relationships" r:id="rId1"/>
</worksheet>
</file>

<file path=xl/worksheets/sheet25.xml><?xml version="1.0" encoding="utf-8"?>
<worksheet xmlns="http://schemas.openxmlformats.org/spreadsheetml/2006/main">
  <sheetPr>
    <outlinePr summaryBelow="1" summaryRight="1"/>
    <pageSetUpPr/>
  </sheetPr>
  <dimension ref="A1:E21"/>
  <sheetViews>
    <sheetView showGridLines="0" workbookViewId="0">
      <pane ySplit="4" topLeftCell="A5" activePane="bottomLeft" state="frozen"/>
      <selection pane="bottomLeft" activeCell="U11" sqref="U11"/>
    </sheetView>
  </sheetViews>
  <sheetFormatPr baseColWidth="8" defaultRowHeight="14.4"/>
  <cols>
    <col width="8" customWidth="1" min="1" max="1"/>
    <col width="10" customWidth="1" min="2" max="5"/>
  </cols>
  <sheetData>
    <row r="1" ht="17.4" customHeight="1">
      <c r="A1" s="37" t="inlineStr">
        <is>
          <t>Cumulative Flow — задачи по статусам (текущий спринт)</t>
        </is>
      </c>
    </row>
    <row r="2">
      <c r="A2" s="38" t="inlineStr">
        <is>
          <t>Кол-во задач в каждом статусе по дням спринта. Обновляется ежедневно (жёлтые ячейки).</t>
        </is>
      </c>
    </row>
    <row r="4">
      <c r="A4" s="39" t="inlineStr">
        <is>
          <t>День</t>
        </is>
      </c>
      <c r="B4" s="39" t="inlineStr">
        <is>
          <t>To Do</t>
        </is>
      </c>
      <c r="C4" s="39" t="inlineStr">
        <is>
          <t>В работе</t>
        </is>
      </c>
      <c r="D4" s="39" t="inlineStr">
        <is>
          <t>Готово</t>
        </is>
      </c>
      <c r="E4" s="39" t="inlineStr">
        <is>
          <t>Всего</t>
        </is>
      </c>
    </row>
    <row r="5">
      <c r="A5" s="47" t="n">
        <v>0</v>
      </c>
      <c r="B5" s="50" t="n">
        <v>8</v>
      </c>
      <c r="C5" s="50" t="n">
        <v>0</v>
      </c>
      <c r="D5" s="50" t="n">
        <v>0</v>
      </c>
      <c r="E5" s="74">
        <f>SUM(B5:D5)</f>
        <v/>
      </c>
    </row>
    <row r="6">
      <c r="A6" s="47" t="n">
        <v>1</v>
      </c>
      <c r="B6" s="50" t="n">
        <v>7</v>
      </c>
      <c r="C6" s="50" t="n">
        <v>1</v>
      </c>
      <c r="D6" s="50" t="n">
        <v>0</v>
      </c>
      <c r="E6" s="74">
        <f>SUM(B6:D6)</f>
        <v/>
      </c>
    </row>
    <row r="7">
      <c r="A7" s="47" t="n">
        <v>2</v>
      </c>
      <c r="B7" s="50" t="n">
        <v>6</v>
      </c>
      <c r="C7" s="50" t="n">
        <v>2</v>
      </c>
      <c r="D7" s="50" t="n">
        <v>0</v>
      </c>
      <c r="E7" s="74">
        <f>SUM(B7:D7)</f>
        <v/>
      </c>
    </row>
    <row r="8">
      <c r="A8" s="47" t="n">
        <v>3</v>
      </c>
      <c r="B8" s="50" t="n">
        <v>5</v>
      </c>
      <c r="C8" s="50" t="n">
        <v>2</v>
      </c>
      <c r="D8" s="50" t="n">
        <v>1</v>
      </c>
      <c r="E8" s="74">
        <f>SUM(B8:D8)</f>
        <v/>
      </c>
    </row>
    <row r="9">
      <c r="A9" s="47" t="n">
        <v>4</v>
      </c>
      <c r="B9" s="50" t="n">
        <v>4</v>
      </c>
      <c r="C9" s="50" t="n">
        <v>3</v>
      </c>
      <c r="D9" s="50" t="n">
        <v>1</v>
      </c>
      <c r="E9" s="74">
        <f>SUM(B9:D9)</f>
        <v/>
      </c>
    </row>
    <row r="10">
      <c r="A10" s="47" t="n">
        <v>5</v>
      </c>
      <c r="B10" s="50" t="n">
        <v>3</v>
      </c>
      <c r="C10" s="50" t="n">
        <v>3</v>
      </c>
      <c r="D10" s="50" t="n">
        <v>2</v>
      </c>
      <c r="E10" s="74">
        <f>SUM(B10:D10)</f>
        <v/>
      </c>
    </row>
    <row r="11">
      <c r="A11" s="47" t="n">
        <v>6</v>
      </c>
      <c r="B11" s="50" t="n">
        <v>3</v>
      </c>
      <c r="C11" s="50" t="n">
        <v>2</v>
      </c>
      <c r="D11" s="50" t="n">
        <v>3</v>
      </c>
      <c r="E11" s="74">
        <f>SUM(B11:D11)</f>
        <v/>
      </c>
    </row>
    <row r="12">
      <c r="A12" s="47" t="n">
        <v>7</v>
      </c>
      <c r="B12" s="50" t="n">
        <v>2</v>
      </c>
      <c r="C12" s="50" t="n">
        <v>2</v>
      </c>
      <c r="D12" s="50" t="n">
        <v>4</v>
      </c>
      <c r="E12" s="74">
        <f>SUM(B12:D12)</f>
        <v/>
      </c>
    </row>
    <row r="13">
      <c r="A13" s="47" t="n">
        <v>8</v>
      </c>
      <c r="B13" s="50" t="n">
        <v>1</v>
      </c>
      <c r="C13" s="50" t="n">
        <v>2</v>
      </c>
      <c r="D13" s="50" t="n">
        <v>5</v>
      </c>
      <c r="E13" s="74">
        <f>SUM(B13:D13)</f>
        <v/>
      </c>
    </row>
    <row r="14">
      <c r="A14" s="47" t="n">
        <v>9</v>
      </c>
      <c r="B14" s="50" t="n">
        <v>1</v>
      </c>
      <c r="C14" s="50" t="n">
        <v>1</v>
      </c>
      <c r="D14" s="50" t="n">
        <v>6</v>
      </c>
      <c r="E14" s="74">
        <f>SUM(B14:D14)</f>
        <v/>
      </c>
    </row>
    <row r="15">
      <c r="A15" s="47" t="n">
        <v>10</v>
      </c>
      <c r="B15" s="50" t="n">
        <v>0</v>
      </c>
      <c r="C15" s="50" t="n">
        <v>0</v>
      </c>
      <c r="D15" s="50" t="n">
        <v>8</v>
      </c>
      <c r="E15" s="74">
        <f>SUM(B15:D15)</f>
        <v/>
      </c>
    </row>
    <row r="18">
      <c r="A18" s="14" t="inlineStr">
        <is>
          <t>WIP-лимит (В работе):</t>
        </is>
      </c>
      <c r="C18" s="109" t="n">
        <v>4</v>
      </c>
    </row>
    <row r="19">
      <c r="A19" s="14" t="inlineStr">
        <is>
          <t>Макс. «В работе» (факт):</t>
        </is>
      </c>
      <c r="C19" s="112">
        <f>MAX(C5:C15)</f>
        <v/>
      </c>
    </row>
    <row r="20">
      <c r="A20" s="14" t="inlineStr">
        <is>
          <t>Статус WIP:</t>
        </is>
      </c>
      <c r="C20" s="112">
        <f>IF(C19&gt;C18,"Превышен","OK")</f>
        <v/>
      </c>
    </row>
    <row r="21">
      <c r="A21" s="82" t="inlineStr">
        <is>
          <t>Aging WIP по задачам — столбец «Возраст WIP» в «Бэклоге».</t>
        </is>
      </c>
    </row>
  </sheetData>
  <pageMargins left="0.75" right="0.75" top="1" bottom="1" header="0.5" footer="0.5"/>
  <drawing xmlns:r="http://schemas.openxmlformats.org/officeDocument/2006/relationships" r:id="rId1"/>
</worksheet>
</file>

<file path=xl/worksheets/sheet26.xml><?xml version="1.0" encoding="utf-8"?>
<worksheet xmlns="http://schemas.openxmlformats.org/spreadsheetml/2006/main">
  <sheetPr>
    <outlinePr summaryBelow="1" summaryRight="1"/>
    <pageSetUpPr/>
  </sheetPr>
  <dimension ref="A1:G53"/>
  <sheetViews>
    <sheetView showGridLines="0" workbookViewId="0">
      <selection activeCell="A1" sqref="A1"/>
    </sheetView>
  </sheetViews>
  <sheetFormatPr baseColWidth="8" defaultRowHeight="14.4"/>
  <cols>
    <col width="30" customWidth="1" min="1" max="1"/>
    <col width="12" customWidth="1" min="2" max="2"/>
    <col width="14" customWidth="1" min="3" max="3"/>
    <col width="9" customWidth="1" min="5" max="5"/>
    <col width="15" customWidth="1" min="6" max="6"/>
    <col width="14" customWidth="1" min="7" max="7"/>
  </cols>
  <sheetData>
    <row r="1" ht="17.4" customHeight="1">
      <c r="A1" s="163" t="inlineStr">
        <is>
          <t>Метрики и прогноз</t>
        </is>
      </c>
    </row>
    <row r="2">
      <c r="E2" s="164" t="inlineStr">
        <is>
          <t>Velocity по спринтам (для графика)</t>
        </is>
      </c>
    </row>
    <row r="3" ht="15.6" customHeight="1">
      <c r="A3" s="176" t="inlineStr">
        <is>
          <t>Предсказуемость (velocity)</t>
        </is>
      </c>
      <c r="E3" s="186" t="n">
        <v>1</v>
      </c>
      <c r="F3" s="186">
        <f>'Дорожная карта'!I6</f>
        <v/>
      </c>
    </row>
    <row r="4">
      <c r="A4" s="187" t="inlineStr">
        <is>
          <t>Средняя velocity (дн)</t>
        </is>
      </c>
      <c r="C4" s="183">
        <f>IFERROR(AVERAGE('Дорожная карта'!$I$6:$I$16),0)</f>
        <v/>
      </c>
      <c r="E4" s="186" t="n">
        <v>2</v>
      </c>
      <c r="F4" s="186">
        <f>'Дорожная карта'!I7</f>
        <v/>
      </c>
    </row>
    <row r="5">
      <c r="A5" s="187" t="inlineStr">
        <is>
          <t>Мин / Макс (дн)</t>
        </is>
      </c>
      <c r="C5" s="178">
        <f>IFERROR(MIN('Дорожная карта'!$I$6:$I$16),0)&amp;" / "&amp;IFERROR(MAX('Дорожная карта'!$I$6:$I$16),0)</f>
        <v/>
      </c>
      <c r="E5" s="186" t="n">
        <v>3</v>
      </c>
      <c r="F5" s="186">
        <f>'Дорожная карта'!I8</f>
        <v/>
      </c>
    </row>
    <row r="6">
      <c r="A6" s="187" t="inlineStr">
        <is>
          <t>Разброс (СТАНДОТКЛОН)</t>
        </is>
      </c>
      <c r="C6" s="183">
        <f>IFERROR(STDEV('Дорожная карта'!$I$6:$I$16),0)</f>
        <v/>
      </c>
      <c r="E6" s="186" t="n">
        <v>4</v>
      </c>
      <c r="F6" s="186">
        <f>'Дорожная карта'!I9</f>
        <v/>
      </c>
    </row>
    <row r="7">
      <c r="A7" s="187" t="inlineStr">
        <is>
          <t>Коэф. вариации (CV)</t>
        </is>
      </c>
      <c r="C7" s="168">
        <f>IFERROR(STDEV('Дорожная карта'!$I$6:$I$16)/AVERAGE('Дорожная карта'!$I$6:$I$16),0)</f>
        <v/>
      </c>
      <c r="E7" s="186" t="n">
        <v>5</v>
      </c>
      <c r="F7" s="186">
        <f>'Дорожная карта'!I10</f>
        <v/>
      </c>
    </row>
    <row r="8">
      <c r="A8" s="187" t="inlineStr">
        <is>
          <t>Средний % выполнения</t>
        </is>
      </c>
      <c r="C8" s="168">
        <f>'Дорожная карта'!C22</f>
        <v/>
      </c>
      <c r="E8" s="186" t="n">
        <v>6</v>
      </c>
      <c r="F8" s="186">
        <f>'Дорожная карта'!I11</f>
        <v/>
      </c>
    </row>
    <row r="9">
      <c r="E9" s="186" t="n">
        <v>7</v>
      </c>
      <c r="F9" s="186">
        <f>'Дорожная карта'!I12</f>
        <v/>
      </c>
    </row>
    <row r="10" ht="15.6" customHeight="1">
      <c r="A10" s="176" t="inlineStr">
        <is>
          <t>Throughput (задач «Готово» за спринт)</t>
        </is>
      </c>
      <c r="E10" s="186" t="n">
        <v>8</v>
      </c>
      <c r="F10" s="186">
        <f>'Дорожная карта'!I13</f>
        <v/>
      </c>
    </row>
    <row r="11" ht="27.6" customHeight="1">
      <c r="A11" s="161" t="inlineStr">
        <is>
          <t>Спринт</t>
        </is>
      </c>
      <c r="B11" s="161" t="inlineStr">
        <is>
          <t>Задач сделано</t>
        </is>
      </c>
      <c r="E11" s="186" t="n">
        <v>9</v>
      </c>
      <c r="F11" s="186">
        <f>'Дорожная карта'!I14</f>
        <v/>
      </c>
    </row>
    <row r="12">
      <c r="A12" s="177" t="n">
        <v>1</v>
      </c>
      <c r="B12" s="162">
        <f>COUNTIFS(Бэклог!$M$5:$M$44,1,Бэклог!$F$5:$F$44,"Готово")</f>
        <v/>
      </c>
      <c r="E12" s="186" t="n">
        <v>10</v>
      </c>
      <c r="F12" s="186">
        <f>'Дорожная карта'!I15</f>
        <v/>
      </c>
    </row>
    <row r="13">
      <c r="A13" s="177" t="n">
        <v>2</v>
      </c>
      <c r="B13" s="162">
        <f>COUNTIFS(Бэклог!$M$5:$M$44,2,Бэклог!$F$5:$F$44,"Готово")</f>
        <v/>
      </c>
      <c r="E13" s="186" t="n">
        <v>11</v>
      </c>
      <c r="F13" s="186">
        <f>'Дорожная карта'!I16</f>
        <v/>
      </c>
    </row>
    <row r="14">
      <c r="A14" s="177" t="n">
        <v>3</v>
      </c>
      <c r="B14" s="162">
        <f>COUNTIFS(Бэклог!$M$5:$M$44,3,Бэклог!$F$5:$F$44,"Готово")</f>
        <v/>
      </c>
    </row>
    <row r="15">
      <c r="A15" s="177" t="n">
        <v>4</v>
      </c>
      <c r="B15" s="162">
        <f>COUNTIFS(Бэклог!$M$5:$M$44,4,Бэклог!$F$5:$F$44,"Готово")</f>
        <v/>
      </c>
    </row>
    <row r="16">
      <c r="A16" s="177" t="n">
        <v>5</v>
      </c>
      <c r="B16" s="162">
        <f>COUNTIFS(Бэклог!$M$5:$M$44,5,Бэклог!$F$5:$F$44,"Готово")</f>
        <v/>
      </c>
    </row>
    <row r="17">
      <c r="A17" s="177" t="n">
        <v>6</v>
      </c>
      <c r="B17" s="162">
        <f>COUNTIFS(Бэклог!$M$5:$M$44,6,Бэклог!$F$5:$F$44,"Готово")</f>
        <v/>
      </c>
      <c r="E17" s="164" t="inlineStr">
        <is>
          <t>Burn-up (для графика)</t>
        </is>
      </c>
    </row>
    <row r="18" ht="27.6" customHeight="1">
      <c r="A18" s="177" t="n">
        <v>7</v>
      </c>
      <c r="B18" s="162">
        <f>COUNTIFS(Бэклог!$M$5:$M$44,7,Бэклог!$F$5:$F$44,"Готово")</f>
        <v/>
      </c>
      <c r="E18" s="161" t="inlineStr">
        <is>
          <t>Спринт</t>
        </is>
      </c>
      <c r="F18" s="161" t="inlineStr">
        <is>
          <t>Сделано (накопл.)</t>
        </is>
      </c>
      <c r="G18" s="161" t="inlineStr">
        <is>
          <t>Объём (scope)</t>
        </is>
      </c>
    </row>
    <row r="19">
      <c r="A19" s="177" t="n">
        <v>8</v>
      </c>
      <c r="B19" s="162">
        <f>COUNTIFS(Бэклог!$M$5:$M$44,8,Бэклог!$F$5:$F$44,"Готово")</f>
        <v/>
      </c>
      <c r="E19" s="188" t="n">
        <v>1</v>
      </c>
      <c r="F19" s="188">
        <f>SUMIFS('Дорожная карта'!$I$6:$I$16,'Дорожная карта'!$A$6:$A$16,"&lt;="&amp;E19)</f>
        <v/>
      </c>
      <c r="G19" s="188">
        <f>SUM(Бэклог!$E$5:$E$44)</f>
        <v/>
      </c>
    </row>
    <row r="20">
      <c r="A20" s="177" t="n">
        <v>9</v>
      </c>
      <c r="B20" s="162">
        <f>COUNTIFS(Бэклог!$M$5:$M$44,9,Бэклог!$F$5:$F$44,"Готово")</f>
        <v/>
      </c>
      <c r="E20" s="188" t="n">
        <v>2</v>
      </c>
      <c r="F20" s="188">
        <f>SUMIFS('Дорожная карта'!$I$6:$I$16,'Дорожная карта'!$A$6:$A$16,"&lt;="&amp;E20)</f>
        <v/>
      </c>
      <c r="G20" s="188">
        <f>SUM(Бэклог!$E$5:$E$44)</f>
        <v/>
      </c>
    </row>
    <row r="21">
      <c r="A21" s="177" t="n">
        <v>10</v>
      </c>
      <c r="B21" s="162">
        <f>COUNTIFS(Бэклог!$M$5:$M$44,10,Бэклог!$F$5:$F$44,"Готово")</f>
        <v/>
      </c>
      <c r="E21" s="188" t="n">
        <v>3</v>
      </c>
      <c r="F21" s="188">
        <f>SUMIFS('Дорожная карта'!$I$6:$I$16,'Дорожная карта'!$A$6:$A$16,"&lt;="&amp;E21)</f>
        <v/>
      </c>
      <c r="G21" s="188">
        <f>SUM(Бэклог!$E$5:$E$44)</f>
        <v/>
      </c>
    </row>
    <row r="22">
      <c r="A22" s="177" t="n">
        <v>11</v>
      </c>
      <c r="B22" s="162">
        <f>COUNTIFS(Бэклог!$M$5:$M$44,11,Бэклог!$F$5:$F$44,"Готово")</f>
        <v/>
      </c>
      <c r="E22" s="188" t="n">
        <v>4</v>
      </c>
      <c r="F22" s="188">
        <f>SUMIFS('Дорожная карта'!$I$6:$I$16,'Дорожная карта'!$A$6:$A$16,"&lt;="&amp;E22)</f>
        <v/>
      </c>
      <c r="G22" s="188">
        <f>SUM(Бэклог!$E$5:$E$44)</f>
        <v/>
      </c>
    </row>
    <row r="23">
      <c r="E23" s="188" t="n">
        <v>5</v>
      </c>
      <c r="F23" s="188">
        <f>SUMIFS('Дорожная карта'!$I$6:$I$16,'Дорожная карта'!$A$6:$A$16,"&lt;="&amp;E23)</f>
        <v/>
      </c>
      <c r="G23" s="188">
        <f>SUM(Бэклог!$E$5:$E$44)</f>
        <v/>
      </c>
    </row>
    <row r="24" ht="15.6" customHeight="1">
      <c r="A24" s="176" t="inlineStr">
        <is>
          <t>Качество дефектов</t>
        </is>
      </c>
      <c r="E24" s="188" t="n">
        <v>6</v>
      </c>
      <c r="F24" s="188">
        <f>SUMIFS('Дорожная карта'!$I$6:$I$16,'Дорожная карта'!$A$6:$A$16,"&lt;="&amp;E24)</f>
        <v/>
      </c>
      <c r="G24" s="188">
        <f>SUM(Бэклог!$E$5:$E$44)</f>
        <v/>
      </c>
    </row>
    <row r="25">
      <c r="A25" s="187" t="inlineStr">
        <is>
          <t>Найдено багов</t>
        </is>
      </c>
      <c r="C25" s="189">
        <f>COUNTA(Баги!$A$5:$A$64)</f>
        <v/>
      </c>
      <c r="E25" s="188" t="n">
        <v>7</v>
      </c>
      <c r="F25" s="188">
        <f>SUMIFS('Дорожная карта'!$I$6:$I$16,'Дорожная карта'!$A$6:$A$16,"&lt;="&amp;E25)</f>
        <v/>
      </c>
      <c r="G25" s="188">
        <f>SUM(Бэклог!$E$5:$E$44)</f>
        <v/>
      </c>
    </row>
    <row r="26">
      <c r="A26" s="187" t="inlineStr">
        <is>
          <t>Закрыто багов</t>
        </is>
      </c>
      <c r="C26" s="189">
        <f>COUNTIF(Баги!$F$5:$F$64,"Закрыт")</f>
        <v/>
      </c>
      <c r="E26" s="188" t="n">
        <v>8</v>
      </c>
      <c r="F26" s="188">
        <f>SUMIFS('Дорожная карта'!$I$6:$I$16,'Дорожная карта'!$A$6:$A$16,"&lt;="&amp;E26)</f>
        <v/>
      </c>
      <c r="G26" s="188">
        <f>SUM(Бэклог!$E$5:$E$44)</f>
        <v/>
      </c>
    </row>
    <row r="27">
      <c r="A27" s="187" t="inlineStr">
        <is>
          <t>DRE (эффективность устранения)</t>
        </is>
      </c>
      <c r="C27" s="168">
        <f>IFERROR(COUNTIF(Баги!$F$5:$F$64,"Закрыт")/COUNTA(Баги!$A$5:$A$64),0)</f>
        <v/>
      </c>
      <c r="E27" s="188" t="n">
        <v>9</v>
      </c>
      <c r="F27" s="188">
        <f>SUMIFS('Дорожная карта'!$I$6:$I$16,'Дорожная карта'!$A$6:$A$16,"&lt;="&amp;E27)</f>
        <v/>
      </c>
      <c r="G27" s="188">
        <f>SUM(Бэклог!$E$5:$E$44)</f>
        <v/>
      </c>
    </row>
    <row r="28">
      <c r="A28" s="187" t="inlineStr">
        <is>
          <t>Reopened (проникшие)</t>
        </is>
      </c>
      <c r="C28" s="189">
        <f>COUNTIF(Баги!$H$5:$H$64,"Да")</f>
        <v/>
      </c>
      <c r="E28" s="188" t="n">
        <v>10</v>
      </c>
      <c r="F28" s="188">
        <f>SUMIFS('Дорожная карта'!$I$6:$I$16,'Дорожная карта'!$A$6:$A$16,"&lt;="&amp;E28)</f>
        <v/>
      </c>
      <c r="G28" s="188">
        <f>SUM(Бэклог!$E$5:$E$44)</f>
        <v/>
      </c>
    </row>
    <row r="29">
      <c r="A29" s="187" t="inlineStr">
        <is>
          <t>Открыто багов</t>
        </is>
      </c>
      <c r="C29" s="189">
        <f>COUNTIF(Баги!$F$5:$F$64,"Открыт")</f>
        <v/>
      </c>
      <c r="E29" s="188" t="n">
        <v>11</v>
      </c>
      <c r="F29" s="188">
        <f>SUMIFS('Дорожная карта'!$I$6:$I$16,'Дорожная карта'!$A$6:$A$16,"&lt;="&amp;E29)</f>
        <v/>
      </c>
      <c r="G29" s="188">
        <f>SUM(Бэклог!$E$5:$E$44)</f>
        <v/>
      </c>
    </row>
    <row r="31" ht="15.6" customHeight="1">
      <c r="A31" s="176" t="inlineStr">
        <is>
          <t>Вероятностный прогноз завершения (по разбросу velocity)</t>
        </is>
      </c>
    </row>
    <row r="32">
      <c r="A32" s="187" t="inlineStr">
        <is>
          <t>Остаток бэклога (дн)</t>
        </is>
      </c>
      <c r="C32" s="183">
        <f>'Дорожная карта'!F20</f>
        <v/>
      </c>
    </row>
    <row r="33">
      <c r="A33" s="187" t="inlineStr">
        <is>
          <t>Спринтов — оптимист (по макс)</t>
        </is>
      </c>
      <c r="C33" s="189">
        <f>IFERROR(ROUNDUP('Дорожная карта'!F20/MAX('Дорожная карта'!$I$6:$I$16),0),0)</f>
        <v/>
      </c>
    </row>
    <row r="34">
      <c r="A34" s="187" t="inlineStr">
        <is>
          <t>Спринтов — реалист (по средней)</t>
        </is>
      </c>
      <c r="C34" s="189">
        <f>IFERROR(ROUNDUP('Дорожная карта'!F20/AVERAGE('Дорожная карта'!$I$6:$I$16),0),0)</f>
        <v/>
      </c>
    </row>
    <row r="35">
      <c r="A35" s="187" t="inlineStr">
        <is>
          <t>Спринтов — пессимист (по мин)</t>
        </is>
      </c>
      <c r="C35" s="189">
        <f>IFERROR(ROUNDUP('Дорожная карта'!F20/MIN('Дорожная карта'!$I$6:$I$16),0),0)</f>
        <v/>
      </c>
    </row>
    <row r="36">
      <c r="A36" s="164" t="inlineStr">
        <is>
          <t>Оценка «оптимист/реалист/пессимист» — грубая замена Монте-Карло по фактическому разбросу.</t>
        </is>
      </c>
    </row>
    <row r="38" ht="15.6" customHeight="1">
      <c r="A38" s="176" t="inlineStr">
        <is>
          <t>Health-index проекта</t>
        </is>
      </c>
    </row>
    <row r="39">
      <c r="A39" s="187" t="inlineStr">
        <is>
          <t xml:space="preserve">  % выполнения (норм.)</t>
        </is>
      </c>
      <c r="C39" s="168">
        <f>MIN(1,'Дорожная карта'!C22)</f>
        <v/>
      </c>
    </row>
    <row r="40">
      <c r="A40" s="187" t="inlineStr">
        <is>
          <t xml:space="preserve">  DoD готовность</t>
        </is>
      </c>
      <c r="C40" s="168">
        <f>Параметры!B29</f>
        <v/>
      </c>
    </row>
    <row r="41">
      <c r="A41" s="187" t="inlineStr">
        <is>
          <t xml:space="preserve">  Точность оценок (норм.)</t>
        </is>
      </c>
      <c r="C41" s="168">
        <f>1-MIN(1,ABS(Бэклог!E47-1))</f>
        <v/>
      </c>
    </row>
    <row r="42">
      <c r="A42" s="187" t="inlineStr">
        <is>
          <t xml:space="preserve">  Качество (норм.)</t>
        </is>
      </c>
      <c r="C42" s="168">
        <f>1-MIN(1,COUNTIF(Баги!$F$5:$F$64,"Открыт")/5)</f>
        <v/>
      </c>
    </row>
    <row r="43">
      <c r="A43" s="187" t="inlineStr">
        <is>
          <t>Итоговый Health-index</t>
        </is>
      </c>
      <c r="C43" s="168">
        <f>AVERAGE(C39:C42)</f>
        <v/>
      </c>
    </row>
    <row r="44">
      <c r="A44" s="187" t="inlineStr">
        <is>
          <t>Статус</t>
        </is>
      </c>
      <c r="C44" s="178">
        <f>IF(C43&gt;=0.8,"Здоров",IF(C43&gt;=0.6,"Внимание","Риск"))</f>
        <v/>
      </c>
    </row>
    <row r="46" ht="15.6" customHeight="1">
      <c r="A46" s="176" t="inlineStr">
        <is>
          <t>Парето по причинам багов</t>
        </is>
      </c>
    </row>
    <row r="47">
      <c r="A47" s="161" t="inlineStr">
        <is>
          <t>Причина</t>
        </is>
      </c>
      <c r="B47" s="161" t="inlineStr">
        <is>
          <t>Кол-во</t>
        </is>
      </c>
      <c r="C47" s="161" t="inlineStr">
        <is>
          <t>Накопл. %</t>
        </is>
      </c>
    </row>
    <row r="48">
      <c r="A48" s="190" t="inlineStr">
        <is>
          <t>Интеграция</t>
        </is>
      </c>
      <c r="B48" s="162">
        <f>COUNTIF(Баги!$I$5:$I$64,A48)</f>
        <v/>
      </c>
      <c r="C48" s="169">
        <f>IFERROR(SUM($B$48:B48)/SUM($B$48:$B$53),0)</f>
        <v/>
      </c>
    </row>
    <row r="49">
      <c r="A49" s="190" t="inlineStr">
        <is>
          <t>Код</t>
        </is>
      </c>
      <c r="B49" s="162">
        <f>COUNTIF(Баги!$I$5:$I$64,A49)</f>
        <v/>
      </c>
      <c r="C49" s="169">
        <f>IFERROR(SUM($B$48:B49)/SUM($B$48:$B$53),0)</f>
        <v/>
      </c>
    </row>
    <row r="50">
      <c r="A50" s="190" t="inlineStr">
        <is>
          <t>Требования</t>
        </is>
      </c>
      <c r="B50" s="162">
        <f>COUNTIF(Баги!$I$5:$I$64,A50)</f>
        <v/>
      </c>
      <c r="C50" s="169">
        <f>IFERROR(SUM($B$48:B50)/SUM($B$48:$B$53),0)</f>
        <v/>
      </c>
    </row>
    <row r="51">
      <c r="A51" s="190" t="inlineStr">
        <is>
          <t>Тестирование</t>
        </is>
      </c>
      <c r="B51" s="162">
        <f>COUNTIF(Баги!$I$5:$I$64,A51)</f>
        <v/>
      </c>
      <c r="C51" s="169">
        <f>IFERROR(SUM($B$48:B51)/SUM($B$48:$B$53),0)</f>
        <v/>
      </c>
    </row>
    <row r="52">
      <c r="A52" s="190" t="inlineStr">
        <is>
          <t>Данные</t>
        </is>
      </c>
      <c r="B52" s="162">
        <f>COUNTIF(Баги!$I$5:$I$64,A52)</f>
        <v/>
      </c>
      <c r="C52" s="169">
        <f>IFERROR(SUM($B$48:B52)/SUM($B$48:$B$53),0)</f>
        <v/>
      </c>
    </row>
    <row r="53">
      <c r="A53" s="190" t="inlineStr">
        <is>
          <t>Инфраструктура</t>
        </is>
      </c>
      <c r="B53" s="162">
        <f>COUNTIF(Баги!$I$5:$I$64,A53)</f>
        <v/>
      </c>
      <c r="C53" s="169">
        <f>IFERROR(SUM($B$48:B53)/SUM($B$48:$B$53),0)</f>
        <v/>
      </c>
    </row>
  </sheetData>
  <pageMargins left="0.75" right="0.75" top="1" bottom="1" header="0.5" footer="0.5"/>
  <drawing xmlns:r="http://schemas.openxmlformats.org/officeDocument/2006/relationships" r:id="rId1"/>
</worksheet>
</file>

<file path=xl/worksheets/sheet27.xml><?xml version="1.0" encoding="utf-8"?>
<worksheet xmlns="http://schemas.openxmlformats.org/spreadsheetml/2006/main">
  <sheetPr>
    <outlinePr summaryBelow="1" summaryRight="1"/>
    <pageSetUpPr/>
  </sheetPr>
  <dimension ref="A1:G29"/>
  <sheetViews>
    <sheetView showGridLines="0" workbookViewId="0">
      <pane ySplit="9" topLeftCell="A10" activePane="bottomLeft" state="frozen"/>
      <selection pane="bottomLeft" activeCell="A1" sqref="A1"/>
    </sheetView>
  </sheetViews>
  <sheetFormatPr baseColWidth="8" defaultRowHeight="14.4"/>
  <cols>
    <col width="10" customWidth="1" min="1" max="1"/>
    <col width="11" customWidth="1" min="2" max="2"/>
    <col width="8" customWidth="1" min="3" max="5"/>
    <col hidden="1" width="13" customWidth="1" min="7" max="7"/>
  </cols>
  <sheetData>
    <row r="1" ht="17.4" customHeight="1">
      <c r="A1" s="163" t="inlineStr">
        <is>
          <t>Контрольная карта Cycle time</t>
        </is>
      </c>
    </row>
    <row r="2">
      <c r="A2" s="164" t="inlineStr">
        <is>
          <t>Cycle time задач (из «Бэклога») с центральной линией и контрольными границами (±3σ).</t>
        </is>
      </c>
    </row>
    <row r="4">
      <c r="A4" s="14" t="inlineStr">
        <is>
          <t>Среднее (CL):</t>
        </is>
      </c>
      <c r="B4" s="197">
        <f>IFERROR(AVERAGE(Бэклог!$R$5:$R$44),0)</f>
        <v/>
      </c>
    </row>
    <row r="5">
      <c r="A5" s="14" t="inlineStr">
        <is>
          <t>σ:</t>
        </is>
      </c>
      <c r="B5" s="197">
        <f>IFERROR(STDEV(Бэклог!$R$5:$R$44),0)</f>
        <v/>
      </c>
    </row>
    <row r="6">
      <c r="A6" s="14" t="inlineStr">
        <is>
          <t>UCL (+3σ):</t>
        </is>
      </c>
      <c r="B6" s="197">
        <f>B4+3*B5</f>
        <v/>
      </c>
    </row>
    <row r="7">
      <c r="A7" s="14" t="inlineStr">
        <is>
          <t>LCL (−3σ):</t>
        </is>
      </c>
      <c r="B7" s="197">
        <f>MAX(0,B4-3*B5)</f>
        <v/>
      </c>
    </row>
    <row r="9">
      <c r="A9" s="161" t="inlineStr">
        <is>
          <t>Задача</t>
        </is>
      </c>
      <c r="B9" s="161" t="inlineStr">
        <is>
          <t>Cycle (дн)</t>
        </is>
      </c>
      <c r="C9" s="161" t="inlineStr">
        <is>
          <t>CL</t>
        </is>
      </c>
      <c r="D9" s="161" t="inlineStr">
        <is>
          <t>UCL</t>
        </is>
      </c>
      <c r="E9" s="161" t="inlineStr">
        <is>
          <t>LCL</t>
        </is>
      </c>
      <c r="G9" t="inlineStr">
        <is>
          <t>Cycle (дн)</t>
        </is>
      </c>
    </row>
    <row r="10">
      <c r="A10" s="177">
        <f>IF(Бэклог!A5="","",Бэклог!A5)</f>
        <v/>
      </c>
      <c r="B10" s="162">
        <f>IF(Бэклог!R5="","",Бэклог!R5)</f>
        <v/>
      </c>
      <c r="C10" s="177">
        <f>$B$4</f>
        <v/>
      </c>
      <c r="D10" s="177">
        <f>$B$6</f>
        <v/>
      </c>
      <c r="E10" s="177">
        <f>$B$7</f>
        <v/>
      </c>
      <c r="G10">
        <f>IF(Бэклог!R5="",NA(),Бэклог!R5)</f>
        <v/>
      </c>
    </row>
    <row r="11">
      <c r="A11" s="177">
        <f>IF(Бэклог!A6="","",Бэклог!A6)</f>
        <v/>
      </c>
      <c r="B11" s="162">
        <f>IF(Бэклог!R6="","",Бэклог!R6)</f>
        <v/>
      </c>
      <c r="C11" s="177">
        <f>$B$4</f>
        <v/>
      </c>
      <c r="D11" s="177">
        <f>$B$6</f>
        <v/>
      </c>
      <c r="E11" s="177">
        <f>$B$7</f>
        <v/>
      </c>
      <c r="G11">
        <f>IF(Бэклог!R6="",NA(),Бэклог!R6)</f>
        <v/>
      </c>
    </row>
    <row r="12">
      <c r="A12" s="177">
        <f>IF(Бэклог!A7="","",Бэклог!A7)</f>
        <v/>
      </c>
      <c r="B12" s="162">
        <f>IF(Бэклог!R7="","",Бэклог!R7)</f>
        <v/>
      </c>
      <c r="C12" s="177">
        <f>$B$4</f>
        <v/>
      </c>
      <c r="D12" s="177">
        <f>$B$6</f>
        <v/>
      </c>
      <c r="E12" s="177">
        <f>$B$7</f>
        <v/>
      </c>
      <c r="G12">
        <f>IF(Бэклог!R7="",NA(),Бэклог!R7)</f>
        <v/>
      </c>
    </row>
    <row r="13">
      <c r="A13" s="177">
        <f>IF(Бэклог!A8="","",Бэклог!A8)</f>
        <v/>
      </c>
      <c r="B13" s="162">
        <f>IF(Бэклог!R8="","",Бэклог!R8)</f>
        <v/>
      </c>
      <c r="C13" s="177">
        <f>$B$4</f>
        <v/>
      </c>
      <c r="D13" s="177">
        <f>$B$6</f>
        <v/>
      </c>
      <c r="E13" s="177">
        <f>$B$7</f>
        <v/>
      </c>
      <c r="G13">
        <f>IF(Бэклог!R8="",NA(),Бэклог!R8)</f>
        <v/>
      </c>
    </row>
    <row r="14">
      <c r="A14" s="177">
        <f>IF(Бэклог!A9="","",Бэклог!A9)</f>
        <v/>
      </c>
      <c r="B14" s="162">
        <f>IF(Бэклог!R9="","",Бэклог!R9)</f>
        <v/>
      </c>
      <c r="C14" s="177">
        <f>$B$4</f>
        <v/>
      </c>
      <c r="D14" s="177">
        <f>$B$6</f>
        <v/>
      </c>
      <c r="E14" s="177">
        <f>$B$7</f>
        <v/>
      </c>
      <c r="G14">
        <f>IF(Бэклог!R9="",NA(),Бэклог!R9)</f>
        <v/>
      </c>
    </row>
    <row r="15">
      <c r="A15" s="177">
        <f>IF(Бэклог!A10="","",Бэклог!A10)</f>
        <v/>
      </c>
      <c r="B15" s="162">
        <f>IF(Бэклог!R10="","",Бэклог!R10)</f>
        <v/>
      </c>
      <c r="C15" s="177">
        <f>$B$4</f>
        <v/>
      </c>
      <c r="D15" s="177">
        <f>$B$6</f>
        <v/>
      </c>
      <c r="E15" s="177">
        <f>$B$7</f>
        <v/>
      </c>
      <c r="G15">
        <f>IF(Бэклог!R10="",NA(),Бэклог!R10)</f>
        <v/>
      </c>
    </row>
    <row r="16">
      <c r="A16" s="177">
        <f>IF(Бэклог!A11="","",Бэклог!A11)</f>
        <v/>
      </c>
      <c r="B16" s="162">
        <f>IF(Бэклог!R11="","",Бэклог!R11)</f>
        <v/>
      </c>
      <c r="C16" s="177">
        <f>$B$4</f>
        <v/>
      </c>
      <c r="D16" s="177">
        <f>$B$6</f>
        <v/>
      </c>
      <c r="E16" s="177">
        <f>$B$7</f>
        <v/>
      </c>
      <c r="G16">
        <f>IF(Бэклог!R11="",NA(),Бэклог!R11)</f>
        <v/>
      </c>
    </row>
    <row r="17">
      <c r="A17" s="177">
        <f>IF(Бэклог!A12="","",Бэклог!A12)</f>
        <v/>
      </c>
      <c r="B17" s="162">
        <f>IF(Бэклог!R12="","",Бэклог!R12)</f>
        <v/>
      </c>
      <c r="C17" s="177">
        <f>$B$4</f>
        <v/>
      </c>
      <c r="D17" s="177">
        <f>$B$6</f>
        <v/>
      </c>
      <c r="E17" s="177">
        <f>$B$7</f>
        <v/>
      </c>
      <c r="G17">
        <f>IF(Бэклог!R12="",NA(),Бэклог!R12)</f>
        <v/>
      </c>
    </row>
    <row r="18">
      <c r="A18" s="177">
        <f>IF(Бэклог!A13="","",Бэклог!A13)</f>
        <v/>
      </c>
      <c r="B18" s="162">
        <f>IF(Бэклог!R13="","",Бэклог!R13)</f>
        <v/>
      </c>
      <c r="C18" s="177">
        <f>$B$4</f>
        <v/>
      </c>
      <c r="D18" s="177">
        <f>$B$6</f>
        <v/>
      </c>
      <c r="E18" s="177">
        <f>$B$7</f>
        <v/>
      </c>
      <c r="G18">
        <f>IF(Бэклог!R13="",NA(),Бэклог!R13)</f>
        <v/>
      </c>
    </row>
    <row r="19">
      <c r="A19" s="177">
        <f>IF(Бэклог!A14="","",Бэклог!A14)</f>
        <v/>
      </c>
      <c r="B19" s="162">
        <f>IF(Бэклог!R14="","",Бэклог!R14)</f>
        <v/>
      </c>
      <c r="C19" s="177">
        <f>$B$4</f>
        <v/>
      </c>
      <c r="D19" s="177">
        <f>$B$6</f>
        <v/>
      </c>
      <c r="E19" s="177">
        <f>$B$7</f>
        <v/>
      </c>
      <c r="G19">
        <f>IF(Бэклог!R14="",NA(),Бэклог!R14)</f>
        <v/>
      </c>
    </row>
    <row r="20">
      <c r="A20" s="177">
        <f>IF(Бэклог!A15="","",Бэклог!A15)</f>
        <v/>
      </c>
      <c r="B20" s="162">
        <f>IF(Бэклог!R15="","",Бэклог!R15)</f>
        <v/>
      </c>
      <c r="C20" s="177">
        <f>$B$4</f>
        <v/>
      </c>
      <c r="D20" s="177">
        <f>$B$6</f>
        <v/>
      </c>
      <c r="E20" s="177">
        <f>$B$7</f>
        <v/>
      </c>
      <c r="G20">
        <f>IF(Бэклог!R15="",NA(),Бэклог!R15)</f>
        <v/>
      </c>
    </row>
    <row r="21">
      <c r="A21" s="177">
        <f>IF(Бэклог!A16="","",Бэклог!A16)</f>
        <v/>
      </c>
      <c r="B21" s="162">
        <f>IF(Бэклог!R16="","",Бэклог!R16)</f>
        <v/>
      </c>
      <c r="C21" s="177">
        <f>$B$4</f>
        <v/>
      </c>
      <c r="D21" s="177">
        <f>$B$6</f>
        <v/>
      </c>
      <c r="E21" s="177">
        <f>$B$7</f>
        <v/>
      </c>
      <c r="G21">
        <f>IF(Бэклог!R16="",NA(),Бэклог!R16)</f>
        <v/>
      </c>
    </row>
    <row r="22">
      <c r="A22" s="177">
        <f>IF(Бэклог!A17="","",Бэклог!A17)</f>
        <v/>
      </c>
      <c r="B22" s="162">
        <f>IF(Бэклог!R17="","",Бэклог!R17)</f>
        <v/>
      </c>
      <c r="C22" s="177">
        <f>$B$4</f>
        <v/>
      </c>
      <c r="D22" s="177">
        <f>$B$6</f>
        <v/>
      </c>
      <c r="E22" s="177">
        <f>$B$7</f>
        <v/>
      </c>
      <c r="G22">
        <f>IF(Бэклог!R17="",NA(),Бэклог!R17)</f>
        <v/>
      </c>
    </row>
    <row r="23">
      <c r="A23" s="177">
        <f>IF(Бэклог!A18="","",Бэклог!A18)</f>
        <v/>
      </c>
      <c r="B23" s="162">
        <f>IF(Бэклог!R18="","",Бэклог!R18)</f>
        <v/>
      </c>
      <c r="C23" s="177">
        <f>$B$4</f>
        <v/>
      </c>
      <c r="D23" s="177">
        <f>$B$6</f>
        <v/>
      </c>
      <c r="E23" s="177">
        <f>$B$7</f>
        <v/>
      </c>
      <c r="G23">
        <f>IF(Бэклог!R18="",NA(),Бэклог!R18)</f>
        <v/>
      </c>
    </row>
    <row r="24">
      <c r="A24" s="177">
        <f>IF(Бэклог!A19="","",Бэклог!A19)</f>
        <v/>
      </c>
      <c r="B24" s="162">
        <f>IF(Бэклог!R19="","",Бэклог!R19)</f>
        <v/>
      </c>
      <c r="C24" s="177">
        <f>$B$4</f>
        <v/>
      </c>
      <c r="D24" s="177">
        <f>$B$6</f>
        <v/>
      </c>
      <c r="E24" s="177">
        <f>$B$7</f>
        <v/>
      </c>
      <c r="G24">
        <f>IF(Бэклог!R19="",NA(),Бэклог!R19)</f>
        <v/>
      </c>
    </row>
    <row r="25">
      <c r="A25" s="177">
        <f>IF(Бэклог!A20="","",Бэклог!A20)</f>
        <v/>
      </c>
      <c r="B25" s="162">
        <f>IF(Бэклог!R20="","",Бэклог!R20)</f>
        <v/>
      </c>
      <c r="C25" s="177">
        <f>$B$4</f>
        <v/>
      </c>
      <c r="D25" s="177">
        <f>$B$6</f>
        <v/>
      </c>
      <c r="E25" s="177">
        <f>$B$7</f>
        <v/>
      </c>
      <c r="G25">
        <f>IF(Бэклог!R20="",NA(),Бэклог!R20)</f>
        <v/>
      </c>
    </row>
    <row r="26">
      <c r="A26" s="177">
        <f>IF(Бэклог!A21="","",Бэклог!A21)</f>
        <v/>
      </c>
      <c r="B26" s="162">
        <f>IF(Бэклог!R21="","",Бэклог!R21)</f>
        <v/>
      </c>
      <c r="C26" s="177">
        <f>$B$4</f>
        <v/>
      </c>
      <c r="D26" s="177">
        <f>$B$6</f>
        <v/>
      </c>
      <c r="E26" s="177">
        <f>$B$7</f>
        <v/>
      </c>
      <c r="G26">
        <f>IF(Бэклог!R21="",NA(),Бэклог!R21)</f>
        <v/>
      </c>
    </row>
    <row r="27">
      <c r="A27" s="177">
        <f>IF(Бэклог!A22="","",Бэклог!A22)</f>
        <v/>
      </c>
      <c r="B27" s="162">
        <f>IF(Бэклог!R22="","",Бэклог!R22)</f>
        <v/>
      </c>
      <c r="C27" s="177">
        <f>$B$4</f>
        <v/>
      </c>
      <c r="D27" s="177">
        <f>$B$6</f>
        <v/>
      </c>
      <c r="E27" s="177">
        <f>$B$7</f>
        <v/>
      </c>
      <c r="G27">
        <f>IF(Бэклог!R22="",NA(),Бэклог!R22)</f>
        <v/>
      </c>
    </row>
    <row r="28">
      <c r="A28" s="177">
        <f>IF(Бэклог!A23="","",Бэклог!A23)</f>
        <v/>
      </c>
      <c r="B28" s="162">
        <f>IF(Бэклог!R23="","",Бэклог!R23)</f>
        <v/>
      </c>
      <c r="C28" s="177">
        <f>$B$4</f>
        <v/>
      </c>
      <c r="D28" s="177">
        <f>$B$6</f>
        <v/>
      </c>
      <c r="E28" s="177">
        <f>$B$7</f>
        <v/>
      </c>
      <c r="G28">
        <f>IF(Бэклог!R23="",NA(),Бэклог!R23)</f>
        <v/>
      </c>
    </row>
    <row r="29">
      <c r="A29" s="177">
        <f>IF(Бэклог!A24="","",Бэклог!A24)</f>
        <v/>
      </c>
      <c r="B29" s="162">
        <f>IF(Бэклог!R24="","",Бэклог!R24)</f>
        <v/>
      </c>
      <c r="C29" s="177">
        <f>$B$4</f>
        <v/>
      </c>
      <c r="D29" s="177">
        <f>$B$6</f>
        <v/>
      </c>
      <c r="E29" s="177">
        <f>$B$7</f>
        <v/>
      </c>
      <c r="G29">
        <f>IF(Бэклог!R24="",NA(),Бэклог!R24)</f>
        <v/>
      </c>
    </row>
  </sheetData>
  <pageMargins left="0.75" right="0.75" top="1" bottom="1" header="0.5" footer="0.5"/>
  <drawing xmlns:r="http://schemas.openxmlformats.org/officeDocument/2006/relationships" r:id="rId1"/>
</worksheet>
</file>

<file path=xl/worksheets/sheet28.xml><?xml version="1.0" encoding="utf-8"?>
<worksheet xmlns="http://schemas.openxmlformats.org/spreadsheetml/2006/main">
  <sheetPr>
    <outlinePr summaryBelow="1" summaryRight="1"/>
    <pageSetUpPr/>
  </sheetPr>
  <dimension ref="A1:I8"/>
  <sheetViews>
    <sheetView showGridLines="0" workbookViewId="0">
      <pane ySplit="4" topLeftCell="A5" activePane="bottomLeft" state="frozen"/>
      <selection pane="bottomLeft" activeCell="A1" sqref="A1"/>
    </sheetView>
  </sheetViews>
  <sheetFormatPr baseColWidth="8" defaultRowHeight="14.4"/>
  <cols>
    <col width="5" customWidth="1" min="1" max="1"/>
    <col width="30" customWidth="1" min="2" max="2"/>
    <col width="10" customWidth="1" min="3" max="4"/>
    <col width="8" customWidth="1" min="5" max="5"/>
    <col width="11" customWidth="1" min="6" max="6"/>
    <col width="26" customWidth="1" min="7" max="7"/>
    <col width="13" customWidth="1" min="8" max="8"/>
    <col width="12" customWidth="1" min="9" max="9"/>
  </cols>
  <sheetData>
    <row r="1" ht="17.4" customHeight="1">
      <c r="A1" s="37" t="inlineStr">
        <is>
          <t>Реестр рисков спринта</t>
        </is>
      </c>
    </row>
    <row r="2">
      <c r="A2" s="38" t="inlineStr">
        <is>
          <t>Балл = Вероятность × Влияние (1–5). ≥15 — высокий, 8–14 — средний, &lt;8 — низкий.</t>
        </is>
      </c>
    </row>
    <row r="4" ht="41.4" customHeight="1">
      <c r="A4" s="39" t="inlineStr">
        <is>
          <t>#</t>
        </is>
      </c>
      <c r="B4" s="39" t="inlineStr">
        <is>
          <t>Риск</t>
        </is>
      </c>
      <c r="C4" s="39" t="inlineStr">
        <is>
          <t>Вероятн.
(1-5)</t>
        </is>
      </c>
      <c r="D4" s="39" t="inlineStr">
        <is>
          <t>Влияние
(1-5)</t>
        </is>
      </c>
      <c r="E4" s="39" t="inlineStr">
        <is>
          <t>Балл</t>
        </is>
      </c>
      <c r="F4" s="39" t="inlineStr">
        <is>
          <t>Уровень</t>
        </is>
      </c>
      <c r="G4" s="39" t="inlineStr">
        <is>
          <t>Митигация</t>
        </is>
      </c>
      <c r="H4" s="39" t="inlineStr">
        <is>
          <t>Владелец</t>
        </is>
      </c>
      <c r="I4" s="39" t="inlineStr">
        <is>
          <t>Статус</t>
        </is>
      </c>
    </row>
    <row r="5" ht="27.6" customHeight="1">
      <c r="A5" s="47" t="n">
        <v>1</v>
      </c>
      <c r="B5" s="57" t="inlineStr">
        <is>
          <t>Зависимость от внешнего API оплаты</t>
        </is>
      </c>
      <c r="C5" s="50" t="n">
        <v>4</v>
      </c>
      <c r="D5" s="50" t="n">
        <v>5</v>
      </c>
      <c r="E5" s="74">
        <f>C5*D5</f>
        <v/>
      </c>
      <c r="F5" s="47">
        <f>IF(E5&gt;=15,"Высокий",IF(E5&gt;=8,"Средний","Низкий"))</f>
        <v/>
      </c>
      <c r="G5" s="57" t="inlineStr">
        <is>
          <t>Мок-сервис + ранняя интеграция</t>
        </is>
      </c>
      <c r="H5" s="50" t="inlineStr">
        <is>
          <t>Иванов А.</t>
        </is>
      </c>
      <c r="I5" s="50" t="inlineStr">
        <is>
          <t>Открыт</t>
        </is>
      </c>
    </row>
    <row r="6" ht="27.6" customHeight="1">
      <c r="A6" s="47" t="n">
        <v>2</v>
      </c>
      <c r="B6" s="57" t="inlineStr">
        <is>
          <t>Отпуска в декабре (Спринт 11)</t>
        </is>
      </c>
      <c r="C6" s="50" t="n">
        <v>5</v>
      </c>
      <c r="D6" s="50" t="n">
        <v>3</v>
      </c>
      <c r="E6" s="74">
        <f>C6*D6</f>
        <v/>
      </c>
      <c r="F6" s="47">
        <f>IF(E6&gt;=15,"Высокий",IF(E6&gt;=8,"Средний","Низкий"))</f>
        <v/>
      </c>
      <c r="G6" s="57" t="inlineStr">
        <is>
          <t>Сокращённый объём, буфер</t>
        </is>
      </c>
      <c r="H6" s="50" t="inlineStr">
        <is>
          <t>Орлова Е.</t>
        </is>
      </c>
      <c r="I6" s="50" t="inlineStr">
        <is>
          <t>Открыт</t>
        </is>
      </c>
    </row>
    <row r="7">
      <c r="A7" s="47" t="n">
        <v>3</v>
      </c>
      <c r="B7" s="57" t="inlineStr">
        <is>
          <t>Недооценка интеграции</t>
        </is>
      </c>
      <c r="C7" s="50" t="n">
        <v>3</v>
      </c>
      <c r="D7" s="50" t="n">
        <v>4</v>
      </c>
      <c r="E7" s="74">
        <f>C7*D7</f>
        <v/>
      </c>
      <c r="F7" s="47">
        <f>IF(E7&gt;=15,"Высокий",IF(E7&gt;=8,"Средний","Низкий"))</f>
        <v/>
      </c>
      <c r="G7" s="57" t="inlineStr">
        <is>
          <t>Спайк на оценку</t>
        </is>
      </c>
      <c r="H7" s="50" t="inlineStr">
        <is>
          <t>Кузнецов Д.</t>
        </is>
      </c>
      <c r="I7" s="50" t="inlineStr">
        <is>
          <t>Открыт</t>
        </is>
      </c>
    </row>
    <row r="8" ht="27.6" customHeight="1">
      <c r="A8" s="47" t="n">
        <v>4</v>
      </c>
      <c r="B8" s="57" t="inlineStr">
        <is>
          <t>Текучесть в QA</t>
        </is>
      </c>
      <c r="C8" s="50" t="n">
        <v>2</v>
      </c>
      <c r="D8" s="50" t="n">
        <v>4</v>
      </c>
      <c r="E8" s="74">
        <f>C8*D8</f>
        <v/>
      </c>
      <c r="F8" s="47">
        <f>IF(E8&gt;=15,"Высокий",IF(E8&gt;=8,"Средний","Низкий"))</f>
        <v/>
      </c>
      <c r="G8" s="57" t="inlineStr">
        <is>
          <t>Кросс-ревью, документация</t>
        </is>
      </c>
      <c r="H8" s="50" t="inlineStr">
        <is>
          <t>Сидоров К.</t>
        </is>
      </c>
      <c r="I8" s="50" t="inlineStr">
        <is>
          <t>Наблюдение</t>
        </is>
      </c>
    </row>
  </sheetData>
  <conditionalFormatting sqref="E5:E8">
    <cfRule type="cellIs" priority="1" operator="greaterThanOrEqual" dxfId="2">
      <formula>15</formula>
    </cfRule>
    <cfRule type="cellIs" priority="2" operator="between" dxfId="1">
      <formula>8</formula>
      <formula>14</formula>
    </cfRule>
    <cfRule type="cellIs" priority="3" operator="lessThan" dxfId="0">
      <formula>8</formula>
    </cfRule>
  </conditionalFormatting>
  <dataValidations count="1">
    <dataValidation sqref="I5 I6 I7 I8" showDropDown="0" showInputMessage="0" showErrorMessage="0" allowBlank="1" type="list">
      <formula1>"Открыт,Наблюдение,Закрыт"</formula1>
    </dataValidation>
  </dataValidations>
  <pageMargins left="0.75" right="0.75" top="1" bottom="1" header="0.5" footer="0.5"/>
  <drawing xmlns:r="http://schemas.openxmlformats.org/officeDocument/2006/relationships" r:id="rId1"/>
</worksheet>
</file>

<file path=xl/worksheets/sheet29.xml><?xml version="1.0" encoding="utf-8"?>
<worksheet xmlns="http://schemas.openxmlformats.org/spreadsheetml/2006/main">
  <sheetPr>
    <outlinePr summaryBelow="1" summaryRight="1"/>
    <pageSetUpPr/>
  </sheetPr>
  <dimension ref="A1:I20"/>
  <sheetViews>
    <sheetView showGridLines="0" topLeftCell="A32" workbookViewId="0">
      <selection activeCell="A1" sqref="A1"/>
    </sheetView>
  </sheetViews>
  <sheetFormatPr baseColWidth="8" defaultRowHeight="14.4"/>
  <cols>
    <col width="16" customWidth="1" min="1" max="1"/>
    <col width="34" customWidth="1" min="2" max="2"/>
    <col width="7" customWidth="1" min="3" max="3"/>
    <col width="8" customWidth="1" min="4" max="4"/>
    <col width="7" customWidth="1" min="5" max="5"/>
    <col width="11" customWidth="1" min="6" max="6"/>
    <col width="26" customWidth="1" min="7" max="7"/>
    <col width="13" customWidth="1" min="8" max="8"/>
    <col width="11" customWidth="1" min="9" max="9"/>
  </cols>
  <sheetData>
    <row r="1" ht="17.4" customHeight="1">
      <c r="A1" s="150" t="inlineStr">
        <is>
          <t>Риски: ранжирование, матрица и диаграмма Исикавы</t>
        </is>
      </c>
    </row>
    <row r="3" ht="15.6" customHeight="1">
      <c r="A3" s="151" t="inlineStr">
        <is>
          <t>Ранжированный список рисков</t>
        </is>
      </c>
    </row>
    <row r="4">
      <c r="A4" s="152" t="inlineStr">
        <is>
          <t>Ранг</t>
        </is>
      </c>
      <c r="B4" s="152" t="inlineStr">
        <is>
          <t>Риск</t>
        </is>
      </c>
      <c r="C4" s="152" t="inlineStr">
        <is>
          <t>Вер.</t>
        </is>
      </c>
      <c r="D4" s="152" t="inlineStr">
        <is>
          <t>Влиян.</t>
        </is>
      </c>
      <c r="E4" s="152" t="inlineStr">
        <is>
          <t>Балл</t>
        </is>
      </c>
      <c r="F4" s="152" t="inlineStr">
        <is>
          <t>Уровень</t>
        </is>
      </c>
      <c r="G4" s="152" t="inlineStr">
        <is>
          <t>Митигация</t>
        </is>
      </c>
      <c r="H4" s="152" t="inlineStr">
        <is>
          <t>Владелец</t>
        </is>
      </c>
      <c r="I4" s="152" t="inlineStr">
        <is>
          <t>Статус</t>
        </is>
      </c>
    </row>
    <row r="5" ht="27.6" customHeight="1">
      <c r="A5" s="153">
        <f>RANK(Риски!E5,Риски!$E$5:$E$8)</f>
        <v/>
      </c>
      <c r="B5" s="154">
        <f>Риски!B5</f>
        <v/>
      </c>
      <c r="C5" s="155">
        <f>Риски!C5</f>
        <v/>
      </c>
      <c r="D5" s="155">
        <f>Риски!D5</f>
        <v/>
      </c>
      <c r="E5" s="153">
        <f>Риски!E5</f>
        <v/>
      </c>
      <c r="F5" s="155">
        <f>Риски!F5</f>
        <v/>
      </c>
      <c r="G5" s="154">
        <f>Риски!G5</f>
        <v/>
      </c>
      <c r="H5" s="155">
        <f>Риски!H5</f>
        <v/>
      </c>
      <c r="I5" s="155">
        <f>Риски!I5</f>
        <v/>
      </c>
    </row>
    <row r="6" ht="27.6" customHeight="1">
      <c r="A6" s="153">
        <f>RANK(Риски!E6,Риски!$E$5:$E$8)</f>
        <v/>
      </c>
      <c r="B6" s="154">
        <f>Риски!B6</f>
        <v/>
      </c>
      <c r="C6" s="155">
        <f>Риски!C6</f>
        <v/>
      </c>
      <c r="D6" s="155">
        <f>Риски!D6</f>
        <v/>
      </c>
      <c r="E6" s="153">
        <f>Риски!E6</f>
        <v/>
      </c>
      <c r="F6" s="155">
        <f>Риски!F6</f>
        <v/>
      </c>
      <c r="G6" s="154">
        <f>Риски!G6</f>
        <v/>
      </c>
      <c r="H6" s="155">
        <f>Риски!H6</f>
        <v/>
      </c>
      <c r="I6" s="155">
        <f>Риски!I6</f>
        <v/>
      </c>
    </row>
    <row r="7">
      <c r="A7" s="153">
        <f>RANK(Риски!E7,Риски!$E$5:$E$8)</f>
        <v/>
      </c>
      <c r="B7" s="154">
        <f>Риски!B7</f>
        <v/>
      </c>
      <c r="C7" s="155">
        <f>Риски!C7</f>
        <v/>
      </c>
      <c r="D7" s="155">
        <f>Риски!D7</f>
        <v/>
      </c>
      <c r="E7" s="153">
        <f>Риски!E7</f>
        <v/>
      </c>
      <c r="F7" s="155">
        <f>Риски!F7</f>
        <v/>
      </c>
      <c r="G7" s="154">
        <f>Риски!G7</f>
        <v/>
      </c>
      <c r="H7" s="155">
        <f>Риски!H7</f>
        <v/>
      </c>
      <c r="I7" s="155">
        <f>Риски!I7</f>
        <v/>
      </c>
    </row>
    <row r="8" ht="27.6" customHeight="1">
      <c r="A8" s="153">
        <f>RANK(Риски!E8,Риски!$E$5:$E$8)</f>
        <v/>
      </c>
      <c r="B8" s="154">
        <f>Риски!B8</f>
        <v/>
      </c>
      <c r="C8" s="155">
        <f>Риски!C8</f>
        <v/>
      </c>
      <c r="D8" s="155">
        <f>Риски!D8</f>
        <v/>
      </c>
      <c r="E8" s="153">
        <f>Риски!E8</f>
        <v/>
      </c>
      <c r="F8" s="155">
        <f>Риски!F8</f>
        <v/>
      </c>
      <c r="G8" s="154">
        <f>Риски!G8</f>
        <v/>
      </c>
      <c r="H8" s="155">
        <f>Риски!H8</f>
        <v/>
      </c>
      <c r="I8" s="155">
        <f>Риски!I8</f>
        <v/>
      </c>
    </row>
    <row r="10" ht="15.6" customHeight="1">
      <c r="A10" s="151" t="inlineStr">
        <is>
          <t>Матрица рисков (Вероятность × Влияние)</t>
        </is>
      </c>
    </row>
    <row r="11" ht="27.6" customHeight="1">
      <c r="A11" s="156" t="inlineStr">
        <is>
          <t>Влияние \ Вероятн.</t>
        </is>
      </c>
      <c r="B11" s="156" t="n">
        <v>1</v>
      </c>
      <c r="C11" s="156" t="n">
        <v>2</v>
      </c>
      <c r="D11" s="156" t="n">
        <v>3</v>
      </c>
      <c r="E11" s="156" t="n">
        <v>4</v>
      </c>
      <c r="F11" s="156" t="n">
        <v>5</v>
      </c>
    </row>
    <row r="12">
      <c r="A12" s="156" t="n">
        <v>5</v>
      </c>
      <c r="B12" s="157">
        <f>IF(COUNTIFS(Риски!$C$5:$C$8,1,Риски!$D$5:$D$8,5)=0,"",COUNTIFS(Риски!$C$5:$C$8,1,Риски!$D$5:$D$8,5))</f>
        <v/>
      </c>
      <c r="C12" s="158">
        <f>IF(COUNTIFS(Риски!$C$5:$C$8,2,Риски!$D$5:$D$8,5)=0,"",COUNTIFS(Риски!$C$5:$C$8,2,Риски!$D$5:$D$8,5))</f>
        <v/>
      </c>
      <c r="D12" s="159">
        <f>IF(COUNTIFS(Риски!$C$5:$C$8,3,Риски!$D$5:$D$8,5)=0,"",COUNTIFS(Риски!$C$5:$C$8,3,Риски!$D$5:$D$8,5))</f>
        <v/>
      </c>
      <c r="E12" s="159">
        <f>IF(COUNTIFS(Риски!$C$5:$C$8,4,Риски!$D$5:$D$8,5)=0,"",COUNTIFS(Риски!$C$5:$C$8,4,Риски!$D$5:$D$8,5))</f>
        <v/>
      </c>
      <c r="F12" s="159">
        <f>IF(COUNTIFS(Риски!$C$5:$C$8,5,Риски!$D$5:$D$8,5)=0,"",COUNTIFS(Риски!$C$5:$C$8,5,Риски!$D$5:$D$8,5))</f>
        <v/>
      </c>
    </row>
    <row r="13">
      <c r="A13" s="156" t="n">
        <v>4</v>
      </c>
      <c r="B13" s="157">
        <f>IF(COUNTIFS(Риски!$C$5:$C$8,1,Риски!$D$5:$D$8,4)=0,"",COUNTIFS(Риски!$C$5:$C$8,1,Риски!$D$5:$D$8,4))</f>
        <v/>
      </c>
      <c r="C13" s="158">
        <f>IF(COUNTIFS(Риски!$C$5:$C$8,2,Риски!$D$5:$D$8,4)=0,"",COUNTIFS(Риски!$C$5:$C$8,2,Риски!$D$5:$D$8,4))</f>
        <v/>
      </c>
      <c r="D13" s="158">
        <f>IF(COUNTIFS(Риски!$C$5:$C$8,3,Риски!$D$5:$D$8,4)=0,"",COUNTIFS(Риски!$C$5:$C$8,3,Риски!$D$5:$D$8,4))</f>
        <v/>
      </c>
      <c r="E13" s="159">
        <f>IF(COUNTIFS(Риски!$C$5:$C$8,4,Риски!$D$5:$D$8,4)=0,"",COUNTIFS(Риски!$C$5:$C$8,4,Риски!$D$5:$D$8,4))</f>
        <v/>
      </c>
      <c r="F13" s="159">
        <f>IF(COUNTIFS(Риски!$C$5:$C$8,5,Риски!$D$5:$D$8,4)=0,"",COUNTIFS(Риски!$C$5:$C$8,5,Риски!$D$5:$D$8,4))</f>
        <v/>
      </c>
    </row>
    <row r="14">
      <c r="A14" s="156" t="n">
        <v>3</v>
      </c>
      <c r="B14" s="157">
        <f>IF(COUNTIFS(Риски!$C$5:$C$8,1,Риски!$D$5:$D$8,3)=0,"",COUNTIFS(Риски!$C$5:$C$8,1,Риски!$D$5:$D$8,3))</f>
        <v/>
      </c>
      <c r="C14" s="157">
        <f>IF(COUNTIFS(Риски!$C$5:$C$8,2,Риски!$D$5:$D$8,3)=0,"",COUNTIFS(Риски!$C$5:$C$8,2,Риски!$D$5:$D$8,3))</f>
        <v/>
      </c>
      <c r="D14" s="158">
        <f>IF(COUNTIFS(Риски!$C$5:$C$8,3,Риски!$D$5:$D$8,3)=0,"",COUNTIFS(Риски!$C$5:$C$8,3,Риски!$D$5:$D$8,3))</f>
        <v/>
      </c>
      <c r="E14" s="158">
        <f>IF(COUNTIFS(Риски!$C$5:$C$8,4,Риски!$D$5:$D$8,3)=0,"",COUNTIFS(Риски!$C$5:$C$8,4,Риски!$D$5:$D$8,3))</f>
        <v/>
      </c>
      <c r="F14" s="159">
        <f>IF(COUNTIFS(Риски!$C$5:$C$8,5,Риски!$D$5:$D$8,3)=0,"",COUNTIFS(Риски!$C$5:$C$8,5,Риски!$D$5:$D$8,3))</f>
        <v/>
      </c>
    </row>
    <row r="15">
      <c r="A15" s="156" t="n">
        <v>2</v>
      </c>
      <c r="B15" s="157">
        <f>IF(COUNTIFS(Риски!$C$5:$C$8,1,Риски!$D$5:$D$8,2)=0,"",COUNTIFS(Риски!$C$5:$C$8,1,Риски!$D$5:$D$8,2))</f>
        <v/>
      </c>
      <c r="C15" s="157">
        <f>IF(COUNTIFS(Риски!$C$5:$C$8,2,Риски!$D$5:$D$8,2)=0,"",COUNTIFS(Риски!$C$5:$C$8,2,Риски!$D$5:$D$8,2))</f>
        <v/>
      </c>
      <c r="D15" s="157">
        <f>IF(COUNTIFS(Риски!$C$5:$C$8,3,Риски!$D$5:$D$8,2)=0,"",COUNTIFS(Риски!$C$5:$C$8,3,Риски!$D$5:$D$8,2))</f>
        <v/>
      </c>
      <c r="E15" s="158">
        <f>IF(COUNTIFS(Риски!$C$5:$C$8,4,Риски!$D$5:$D$8,2)=0,"",COUNTIFS(Риски!$C$5:$C$8,4,Риски!$D$5:$D$8,2))</f>
        <v/>
      </c>
      <c r="F15" s="158">
        <f>IF(COUNTIFS(Риски!$C$5:$C$8,5,Риски!$D$5:$D$8,2)=0,"",COUNTIFS(Риски!$C$5:$C$8,5,Риски!$D$5:$D$8,2))</f>
        <v/>
      </c>
    </row>
    <row r="16">
      <c r="A16" s="156" t="n">
        <v>1</v>
      </c>
      <c r="B16" s="157">
        <f>IF(COUNTIFS(Риски!$C$5:$C$8,1,Риски!$D$5:$D$8,1)=0,"",COUNTIFS(Риски!$C$5:$C$8,1,Риски!$D$5:$D$8,1))</f>
        <v/>
      </c>
      <c r="C16" s="157">
        <f>IF(COUNTIFS(Риски!$C$5:$C$8,2,Риски!$D$5:$D$8,1)=0,"",COUNTIFS(Риски!$C$5:$C$8,2,Риски!$D$5:$D$8,1))</f>
        <v/>
      </c>
      <c r="D16" s="157">
        <f>IF(COUNTIFS(Риски!$C$5:$C$8,3,Риски!$D$5:$D$8,1)=0,"",COUNTIFS(Риски!$C$5:$C$8,3,Риски!$D$5:$D$8,1))</f>
        <v/>
      </c>
      <c r="E16" s="157">
        <f>IF(COUNTIFS(Риски!$C$5:$C$8,4,Риски!$D$5:$D$8,1)=0,"",COUNTIFS(Риски!$C$5:$C$8,4,Риски!$D$5:$D$8,1))</f>
        <v/>
      </c>
      <c r="F16" s="157">
        <f>IF(COUNTIFS(Риски!$C$5:$C$8,5,Риски!$D$5:$D$8,1)=0,"",COUNTIFS(Риски!$C$5:$C$8,5,Риски!$D$5:$D$8,1))</f>
        <v/>
      </c>
    </row>
    <row r="17">
      <c r="A17" s="160" t="inlineStr">
        <is>
          <t>Цвет — уровень (зел &lt;8, жёлт 8–14, красн ≥15). Число — сколько рисков в клетке.</t>
        </is>
      </c>
    </row>
    <row r="18">
      <c r="A18" s="160" t="inlineStr">
        <is>
          <t>Соответствие: см. ранжированный список выше (столбцы Вер./Влиян.).</t>
        </is>
      </c>
    </row>
    <row r="20" ht="15.6" customHeight="1">
      <c r="A20" s="151" t="inlineStr">
        <is>
          <t>Диаграмма Исикавы (причинно-следственная)</t>
        </is>
      </c>
    </row>
  </sheetData>
  <pageMargins left="0.75" right="0.75" top="1" bottom="1" header="0.5" footer="0.5"/>
  <drawing xmlns:r="http://schemas.openxmlformats.org/officeDocument/2006/relationships" r:id="rId1"/>
</worksheet>
</file>

<file path=xl/worksheets/sheet30.xml><?xml version="1.0" encoding="utf-8"?>
<worksheet xmlns="http://schemas.openxmlformats.org/spreadsheetml/2006/main">
  <sheetPr>
    <outlinePr summaryBelow="1" summaryRight="1"/>
    <pageSetUpPr/>
  </sheetPr>
  <dimension ref="A1:F23"/>
  <sheetViews>
    <sheetView showGridLines="0" workbookViewId="0">
      <pane ySplit="4" topLeftCell="A5" activePane="bottomLeft" state="frozen"/>
      <selection pane="bottomLeft" activeCell="S12" sqref="S12"/>
    </sheetView>
  </sheetViews>
  <sheetFormatPr baseColWidth="8" defaultRowHeight="14.4"/>
  <cols>
    <col width="28.33203125" customWidth="1" min="1" max="1"/>
    <col width="10" customWidth="1" min="2" max="3"/>
    <col width="11" customWidth="1" min="4" max="4"/>
    <col width="13" customWidth="1" min="5" max="5"/>
    <col width="10" customWidth="1" min="6" max="6"/>
  </cols>
  <sheetData>
    <row r="1" ht="17.4" customHeight="1">
      <c r="A1" s="37" t="inlineStr">
        <is>
          <t>Распределение задач по исполнителям</t>
        </is>
      </c>
    </row>
    <row r="2">
      <c r="A2" s="38" t="inlineStr">
        <is>
          <t>Из «Бэклога» по текущему спринту. Загрузка = задачи человека / его капасити.</t>
        </is>
      </c>
    </row>
    <row r="4" ht="27.6" customHeight="1">
      <c r="A4" s="39" t="inlineStr">
        <is>
          <t>Исполнитель</t>
        </is>
      </c>
      <c r="B4" s="39" t="inlineStr">
        <is>
          <t>Задач</t>
        </is>
      </c>
      <c r="C4" s="39" t="inlineStr">
        <is>
          <t>Дней</t>
        </is>
      </c>
      <c r="D4" s="39" t="inlineStr">
        <is>
          <t>Доля дней</t>
        </is>
      </c>
      <c r="E4" s="92" t="inlineStr">
        <is>
          <t>Капасити (дн)</t>
        </is>
      </c>
      <c r="F4" s="92" t="inlineStr">
        <is>
          <t>Загрузка</t>
        </is>
      </c>
    </row>
    <row r="5">
      <c r="A5" s="63" t="inlineStr">
        <is>
          <t>Иванов А.</t>
        </is>
      </c>
      <c r="B5" s="64">
        <f>COUNTIFS(Бэклог!$C$5:$C$44,A5,Бэклог!$M$5:$M$44,Параметры!$B$13)</f>
        <v/>
      </c>
      <c r="C5" s="35">
        <f>SUMIFS(Бэклог!$E$5:$E$44,Бэклог!$C$5:$C$44,A5,Бэклог!$M$5:$M$44,Параметры!$B$13)</f>
        <v/>
      </c>
      <c r="D5" s="36">
        <f>IFERROR(C5/SUM($C$5:$C$17),0)</f>
        <v/>
      </c>
      <c r="E5" s="102">
        <f>SUMIFS(Капасити!$H$5:$H$147,Капасити!$B$5:$B$147,A5,Капасити!$A$5:$A$147,Параметры!$B$13)</f>
        <v/>
      </c>
      <c r="F5" s="103">
        <f>IFERROR(C5/E5,0)</f>
        <v/>
      </c>
    </row>
    <row r="6">
      <c r="A6" s="63" t="inlineStr">
        <is>
          <t>Петрова М.</t>
        </is>
      </c>
      <c r="B6" s="64">
        <f>COUNTIFS(Бэклог!$C$5:$C$44,A6,Бэклог!$M$5:$M$44,Параметры!$B$13)</f>
        <v/>
      </c>
      <c r="C6" s="35">
        <f>SUMIFS(Бэклог!$E$5:$E$44,Бэклог!$C$5:$C$44,A6,Бэклог!$M$5:$M$44,Параметры!$B$13)</f>
        <v/>
      </c>
      <c r="D6" s="36">
        <f>IFERROR(C6/SUM($C$5:$C$17),0)</f>
        <v/>
      </c>
      <c r="E6" s="102">
        <f>SUMIFS(Капасити!$H$5:$H$147,Капасити!$B$5:$B$147,A6,Капасити!$A$5:$A$147,Параметры!$B$13)</f>
        <v/>
      </c>
      <c r="F6" s="103">
        <f>IFERROR(C6/E6,0)</f>
        <v/>
      </c>
    </row>
    <row r="7">
      <c r="A7" s="63" t="inlineStr">
        <is>
          <t>Сидоров К.</t>
        </is>
      </c>
      <c r="B7" s="64">
        <f>COUNTIFS(Бэклог!$C$5:$C$44,A7,Бэклог!$M$5:$M$44,Параметры!$B$13)</f>
        <v/>
      </c>
      <c r="C7" s="35">
        <f>SUMIFS(Бэклог!$E$5:$E$44,Бэклог!$C$5:$C$44,A7,Бэклог!$M$5:$M$44,Параметры!$B$13)</f>
        <v/>
      </c>
      <c r="D7" s="36">
        <f>IFERROR(C7/SUM($C$5:$C$17),0)</f>
        <v/>
      </c>
      <c r="E7" s="102">
        <f>SUMIFS(Капасити!$H$5:$H$147,Капасити!$B$5:$B$147,A7,Капасити!$A$5:$A$147,Параметры!$B$13)</f>
        <v/>
      </c>
      <c r="F7" s="103">
        <f>IFERROR(C7/E7,0)</f>
        <v/>
      </c>
    </row>
    <row r="8">
      <c r="A8" s="63" t="inlineStr">
        <is>
          <t>Кузнецов Д.</t>
        </is>
      </c>
      <c r="B8" s="64">
        <f>COUNTIFS(Бэклог!$C$5:$C$44,A8,Бэклог!$M$5:$M$44,Параметры!$B$13)</f>
        <v/>
      </c>
      <c r="C8" s="35">
        <f>SUMIFS(Бэклог!$E$5:$E$44,Бэклог!$C$5:$C$44,A8,Бэклог!$M$5:$M$44,Параметры!$B$13)</f>
        <v/>
      </c>
      <c r="D8" s="36">
        <f>IFERROR(C8/SUM($C$5:$C$17),0)</f>
        <v/>
      </c>
      <c r="E8" s="102">
        <f>SUMIFS(Капасити!$H$5:$H$147,Капасити!$B$5:$B$147,A8,Капасити!$A$5:$A$147,Параметры!$B$13)</f>
        <v/>
      </c>
      <c r="F8" s="103">
        <f>IFERROR(C8/E8,0)</f>
        <v/>
      </c>
    </row>
    <row r="9">
      <c r="A9" s="63" t="inlineStr">
        <is>
          <t>Орлова Е.</t>
        </is>
      </c>
      <c r="B9" s="64">
        <f>COUNTIFS(Бэклог!$C$5:$C$44,A9,Бэклог!$M$5:$M$44,Параметры!$B$13)</f>
        <v/>
      </c>
      <c r="C9" s="35">
        <f>SUMIFS(Бэклог!$E$5:$E$44,Бэклог!$C$5:$C$44,A9,Бэклог!$M$5:$M$44,Параметры!$B$13)</f>
        <v/>
      </c>
      <c r="D9" s="36">
        <f>IFERROR(C9/SUM($C$5:$C$17),0)</f>
        <v/>
      </c>
      <c r="E9" s="102">
        <f>SUMIFS(Капасити!$H$5:$H$147,Капасити!$B$5:$B$147,A9,Капасити!$A$5:$A$147,Параметры!$B$13)</f>
        <v/>
      </c>
      <c r="F9" s="103">
        <f>IFERROR(C9/E9,0)</f>
        <v/>
      </c>
    </row>
    <row r="10">
      <c r="A10" s="63" t="inlineStr">
        <is>
          <t>Смирнов П.</t>
        </is>
      </c>
      <c r="B10" s="64">
        <f>COUNTIFS(Бэклог!$C$5:$C$44,A10,Бэклог!$M$5:$M$44,Параметры!$B$13)</f>
        <v/>
      </c>
      <c r="C10" s="35">
        <f>SUMIFS(Бэклог!$E$5:$E$44,Бэклог!$C$5:$C$44,A10,Бэклог!$M$5:$M$44,Параметры!$B$13)</f>
        <v/>
      </c>
      <c r="D10" s="36">
        <f>IFERROR(C10/SUM($C$5:$C$17),0)</f>
        <v/>
      </c>
      <c r="E10" s="102">
        <f>SUMIFS(Капасити!$H$5:$H$147,Капасити!$B$5:$B$147,A10,Капасити!$A$5:$A$147,Параметры!$B$13)</f>
        <v/>
      </c>
      <c r="F10" s="103">
        <f>IFERROR(C10/E10,0)</f>
        <v/>
      </c>
    </row>
    <row r="11">
      <c r="A11" s="63" t="inlineStr">
        <is>
          <t>Волкова Н.</t>
        </is>
      </c>
      <c r="B11" s="64">
        <f>COUNTIFS(Бэклог!$C$5:$C$44,A11,Бэклог!$M$5:$M$44,Параметры!$B$13)</f>
        <v/>
      </c>
      <c r="C11" s="35">
        <f>SUMIFS(Бэклог!$E$5:$E$44,Бэклог!$C$5:$C$44,A11,Бэклог!$M$5:$M$44,Параметры!$B$13)</f>
        <v/>
      </c>
      <c r="D11" s="36">
        <f>IFERROR(C11/SUM($C$5:$C$17),0)</f>
        <v/>
      </c>
      <c r="E11" s="102">
        <f>SUMIFS(Капасити!$H$5:$H$147,Капасити!$B$5:$B$147,A11,Капасити!$A$5:$A$147,Параметры!$B$13)</f>
        <v/>
      </c>
      <c r="F11" s="103">
        <f>IFERROR(C11/E11,0)</f>
        <v/>
      </c>
    </row>
    <row r="12">
      <c r="A12" s="63" t="inlineStr">
        <is>
          <t>Морозов И.</t>
        </is>
      </c>
      <c r="B12" s="64">
        <f>COUNTIFS(Бэклог!$C$5:$C$44,A12,Бэклог!$M$5:$M$44,Параметры!$B$13)</f>
        <v/>
      </c>
      <c r="C12" s="35">
        <f>SUMIFS(Бэклог!$E$5:$E$44,Бэклог!$C$5:$C$44,A12,Бэклог!$M$5:$M$44,Параметры!$B$13)</f>
        <v/>
      </c>
      <c r="D12" s="36">
        <f>IFERROR(C12/SUM($C$5:$C$17),0)</f>
        <v/>
      </c>
      <c r="E12" s="102">
        <f>SUMIFS(Капасити!$H$5:$H$147,Капасити!$B$5:$B$147,A12,Капасити!$A$5:$A$147,Параметры!$B$13)</f>
        <v/>
      </c>
      <c r="F12" s="103">
        <f>IFERROR(C12/E12,0)</f>
        <v/>
      </c>
    </row>
    <row r="13">
      <c r="A13" s="63" t="inlineStr">
        <is>
          <t>Новиков А.</t>
        </is>
      </c>
      <c r="B13" s="64">
        <f>COUNTIFS(Бэклог!$C$5:$C$44,A13,Бэклог!$M$5:$M$44,Параметры!$B$13)</f>
        <v/>
      </c>
      <c r="C13" s="35">
        <f>SUMIFS(Бэклог!$E$5:$E$44,Бэклог!$C$5:$C$44,A13,Бэклог!$M$5:$M$44,Параметры!$B$13)</f>
        <v/>
      </c>
      <c r="D13" s="36">
        <f>IFERROR(C13/SUM($C$5:$C$17),0)</f>
        <v/>
      </c>
      <c r="E13" s="102">
        <f>SUMIFS(Капасити!$H$5:$H$147,Капасити!$B$5:$B$147,A13,Капасити!$A$5:$A$147,Параметры!$B$13)</f>
        <v/>
      </c>
      <c r="F13" s="103">
        <f>IFERROR(C13/E13,0)</f>
        <v/>
      </c>
    </row>
    <row r="14">
      <c r="A14" s="63" t="inlineStr">
        <is>
          <t>Фёдорова О.</t>
        </is>
      </c>
      <c r="B14" s="64">
        <f>COUNTIFS(Бэклог!$C$5:$C$44,A14,Бэклог!$M$5:$M$44,Параметры!$B$13)</f>
        <v/>
      </c>
      <c r="C14" s="35">
        <f>SUMIFS(Бэклог!$E$5:$E$44,Бэклог!$C$5:$C$44,A14,Бэклог!$M$5:$M$44,Параметры!$B$13)</f>
        <v/>
      </c>
      <c r="D14" s="36">
        <f>IFERROR(C14/SUM($C$5:$C$17),0)</f>
        <v/>
      </c>
      <c r="E14" s="102">
        <f>SUMIFS(Капасити!$H$5:$H$147,Капасити!$B$5:$B$147,A14,Капасити!$A$5:$A$147,Параметры!$B$13)</f>
        <v/>
      </c>
      <c r="F14" s="103">
        <f>IFERROR(C14/E14,0)</f>
        <v/>
      </c>
    </row>
    <row r="15">
      <c r="A15" s="63" t="inlineStr">
        <is>
          <t>Козлов В.</t>
        </is>
      </c>
      <c r="B15" s="64">
        <f>COUNTIFS(Бэклог!$C$5:$C$44,A15,Бэклог!$M$5:$M$44,Параметры!$B$13)</f>
        <v/>
      </c>
      <c r="C15" s="35">
        <f>SUMIFS(Бэклог!$E$5:$E$44,Бэклог!$C$5:$C$44,A15,Бэклог!$M$5:$M$44,Параметры!$B$13)</f>
        <v/>
      </c>
      <c r="D15" s="36">
        <f>IFERROR(C15/SUM($C$5:$C$17),0)</f>
        <v/>
      </c>
      <c r="E15" s="102">
        <f>SUMIFS(Капасити!$H$5:$H$147,Капасити!$B$5:$B$147,A15,Капасити!$A$5:$A$147,Параметры!$B$13)</f>
        <v/>
      </c>
      <c r="F15" s="103">
        <f>IFERROR(C15/E15,0)</f>
        <v/>
      </c>
    </row>
    <row r="16">
      <c r="A16" s="63" t="inlineStr">
        <is>
          <t>Лебедева Т.</t>
        </is>
      </c>
      <c r="B16" s="64">
        <f>COUNTIFS(Бэклог!$C$5:$C$44,A16,Бэклог!$M$5:$M$44,Параметры!$B$13)</f>
        <v/>
      </c>
      <c r="C16" s="35">
        <f>SUMIFS(Бэклог!$E$5:$E$44,Бэклог!$C$5:$C$44,A16,Бэклог!$M$5:$M$44,Параметры!$B$13)</f>
        <v/>
      </c>
      <c r="D16" s="36">
        <f>IFERROR(C16/SUM($C$5:$C$17),0)</f>
        <v/>
      </c>
      <c r="E16" s="102">
        <f>SUMIFS(Капасити!$H$5:$H$147,Капасити!$B$5:$B$147,A16,Капасити!$A$5:$A$147,Параметры!$B$13)</f>
        <v/>
      </c>
      <c r="F16" s="103">
        <f>IFERROR(C16/E16,0)</f>
        <v/>
      </c>
    </row>
    <row r="17">
      <c r="A17" s="63" t="inlineStr">
        <is>
          <t>Соколов Р.</t>
        </is>
      </c>
      <c r="B17" s="64">
        <f>COUNTIFS(Бэклог!$C$5:$C$44,A17,Бэклог!$M$5:$M$44,Параметры!$B$13)</f>
        <v/>
      </c>
      <c r="C17" s="35">
        <f>SUMIFS(Бэклог!$E$5:$E$44,Бэклог!$C$5:$C$44,A17,Бэклог!$M$5:$M$44,Параметры!$B$13)</f>
        <v/>
      </c>
      <c r="D17" s="36">
        <f>IFERROR(C17/SUM($C$5:$C$17),0)</f>
        <v/>
      </c>
      <c r="E17" s="102">
        <f>SUMIFS(Капасити!$H$5:$H$147,Капасити!$B$5:$B$147,A17,Капасити!$A$5:$A$147,Параметры!$B$13)</f>
        <v/>
      </c>
      <c r="F17" s="103">
        <f>IFERROR(C17/E17,0)</f>
        <v/>
      </c>
    </row>
    <row r="18">
      <c r="A18" s="53" t="inlineStr">
        <is>
          <t>ИТОГО</t>
        </is>
      </c>
      <c r="B18" s="53">
        <f>SUM(B5:B17)</f>
        <v/>
      </c>
      <c r="C18" s="54">
        <f>SUM(C5:C17)</f>
        <v/>
      </c>
      <c r="D18" s="65" t="n"/>
      <c r="E18" s="104">
        <f>SUM(E5:E17)</f>
        <v/>
      </c>
      <c r="F18" s="105">
        <f>IFERROR(C18/E18,0)</f>
        <v/>
      </c>
    </row>
    <row r="20" ht="15.6" customHeight="1">
      <c r="A20" s="58" t="inlineStr">
        <is>
          <t>Блокеры (из «Бэклога»)</t>
        </is>
      </c>
    </row>
    <row r="21">
      <c r="A21" s="32" t="inlineStr">
        <is>
          <t>Заблокировано задач</t>
        </is>
      </c>
      <c r="B21" s="35">
        <f>COUNTIF(Бэклог!$K$5:$K$44,"Да")</f>
        <v/>
      </c>
    </row>
    <row r="22">
      <c r="A22" s="32" t="inlineStr">
        <is>
          <t>Всего дней в блоке</t>
        </is>
      </c>
      <c r="B22" s="35">
        <f>SUM(Бэклог!$L$5:$L$44)</f>
        <v/>
      </c>
    </row>
    <row r="23">
      <c r="A23" s="32" t="inlineStr">
        <is>
          <t>Средн. дней в блоке</t>
        </is>
      </c>
      <c r="B23" s="35">
        <f>IFERROR(AVERAGEIF(Бэклог!$K$5:$K$44,"Да",Бэклог!$L$5:$L$44),0)</f>
        <v/>
      </c>
    </row>
  </sheetData>
  <conditionalFormatting sqref="F5:F17">
    <cfRule type="cellIs" priority="1" operator="greaterThan" dxfId="2">
      <formula>1</formula>
    </cfRule>
    <cfRule type="cellIs" priority="2" operator="between" dxfId="1">
      <formula>0.9</formula>
      <formula>1</formula>
    </cfRule>
    <cfRule type="cellIs" priority="3" operator="lessThan" dxfId="0">
      <formula>0.9</formula>
    </cfRule>
  </conditionalFormatting>
  <pageMargins left="0.75" right="0.75" top="1" bottom="1" header="0.5" footer="0.5"/>
  <drawing xmlns:r="http://schemas.openxmlformats.org/officeDocument/2006/relationships" r:id="rId1"/>
</worksheet>
</file>

<file path=xl/worksheets/sheet31.xml><?xml version="1.0" encoding="utf-8"?>
<worksheet xmlns="http://schemas.openxmlformats.org/spreadsheetml/2006/main">
  <sheetPr>
    <outlinePr summaryBelow="1" summaryRight="1"/>
    <pageSetUpPr/>
  </sheetPr>
  <dimension ref="A1:F26"/>
  <sheetViews>
    <sheetView showGridLines="0" workbookViewId="0">
      <pane ySplit="6" topLeftCell="A7" activePane="bottomLeft" state="frozen"/>
      <selection pane="bottomLeft" activeCell="A1" sqref="A1"/>
    </sheetView>
  </sheetViews>
  <sheetFormatPr baseColWidth="8" defaultRowHeight="14.4"/>
  <cols>
    <col width="10" customWidth="1" min="1" max="1"/>
    <col width="11" customWidth="1" min="2" max="2"/>
    <col width="12" customWidth="1" min="3" max="3"/>
    <col width="9" customWidth="1" min="4" max="5"/>
    <col hidden="1" width="13" customWidth="1" min="6" max="6"/>
  </cols>
  <sheetData>
    <row r="1" ht="17.4" customHeight="1">
      <c r="A1" s="213" t="inlineStr">
        <is>
          <t>Time to Market (TTM)</t>
        </is>
      </c>
    </row>
    <row r="2">
      <c r="A2" s="214" t="inlineStr">
        <is>
          <t>TTM = дата релиза − дата взятия задачи в работу. Цель — 15 дней.</t>
        </is>
      </c>
    </row>
    <row r="3">
      <c r="A3" s="14" t="inlineStr">
        <is>
          <t>Цель TTM (дн):</t>
        </is>
      </c>
      <c r="C3" s="215" t="n">
        <v>21</v>
      </c>
    </row>
    <row r="4">
      <c r="A4" s="14" t="inlineStr">
        <is>
          <t>Средний TTM (дн):</t>
        </is>
      </c>
      <c r="C4" s="216">
        <f>IFERROR(AVERAGEIF(D7:D26,"&gt;=0"),0)</f>
        <v/>
      </c>
    </row>
    <row r="6" ht="27.6" customHeight="1">
      <c r="A6" s="217" t="inlineStr">
        <is>
          <t>Задача</t>
        </is>
      </c>
      <c r="B6" s="217" t="inlineStr">
        <is>
          <t>В работу</t>
        </is>
      </c>
      <c r="C6" s="217" t="inlineStr">
        <is>
          <t>Дата релиза</t>
        </is>
      </c>
      <c r="D6" s="217" t="inlineStr">
        <is>
          <t>TTM (дн)</t>
        </is>
      </c>
      <c r="E6" s="217" t="inlineStr">
        <is>
          <t>Цель (дн)</t>
        </is>
      </c>
      <c r="F6" t="inlineStr">
        <is>
          <t>TTM (дн)</t>
        </is>
      </c>
    </row>
    <row r="7">
      <c r="A7" s="218">
        <f>IF(Бэклог!A5="","",Бэклог!A5)</f>
        <v/>
      </c>
      <c r="B7" s="219">
        <f>IF(Бэклог!P5="","",Бэклог!P5)</f>
        <v/>
      </c>
      <c r="C7" s="219">
        <f>IFERROR(SUMPRODUCT((Релизы!$C$5:$C$9&lt;=Бэклог!M5)*(Релизы!$D$5:$D$9&gt;=Бэклог!M5)*Релизы!$E$5:$E$9),0)</f>
        <v/>
      </c>
      <c r="D7" s="220">
        <f>IF(AND(B7&lt;&gt;"",C7&gt;0),C7-B7,"")</f>
        <v/>
      </c>
      <c r="E7" s="221">
        <f>$C$3</f>
        <v/>
      </c>
      <c r="F7" s="186">
        <f>IF(D7="",NA(),D7)</f>
        <v/>
      </c>
    </row>
    <row r="8">
      <c r="A8" s="218">
        <f>IF(Бэклог!A6="","",Бэклог!A6)</f>
        <v/>
      </c>
      <c r="B8" s="219">
        <f>IF(Бэклог!P6="","",Бэклог!P6)</f>
        <v/>
      </c>
      <c r="C8" s="219">
        <f>IFERROR(SUMPRODUCT((Релизы!$C$5:$C$9&lt;=Бэклог!M6)*(Релизы!$D$5:$D$9&gt;=Бэклог!M6)*Релизы!$E$5:$E$9),0)</f>
        <v/>
      </c>
      <c r="D8" s="220">
        <f>IF(AND(B8&lt;&gt;"",C8&gt;0),C8-B8,"")</f>
        <v/>
      </c>
      <c r="E8" s="221">
        <f>$C$3</f>
        <v/>
      </c>
      <c r="F8" s="186">
        <f>IF(D8="",NA(),D8)</f>
        <v/>
      </c>
    </row>
    <row r="9">
      <c r="A9" s="218">
        <f>IF(Бэклог!A7="","",Бэклог!A7)</f>
        <v/>
      </c>
      <c r="B9" s="219">
        <f>IF(Бэклог!P7="","",Бэклог!P7)</f>
        <v/>
      </c>
      <c r="C9" s="219">
        <f>IFERROR(SUMPRODUCT((Релизы!$C$5:$C$9&lt;=Бэклог!M7)*(Релизы!$D$5:$D$9&gt;=Бэклог!M7)*Релизы!$E$5:$E$9),0)</f>
        <v/>
      </c>
      <c r="D9" s="220">
        <f>IF(AND(B9&lt;&gt;"",C9&gt;0),C9-B9,"")</f>
        <v/>
      </c>
      <c r="E9" s="221">
        <f>$C$3</f>
        <v/>
      </c>
      <c r="F9" s="186">
        <f>IF(D9="",NA(),D9)</f>
        <v/>
      </c>
    </row>
    <row r="10">
      <c r="A10" s="218">
        <f>IF(Бэклог!A8="","",Бэклог!A8)</f>
        <v/>
      </c>
      <c r="B10" s="219">
        <f>IF(Бэклог!P8="","",Бэклог!P8)</f>
        <v/>
      </c>
      <c r="C10" s="219">
        <f>IFERROR(SUMPRODUCT((Релизы!$C$5:$C$9&lt;=Бэклог!M8)*(Релизы!$D$5:$D$9&gt;=Бэклог!M8)*Релизы!$E$5:$E$9),0)</f>
        <v/>
      </c>
      <c r="D10" s="220">
        <f>IF(AND(B10&lt;&gt;"",C10&gt;0),C10-B10,"")</f>
        <v/>
      </c>
      <c r="E10" s="221">
        <f>$C$3</f>
        <v/>
      </c>
      <c r="F10" s="186">
        <f>IF(D10="",NA(),D10)</f>
        <v/>
      </c>
    </row>
    <row r="11">
      <c r="A11" s="218">
        <f>IF(Бэклог!A9="","",Бэклог!A9)</f>
        <v/>
      </c>
      <c r="B11" s="219">
        <f>IF(Бэклог!P9="","",Бэклог!P9)</f>
        <v/>
      </c>
      <c r="C11" s="219">
        <f>IFERROR(SUMPRODUCT((Релизы!$C$5:$C$9&lt;=Бэклог!M9)*(Релизы!$D$5:$D$9&gt;=Бэклог!M9)*Релизы!$E$5:$E$9),0)</f>
        <v/>
      </c>
      <c r="D11" s="220">
        <f>IF(AND(B11&lt;&gt;"",C11&gt;0),C11-B11,"")</f>
        <v/>
      </c>
      <c r="E11" s="221">
        <f>$C$3</f>
        <v/>
      </c>
      <c r="F11" s="186">
        <f>IF(D11="",NA(),D11)</f>
        <v/>
      </c>
    </row>
    <row r="12">
      <c r="A12" s="218">
        <f>IF(Бэклог!A10="","",Бэклог!A10)</f>
        <v/>
      </c>
      <c r="B12" s="219">
        <f>IF(Бэклог!P10="","",Бэклог!P10)</f>
        <v/>
      </c>
      <c r="C12" s="219">
        <f>IFERROR(SUMPRODUCT((Релизы!$C$5:$C$9&lt;=Бэклог!M10)*(Релизы!$D$5:$D$9&gt;=Бэклог!M10)*Релизы!$E$5:$E$9),0)</f>
        <v/>
      </c>
      <c r="D12" s="220">
        <f>IF(AND(B12&lt;&gt;"",C12&gt;0),C12-B12,"")</f>
        <v/>
      </c>
      <c r="E12" s="221">
        <f>$C$3</f>
        <v/>
      </c>
      <c r="F12" s="186">
        <f>IF(D12="",NA(),D12)</f>
        <v/>
      </c>
    </row>
    <row r="13">
      <c r="A13" s="218">
        <f>IF(Бэклог!A11="","",Бэклог!A11)</f>
        <v/>
      </c>
      <c r="B13" s="219">
        <f>IF(Бэклог!P11="","",Бэклог!P11)</f>
        <v/>
      </c>
      <c r="C13" s="219">
        <f>IFERROR(SUMPRODUCT((Релизы!$C$5:$C$9&lt;=Бэклог!M11)*(Релизы!$D$5:$D$9&gt;=Бэклог!M11)*Релизы!$E$5:$E$9),0)</f>
        <v/>
      </c>
      <c r="D13" s="220">
        <f>IF(AND(B13&lt;&gt;"",C13&gt;0),C13-B13,"")</f>
        <v/>
      </c>
      <c r="E13" s="221">
        <f>$C$3</f>
        <v/>
      </c>
      <c r="F13" s="186">
        <f>IF(D13="",NA(),D13)</f>
        <v/>
      </c>
    </row>
    <row r="14">
      <c r="A14" s="218">
        <f>IF(Бэклог!A12="","",Бэклог!A12)</f>
        <v/>
      </c>
      <c r="B14" s="219">
        <f>IF(Бэклог!P12="","",Бэклог!P12)</f>
        <v/>
      </c>
      <c r="C14" s="219">
        <f>IFERROR(SUMPRODUCT((Релизы!$C$5:$C$9&lt;=Бэклог!M12)*(Релизы!$D$5:$D$9&gt;=Бэклог!M12)*Релизы!$E$5:$E$9),0)</f>
        <v/>
      </c>
      <c r="D14" s="220">
        <f>IF(AND(B14&lt;&gt;"",C14&gt;0),C14-B14,"")</f>
        <v/>
      </c>
      <c r="E14" s="221">
        <f>$C$3</f>
        <v/>
      </c>
      <c r="F14" s="186">
        <f>IF(D14="",NA(),D14)</f>
        <v/>
      </c>
    </row>
    <row r="15">
      <c r="A15" s="218">
        <f>IF(Бэклог!A13="","",Бэклог!A13)</f>
        <v/>
      </c>
      <c r="B15" s="219">
        <f>IF(Бэклог!P13="","",Бэклог!P13)</f>
        <v/>
      </c>
      <c r="C15" s="219">
        <f>IFERROR(SUMPRODUCT((Релизы!$C$5:$C$9&lt;=Бэклог!M13)*(Релизы!$D$5:$D$9&gt;=Бэклог!M13)*Релизы!$E$5:$E$9),0)</f>
        <v/>
      </c>
      <c r="D15" s="220">
        <f>IF(AND(B15&lt;&gt;"",C15&gt;0),C15-B15,"")</f>
        <v/>
      </c>
      <c r="E15" s="221">
        <f>$C$3</f>
        <v/>
      </c>
      <c r="F15" s="186">
        <f>IF(D15="",NA(),D15)</f>
        <v/>
      </c>
    </row>
    <row r="16">
      <c r="A16" s="218">
        <f>IF(Бэклог!A14="","",Бэклог!A14)</f>
        <v/>
      </c>
      <c r="B16" s="219">
        <f>IF(Бэклог!P14="","",Бэклог!P14)</f>
        <v/>
      </c>
      <c r="C16" s="219">
        <f>IFERROR(SUMPRODUCT((Релизы!$C$5:$C$9&lt;=Бэклог!M14)*(Релизы!$D$5:$D$9&gt;=Бэклог!M14)*Релизы!$E$5:$E$9),0)</f>
        <v/>
      </c>
      <c r="D16" s="220">
        <f>IF(AND(B16&lt;&gt;"",C16&gt;0),C16-B16,"")</f>
        <v/>
      </c>
      <c r="E16" s="221">
        <f>$C$3</f>
        <v/>
      </c>
      <c r="F16" s="186">
        <f>IF(D16="",NA(),D16)</f>
        <v/>
      </c>
    </row>
    <row r="17">
      <c r="A17" s="218">
        <f>IF(Бэклог!A15="","",Бэклог!A15)</f>
        <v/>
      </c>
      <c r="B17" s="219">
        <f>IF(Бэклог!P15="","",Бэклог!P15)</f>
        <v/>
      </c>
      <c r="C17" s="219">
        <f>IFERROR(SUMPRODUCT((Релизы!$C$5:$C$9&lt;=Бэклог!M15)*(Релизы!$D$5:$D$9&gt;=Бэклог!M15)*Релизы!$E$5:$E$9),0)</f>
        <v/>
      </c>
      <c r="D17" s="220">
        <f>IF(AND(B17&lt;&gt;"",C17&gt;0),C17-B17,"")</f>
        <v/>
      </c>
      <c r="E17" s="221">
        <f>$C$3</f>
        <v/>
      </c>
      <c r="F17" s="186">
        <f>IF(D17="",NA(),D17)</f>
        <v/>
      </c>
    </row>
    <row r="18">
      <c r="A18" s="218">
        <f>IF(Бэклог!A16="","",Бэклог!A16)</f>
        <v/>
      </c>
      <c r="B18" s="219">
        <f>IF(Бэклог!P16="","",Бэклог!P16)</f>
        <v/>
      </c>
      <c r="C18" s="219">
        <f>IFERROR(SUMPRODUCT((Релизы!$C$5:$C$9&lt;=Бэклог!M16)*(Релизы!$D$5:$D$9&gt;=Бэклог!M16)*Релизы!$E$5:$E$9),0)</f>
        <v/>
      </c>
      <c r="D18" s="220">
        <f>IF(AND(B18&lt;&gt;"",C18&gt;0),C18-B18,"")</f>
        <v/>
      </c>
      <c r="E18" s="221">
        <f>$C$3</f>
        <v/>
      </c>
      <c r="F18" s="186">
        <f>IF(D18="",NA(),D18)</f>
        <v/>
      </c>
    </row>
    <row r="19">
      <c r="A19" s="218">
        <f>IF(Бэклог!A17="","",Бэклог!A17)</f>
        <v/>
      </c>
      <c r="B19" s="219">
        <f>IF(Бэклог!P17="","",Бэклог!P17)</f>
        <v/>
      </c>
      <c r="C19" s="219">
        <f>IFERROR(SUMPRODUCT((Релизы!$C$5:$C$9&lt;=Бэклог!M17)*(Релизы!$D$5:$D$9&gt;=Бэклог!M17)*Релизы!$E$5:$E$9),0)</f>
        <v/>
      </c>
      <c r="D19" s="220">
        <f>IF(AND(B19&lt;&gt;"",C19&gt;0),C19-B19,"")</f>
        <v/>
      </c>
      <c r="E19" s="221">
        <f>$C$3</f>
        <v/>
      </c>
      <c r="F19" s="186">
        <f>IF(D19="",NA(),D19)</f>
        <v/>
      </c>
    </row>
    <row r="20">
      <c r="A20" s="218">
        <f>IF(Бэклог!A18="","",Бэклог!A18)</f>
        <v/>
      </c>
      <c r="B20" s="219">
        <f>IF(Бэклог!P18="","",Бэклог!P18)</f>
        <v/>
      </c>
      <c r="C20" s="219">
        <f>IFERROR(SUMPRODUCT((Релизы!$C$5:$C$9&lt;=Бэклог!M18)*(Релизы!$D$5:$D$9&gt;=Бэклог!M18)*Релизы!$E$5:$E$9),0)</f>
        <v/>
      </c>
      <c r="D20" s="220">
        <f>IF(AND(B20&lt;&gt;"",C20&gt;0),C20-B20,"")</f>
        <v/>
      </c>
      <c r="E20" s="221">
        <f>$C$3</f>
        <v/>
      </c>
      <c r="F20" s="186">
        <f>IF(D20="",NA(),D20)</f>
        <v/>
      </c>
    </row>
    <row r="21">
      <c r="A21" s="218">
        <f>IF(Бэклог!A19="","",Бэклог!A19)</f>
        <v/>
      </c>
      <c r="B21" s="219">
        <f>IF(Бэклог!P19="","",Бэклог!P19)</f>
        <v/>
      </c>
      <c r="C21" s="219">
        <f>IFERROR(SUMPRODUCT((Релизы!$C$5:$C$9&lt;=Бэклог!M19)*(Релизы!$D$5:$D$9&gt;=Бэклог!M19)*Релизы!$E$5:$E$9),0)</f>
        <v/>
      </c>
      <c r="D21" s="220">
        <f>IF(AND(B21&lt;&gt;"",C21&gt;0),C21-B21,"")</f>
        <v/>
      </c>
      <c r="E21" s="221">
        <f>$C$3</f>
        <v/>
      </c>
      <c r="F21" s="186">
        <f>IF(D21="",NA(),D21)</f>
        <v/>
      </c>
    </row>
    <row r="22">
      <c r="A22" s="218">
        <f>IF(Бэклог!A20="","",Бэклог!A20)</f>
        <v/>
      </c>
      <c r="B22" s="219">
        <f>IF(Бэклог!P20="","",Бэклог!P20)</f>
        <v/>
      </c>
      <c r="C22" s="219">
        <f>IFERROR(SUMPRODUCT((Релизы!$C$5:$C$9&lt;=Бэклог!M20)*(Релизы!$D$5:$D$9&gt;=Бэклог!M20)*Релизы!$E$5:$E$9),0)</f>
        <v/>
      </c>
      <c r="D22" s="220">
        <f>IF(AND(B22&lt;&gt;"",C22&gt;0),C22-B22,"")</f>
        <v/>
      </c>
      <c r="E22" s="221">
        <f>$C$3</f>
        <v/>
      </c>
      <c r="F22" s="186">
        <f>IF(D22="",NA(),D22)</f>
        <v/>
      </c>
    </row>
    <row r="23">
      <c r="A23" s="218">
        <f>IF(Бэклог!A21="","",Бэклог!A21)</f>
        <v/>
      </c>
      <c r="B23" s="219">
        <f>IF(Бэклог!P21="","",Бэклог!P21)</f>
        <v/>
      </c>
      <c r="C23" s="219">
        <f>IFERROR(SUMPRODUCT((Релизы!$C$5:$C$9&lt;=Бэклог!M21)*(Релизы!$D$5:$D$9&gt;=Бэклог!M21)*Релизы!$E$5:$E$9),0)</f>
        <v/>
      </c>
      <c r="D23" s="220">
        <f>IF(AND(B23&lt;&gt;"",C23&gt;0),C23-B23,"")</f>
        <v/>
      </c>
      <c r="E23" s="221">
        <f>$C$3</f>
        <v/>
      </c>
      <c r="F23" s="186">
        <f>IF(D23="",NA(),D23)</f>
        <v/>
      </c>
    </row>
    <row r="24">
      <c r="A24" s="218">
        <f>IF(Бэклог!A22="","",Бэклог!A22)</f>
        <v/>
      </c>
      <c r="B24" s="219">
        <f>IF(Бэклог!P22="","",Бэклог!P22)</f>
        <v/>
      </c>
      <c r="C24" s="219">
        <f>IFERROR(SUMPRODUCT((Релизы!$C$5:$C$9&lt;=Бэклог!M22)*(Релизы!$D$5:$D$9&gt;=Бэклог!M22)*Релизы!$E$5:$E$9),0)</f>
        <v/>
      </c>
      <c r="D24" s="220">
        <f>IF(AND(B24&lt;&gt;"",C24&gt;0),C24-B24,"")</f>
        <v/>
      </c>
      <c r="E24" s="221">
        <f>$C$3</f>
        <v/>
      </c>
      <c r="F24" s="186">
        <f>IF(D24="",NA(),D24)</f>
        <v/>
      </c>
    </row>
    <row r="25">
      <c r="A25" s="218">
        <f>IF(Бэклог!A23="","",Бэклог!A23)</f>
        <v/>
      </c>
      <c r="B25" s="219">
        <f>IF(Бэклог!P23="","",Бэклог!P23)</f>
        <v/>
      </c>
      <c r="C25" s="219">
        <f>IFERROR(SUMPRODUCT((Релизы!$C$5:$C$9&lt;=Бэклог!M23)*(Релизы!$D$5:$D$9&gt;=Бэклог!M23)*Релизы!$E$5:$E$9),0)</f>
        <v/>
      </c>
      <c r="D25" s="220">
        <f>IF(AND(B25&lt;&gt;"",C25&gt;0),C25-B25,"")</f>
        <v/>
      </c>
      <c r="E25" s="221">
        <f>$C$3</f>
        <v/>
      </c>
      <c r="F25" s="186">
        <f>IF(D25="",NA(),D25)</f>
        <v/>
      </c>
    </row>
    <row r="26">
      <c r="A26" s="218">
        <f>IF(Бэклог!A24="","",Бэклог!A24)</f>
        <v/>
      </c>
      <c r="B26" s="219">
        <f>IF(Бэклог!P24="","",Бэклог!P24)</f>
        <v/>
      </c>
      <c r="C26" s="219">
        <f>IFERROR(SUMPRODUCT((Релизы!$C$5:$C$9&lt;=Бэклог!M24)*(Релизы!$D$5:$D$9&gt;=Бэклог!M24)*Релизы!$E$5:$E$9),0)</f>
        <v/>
      </c>
      <c r="D26" s="220">
        <f>IF(AND(B26&lt;&gt;"",C26&gt;0),C26-B26,"")</f>
        <v/>
      </c>
      <c r="E26" s="221">
        <f>$C$3</f>
        <v/>
      </c>
      <c r="F26" s="186">
        <f>IF(D26="",NA(),D26)</f>
        <v/>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2026-07-28T06:56:38Z</dcterms:created>
  <dcterms:modified xmlns:dcterms="http://purl.org/dc/terms/" xmlns:xsi="http://www.w3.org/2001/XMLSchema-instance" xsi:type="dcterms:W3CDTF">2026-09-11T10:13:34Z</dcterms:modified>
  <cp:lastModifiedBy>Андрей Агафонов</cp:lastModifiedBy>
</cp:coreProperties>
</file>
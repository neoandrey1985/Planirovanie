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6.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worksheets/sheet31.xml" ContentType="application/vnd.openxmlformats-officedocument.spreadsheetml.worksheet+xml"/>
  <Override PartName="/xl/drawings/drawing26.xml" ContentType="application/vnd.openxmlformats-officedocument.drawing+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0" activeTab="6"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RICE" sheetId="6" state="visible" r:id="rId6"/>
    <sheet xmlns:r="http://schemas.openxmlformats.org/officeDocument/2006/relationships" name="MoSCoW" sheetId="7" state="visible" r:id="rId7"/>
    <sheet xmlns:r="http://schemas.openxmlformats.org/officeDocument/2006/relationships" name="Квартальный roadmap" sheetId="8" state="visible" r:id="rId8"/>
    <sheet xmlns:r="http://schemas.openxmlformats.org/officeDocument/2006/relationships" name="Релизы" sheetId="9" state="visible" r:id="rId9"/>
    <sheet xmlns:r="http://schemas.openxmlformats.org/officeDocument/2006/relationships" name="Вехи" sheetId="10" state="visible" r:id="rId10"/>
    <sheet xmlns:r="http://schemas.openxmlformats.org/officeDocument/2006/relationships" name="Технический долг" sheetId="11" state="visible" r:id="rId11"/>
    <sheet xmlns:r="http://schemas.openxmlformats.org/officeDocument/2006/relationships" name="Ретроспективы" sheetId="12" state="visible" r:id="rId12"/>
    <sheet xmlns:r="http://schemas.openxmlformats.org/officeDocument/2006/relationships" name="Бюджет" sheetId="13" state="visible" r:id="rId13"/>
    <sheet xmlns:r="http://schemas.openxmlformats.org/officeDocument/2006/relationships" name="OKR" sheetId="14" state="visible" r:id="rId14"/>
    <sheet xmlns:r="http://schemas.openxmlformats.org/officeDocument/2006/relationships" name="Ёмкость на горизонт" sheetId="15" state="visible" r:id="rId15"/>
    <sheet xmlns:r="http://schemas.openxmlformats.org/officeDocument/2006/relationships" name="Гант" sheetId="16" state="visible" r:id="rId16"/>
    <sheet xmlns:r="http://schemas.openxmlformats.org/officeDocument/2006/relationships" name="Зависимости" sheetId="17" state="visible" r:id="rId17"/>
    <sheet xmlns:r="http://schemas.openxmlformats.org/officeDocument/2006/relationships" name="Капасити" sheetId="18" state="visible" r:id="rId18"/>
    <sheet xmlns:r="http://schemas.openxmlformats.org/officeDocument/2006/relationships" name="Календарь" sheetId="19" state="visible" r:id="rId19"/>
    <sheet xmlns:r="http://schemas.openxmlformats.org/officeDocument/2006/relationships" name="Загрузка по ролям" sheetId="20" state="visible" r:id="rId20"/>
    <sheet xmlns:r="http://schemas.openxmlformats.org/officeDocument/2006/relationships" name="Бэклог" sheetId="21" state="visible" r:id="rId21"/>
    <sheet xmlns:r="http://schemas.openxmlformats.org/officeDocument/2006/relationships" name="Сгорание" sheetId="22" state="visible" r:id="rId22"/>
    <sheet xmlns:r="http://schemas.openxmlformats.org/officeDocument/2006/relationships" name="Качество" sheetId="23" state="visible" r:id="rId23"/>
    <sheet xmlns:r="http://schemas.openxmlformats.org/officeDocument/2006/relationships" name="Баги" sheetId="24" state="visible" r:id="rId24"/>
    <sheet xmlns:r="http://schemas.openxmlformats.org/officeDocument/2006/relationships" name="CFD" sheetId="25" state="visible" r:id="rId25"/>
    <sheet xmlns:r="http://schemas.openxmlformats.org/officeDocument/2006/relationships" name="Метрики и прогноз" sheetId="26" state="visible" r:id="rId26"/>
    <sheet xmlns:r="http://schemas.openxmlformats.org/officeDocument/2006/relationships" name="Cycle time" sheetId="27" state="visible" r:id="rId27"/>
    <sheet xmlns:r="http://schemas.openxmlformats.org/officeDocument/2006/relationships" name="Риски" sheetId="28" state="visible" r:id="rId28"/>
    <sheet xmlns:r="http://schemas.openxmlformats.org/officeDocument/2006/relationships" name="Матрица рисков" sheetId="29" state="visible" r:id="rId29"/>
    <sheet xmlns:r="http://schemas.openxmlformats.org/officeDocument/2006/relationships" name="Распределение" sheetId="30" state="visible" r:id="rId30"/>
    <sheet xmlns:r="http://schemas.openxmlformats.org/officeDocument/2006/relationships" name="Time to Market" sheetId="31" state="visible" r:id="rId31"/>
    <sheet xmlns:r="http://schemas.openxmlformats.org/officeDocument/2006/relationships" name="FAQ" sheetId="32" state="visible" r:id="rId32"/>
    <sheet xmlns:r="http://schemas.openxmlformats.org/officeDocument/2006/relationships" name="Настроение" sheetId="33" state="visible" r:id="rId33"/>
    <sheet xmlns:r="http://schemas.openxmlformats.org/officeDocument/2006/relationships" name="Kudos" sheetId="34" state="visible" r:id="rId34"/>
    <sheet xmlns:r="http://schemas.openxmlformats.org/officeDocument/2006/relationships" name="Эксперименты" sheetId="35" state="visible" r:id="rId35"/>
    <sheet xmlns:r="http://schemas.openxmlformats.org/officeDocument/2006/relationships" name="Team Radar" sheetId="36" state="visible" r:id="rId36"/>
    <sheet xmlns:r="http://schemas.openxmlformats.org/officeDocument/2006/relationships" name="Груминг" sheetId="37" state="visible" r:id="rId37"/>
    <sheet xmlns:r="http://schemas.openxmlformats.org/officeDocument/2006/relationships" name="Демо спринта" sheetId="38" state="visible" r:id="rId38"/>
    <sheet xmlns:r="http://schemas.openxmlformats.org/officeDocument/2006/relationships" name="Дэйли" sheetId="39" state="visible" r:id="rId39"/>
    <sheet xmlns:r="http://schemas.openxmlformats.org/officeDocument/2006/relationships" name="График отпусков" sheetId="40" state="visible" r:id="rId40"/>
    <sheet xmlns:r="http://schemas.openxmlformats.org/officeDocument/2006/relationships" name="Дни рождения" sheetId="41" state="visible" r:id="rId41"/>
  </sheets>
  <definedNames/>
  <calcPr calcId="191029" fullCalcOnLoad="1"/>
</workbook>
</file>

<file path=xl/styles.xml><?xml version="1.0" encoding="utf-8"?>
<styleSheet xmlns="http://schemas.openxmlformats.org/spreadsheetml/2006/main">
  <numFmts count="7">
    <numFmt numFmtId="164" formatCode="dd\.mm\.yyyy"/>
    <numFmt numFmtId="165" formatCode="#,##0.0"/>
    <numFmt numFmtId="166" formatCode="dd\.mm"/>
    <numFmt numFmtId="167" formatCode="0.0"/>
    <numFmt numFmtId="168" formatCode="dd\.mm\.yy"/>
    <numFmt numFmtId="169" formatCode="#\ ##0"/>
    <numFmt numFmtId="170" formatCode="#\ ##0.0"/>
  </numFmts>
  <fonts count="53">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
      <name val="Arial"/>
      <i val="1"/>
      <color rgb="FF5A6B82"/>
      <sz val="10"/>
    </font>
    <font>
      <name val="Arial"/>
      <b val="1"/>
      <sz val="10"/>
    </font>
    <font>
      <name val="Arial"/>
      <sz val="10"/>
    </font>
  </fonts>
  <fills count="57">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FFD9E1F2"/>
      </patternFill>
    </fill>
    <fill>
      <patternFill patternType="solid">
        <fgColor rgb="FFF8D2D2"/>
      </patternFill>
    </fill>
    <fill>
      <patternFill patternType="solid">
        <fgColor rgb="FFFDECC8"/>
      </patternFill>
    </fill>
    <fill>
      <patternFill patternType="solid">
        <fgColor rgb="FFD6E4FB"/>
      </patternFill>
    </fill>
    <fill>
      <patternFill patternType="solid">
        <fgColor rgb="FFE4E9F0"/>
      </patternFill>
    </fill>
    <fill>
      <patternFill patternType="solid">
        <fgColor rgb="FFDDEBF7"/>
      </patternFill>
    </fill>
    <fill>
      <patternFill patternType="solid">
        <fgColor rgb="FFEADAF3"/>
      </patternFill>
    </fill>
  </fills>
  <borders count="21">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2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4" fillId="0" borderId="15" pivotButton="0" quotePrefix="0" xfId="0"/>
    <xf numFmtId="167" fontId="16" fillId="50" borderId="15" applyAlignment="1" pivotButton="0" quotePrefix="0" xfId="0">
      <alignment horizontal="center" vertical="center"/>
    </xf>
    <xf numFmtId="0" fontId="50" fillId="0" borderId="0" pivotButton="0" quotePrefix="0" xfId="0"/>
    <xf numFmtId="0" fontId="48" fillId="48" borderId="16" applyAlignment="1" pivotButton="0" quotePrefix="0" xfId="0">
      <alignment horizontal="center" vertical="center" wrapText="1"/>
    </xf>
    <xf numFmtId="0" fontId="4" fillId="0" borderId="16" pivotButton="0" quotePrefix="0" xfId="0"/>
    <xf numFmtId="0" fontId="6" fillId="0" borderId="16" pivotButton="0" quotePrefix="0" xfId="0"/>
    <xf numFmtId="169" fontId="6" fillId="0" borderId="16" applyAlignment="1" pivotButton="0" quotePrefix="0" xfId="0">
      <alignment horizontal="center"/>
    </xf>
    <xf numFmtId="0" fontId="6" fillId="0" borderId="16" applyAlignment="1" pivotButton="0" quotePrefix="0" xfId="0">
      <alignment horizontal="center"/>
    </xf>
    <xf numFmtId="9" fontId="6" fillId="0" borderId="16" pivotButton="0" quotePrefix="0" xfId="0"/>
    <xf numFmtId="170" fontId="4" fillId="0" borderId="16" pivotButton="0" quotePrefix="0" xfId="0"/>
    <xf numFmtId="0" fontId="4" fillId="0" borderId="16" applyAlignment="1" pivotButton="0" quotePrefix="0" xfId="0">
      <alignment horizontal="center"/>
    </xf>
    <xf numFmtId="0" fontId="51" fillId="0" borderId="0" pivotButton="0" quotePrefix="0" xfId="0"/>
    <xf numFmtId="0" fontId="52" fillId="0" borderId="0" pivotButton="0" quotePrefix="0" xfId="0"/>
    <xf numFmtId="0" fontId="52" fillId="0" borderId="0" applyAlignment="1" pivotButton="0" quotePrefix="0" xfId="0">
      <alignment horizontal="left"/>
    </xf>
    <xf numFmtId="0" fontId="4" fillId="0" borderId="16" applyAlignment="1" pivotButton="0" quotePrefix="0" xfId="0">
      <alignment vertical="center"/>
    </xf>
    <xf numFmtId="0" fontId="6" fillId="0" borderId="16" applyAlignment="1" pivotButton="0" quotePrefix="0" xfId="0">
      <alignment vertical="center" wrapText="1"/>
    </xf>
    <xf numFmtId="0" fontId="6" fillId="0" borderId="16" applyAlignment="1" pivotButton="0" quotePrefix="0" xfId="0">
      <alignment vertical="center"/>
    </xf>
    <xf numFmtId="0" fontId="48" fillId="48" borderId="0" pivotButton="0" quotePrefix="0" xfId="0"/>
    <xf numFmtId="0" fontId="5" fillId="39" borderId="12" applyAlignment="1" pivotButton="0" quotePrefix="0" xfId="0">
      <alignment horizontal="left" vertical="center" wrapText="1"/>
    </xf>
    <xf numFmtId="0" fontId="48" fillId="48" borderId="17" applyAlignment="1" pivotButton="0" quotePrefix="0" xfId="0">
      <alignment horizontal="center" vertical="center" wrapText="1"/>
    </xf>
    <xf numFmtId="0" fontId="4" fillId="0" borderId="17" pivotButton="0" quotePrefix="0" xfId="0"/>
    <xf numFmtId="0" fontId="6" fillId="0" borderId="17" pivotButton="0" quotePrefix="0" xfId="0"/>
    <xf numFmtId="0" fontId="4" fillId="0" borderId="17"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vertical="center" wrapText="1"/>
    </xf>
    <xf numFmtId="0" fontId="48" fillId="48" borderId="17" applyAlignment="1" pivotButton="0" quotePrefix="0" xfId="0">
      <alignment horizontal="center" vertical="center"/>
    </xf>
    <xf numFmtId="0" fontId="4" fillId="51" borderId="17" pivotButton="0" quotePrefix="0" xfId="0"/>
    <xf numFmtId="0" fontId="4" fillId="52" borderId="17" pivotButton="0" quotePrefix="0" xfId="0"/>
    <xf numFmtId="0" fontId="4" fillId="53" borderId="17" pivotButton="0" quotePrefix="0" xfId="0"/>
    <xf numFmtId="0" fontId="4" fillId="54" borderId="17" pivotButton="0" quotePrefix="0" xfId="0"/>
    <xf numFmtId="0" fontId="16" fillId="13" borderId="15" applyAlignment="1" pivotButton="0" quotePrefix="0" xfId="0">
      <alignment horizontal="left" vertical="center" wrapText="1"/>
    </xf>
    <xf numFmtId="0" fontId="0" fillId="0" borderId="5" pivotButton="0" quotePrefix="0" xfId="0"/>
    <xf numFmtId="0" fontId="0" fillId="0" borderId="6" pivotButton="0" quotePrefix="0" xfId="0"/>
    <xf numFmtId="0" fontId="48" fillId="48" borderId="20" applyAlignment="1" pivotButton="0" quotePrefix="0" xfId="0">
      <alignment horizontal="center" vertical="center" wrapText="1"/>
    </xf>
    <xf numFmtId="0" fontId="4" fillId="0" borderId="20" applyAlignment="1" pivotButton="0" quotePrefix="0" xfId="0">
      <alignment vertical="top"/>
    </xf>
    <xf numFmtId="0" fontId="6" fillId="55" borderId="20" applyAlignment="1" pivotButton="0" quotePrefix="0" xfId="0">
      <alignment vertical="top" wrapText="1"/>
    </xf>
    <xf numFmtId="0" fontId="4" fillId="0" borderId="20" applyAlignment="1" pivotButton="0" quotePrefix="0" xfId="0">
      <alignment vertical="top" wrapText="1"/>
    </xf>
    <xf numFmtId="0" fontId="6" fillId="0" borderId="20" applyAlignment="1" pivotButton="0" quotePrefix="0" xfId="0">
      <alignment vertical="top" wrapText="1"/>
    </xf>
    <xf numFmtId="0" fontId="6" fillId="40" borderId="20" applyAlignment="1" pivotButton="0" quotePrefix="0" xfId="0">
      <alignment vertical="top" wrapText="1"/>
    </xf>
    <xf numFmtId="0" fontId="6" fillId="47" borderId="20" applyAlignment="1" pivotButton="0" quotePrefix="0" xfId="0">
      <alignment vertical="top" wrapText="1"/>
    </xf>
    <xf numFmtId="0" fontId="6" fillId="56" borderId="20" applyAlignment="1" pivotButton="0" quotePrefix="0" xfId="0">
      <alignment vertical="top" wrapText="1"/>
    </xf>
  </cellXfs>
  <cellStyles count="1">
    <cellStyle name="Обычный" xfId="0" builtinId="0"/>
  </cellStyles>
  <dxfs count="51">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F8D7DA"/>
        </patternFill>
      </fill>
    </dxf>
    <dxf>
      <fill>
        <patternFill patternType="solid">
          <fgColor rgb="FFF8D7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4E9F0"/>
        </patternFill>
      </fill>
    </dxf>
    <dxf>
      <fill>
        <patternFill patternType="solid">
          <fgColor rgb="FFD6E4FB"/>
        </patternFill>
      </fill>
    </dxf>
    <dxf>
      <fill>
        <patternFill patternType="solid">
          <fgColor rgb="FFFDECC8"/>
        </patternFill>
      </fill>
    </dxf>
    <dxf>
      <fill>
        <patternFill patternType="solid">
          <fgColor rgb="FFF8D2D2"/>
        </patternFill>
      </fill>
    </dxf>
    <dxf>
      <fill>
        <patternFill patternType="solid">
          <fgColor rgb="FFF8D7DA"/>
        </patternFill>
      </fill>
    </dxf>
    <dxf>
      <fill>
        <patternFill patternType="solid">
          <fgColor rgb="FFFFF2CC"/>
        </patternFill>
      </fill>
    </dxf>
    <dxf>
      <fill>
        <patternFill patternType="solid">
          <fgColor rgb="FFE2EF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RICE score </a:t>
            </a:r>
            <a:r>
              <a:rPr lang="ru-RU"/>
              <a:t>по фичам</a:t>
            </a:r>
          </a:p>
        </rich>
      </tx>
      <overlay val="1"/>
    </title>
    <plotArea>
      <layout/>
      <barChart>
        <barDir val="bar"/>
        <grouping val="clustered"/>
        <varyColors val="1"/>
        <ser>
          <idx val="0"/>
          <order val="0"/>
          <tx>
            <strRef>
              <f>RICE!$G$4</f>
              <strCache>
                <ptCount val="1"/>
                <pt idx="0">
                  <v>RICE
score</v>
                </pt>
              </strCache>
            </strRef>
          </tx>
          <spPr>
            <a:ln xmlns:a="http://schemas.openxmlformats.org/drawingml/2006/main">
              <a:prstDash val="solid"/>
            </a:ln>
          </spPr>
          <invertIfNegative val="1"/>
          <cat>
            <strRef>
              <f>RICE!$B$5:$B$14</f>
              <strCache>
                <ptCount val="10"/>
                <pt idx="0">
                  <v>MVP оформления заказа</v>
                </pt>
                <pt idx="1">
                  <v>Оплата картой</v>
                </pt>
                <pt idx="2">
                  <v>Промокоды и скидки</v>
                </pt>
                <pt idx="3">
                  <v>Уведомления (e-mail/push)</v>
                </pt>
                <pt idx="4">
                  <v>История заказов</v>
                </pt>
                <pt idx="5">
                  <v>Мобильная вёрстка</v>
                </pt>
                <pt idx="6">
                  <v>Личный кабинет</v>
                </pt>
                <pt idx="7">
                  <v>Рекомендации товаров</v>
                </pt>
                <pt idx="8">
                  <v>Экспорт отчётов</v>
                </pt>
                <pt idx="9">
                  <v>Мультиязычность</v>
                </pt>
              </strCache>
            </strRef>
          </cat>
          <val>
            <numRef>
              <f>RICE!$G$5:$G$14</f>
              <numCache>
                <formatCode>#\ ##0.0</formatCode>
                <ptCount val="10"/>
                <pt idx="0">
                  <v>375</v>
                </pt>
                <pt idx="1">
                  <v>480</v>
                </pt>
                <pt idx="2">
                  <v>200</v>
                </pt>
                <pt idx="3">
                  <v>213.3333333333333</v>
                </pt>
                <pt idx="4">
                  <v>175</v>
                </pt>
                <pt idx="5">
                  <v>360</v>
                </pt>
                <pt idx="6">
                  <v>83.33333333333333</v>
                </pt>
                <pt idx="7">
                  <v>90.90909090909091</v>
                </pt>
                <pt idx="8">
                  <v>40</v>
                </pt>
                <pt idx="9">
                  <v>25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 ##0.0" sourceLinked="1"/>
        <majorTickMark val="none"/>
        <minorTickMark val="none"/>
        <tickLblPos val="nextTo"/>
        <crossAx val="10"/>
        <crosses val="autoZero"/>
        <crossBetween val="between"/>
      </valAx>
    </plotArea>
    <plotVisOnly val="1"/>
    <dispBlanksAs val="gap"/>
  </chart>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Число фич по категориям </a:t>
            </a:r>
            <a:r>
              <a:rPr lang="en-US"/>
              <a:t>MoSCoW</a:t>
            </a:r>
          </a:p>
        </rich>
      </tx>
      <overlay val="1"/>
    </title>
    <plotArea>
      <layout/>
      <barChart>
        <barDir val="bar"/>
        <grouping val="clustered"/>
        <varyColors val="1"/>
        <ser>
          <idx val="0"/>
          <order val="0"/>
          <tx>
            <strRef>
              <f>MoSCoW!$B$19</f>
              <strCache>
                <ptCount val="1"/>
                <pt idx="0">
                  <v>Кол-во</v>
                </pt>
              </strCache>
            </strRef>
          </tx>
          <spPr>
            <a:ln xmlns:a="http://schemas.openxmlformats.org/drawingml/2006/main">
              <a:prstDash val="solid"/>
            </a:ln>
          </spPr>
          <invertIfNegative val="1"/>
          <cat>
            <strRef>
              <f>MoSCoW!$A$20:$A$23</f>
              <strCache>
                <ptCount val="4"/>
                <pt idx="0">
                  <v>Must</v>
                </pt>
                <pt idx="1">
                  <v>Should</v>
                </pt>
                <pt idx="2">
                  <v>Could</v>
                </pt>
                <pt idx="3">
                  <v>Won't</v>
                </pt>
              </strCache>
            </strRef>
          </cat>
          <val>
            <numRef>
              <f>MoSCoW!$B$20:$B$23</f>
              <numCache>
                <formatCode>General</formatCode>
                <ptCount val="4"/>
                <pt idx="0">
                  <v>4</v>
                </pt>
                <pt idx="1">
                  <v>3</v>
                </pt>
                <pt idx="2">
                  <v>3</v>
                </pt>
                <pt idx="3">
                  <v>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Зависимости по статусам</a:t>
            </a:r>
          </a:p>
        </rich>
      </tx>
      <overlay val="1"/>
    </title>
    <plotArea>
      <layout/>
      <barChart>
        <barDir val="col"/>
        <grouping val="clustered"/>
        <varyColors val="1"/>
        <ser>
          <idx val="0"/>
          <order val="0"/>
          <tx>
            <strRef>
              <f>Зависимости!$B$15</f>
              <strCache>
                <ptCount val="1"/>
                <pt idx="0">
                  <v>Кол-во</v>
                </pt>
              </strCache>
            </strRef>
          </tx>
          <spPr>
            <a:ln xmlns:a="http://schemas.openxmlformats.org/drawingml/2006/main">
              <a:prstDash val="solid"/>
            </a:ln>
          </spPr>
          <invertIfNegative val="1"/>
          <cat>
            <strRef>
              <f>Зависимости!$A$16:$A$20</f>
              <strCache>
                <ptCount val="5"/>
                <pt idx="0">
                  <v>Ожидается</v>
                </pt>
                <pt idx="1">
                  <v>Подтверждено</v>
                </pt>
                <pt idx="2">
                  <v>Получено</v>
                </pt>
                <pt idx="3">
                  <v>Заблокировано</v>
                </pt>
                <pt idx="4">
                  <v>Просрочено</v>
                </pt>
              </strCache>
            </strRef>
          </cat>
          <val>
            <numRef>
              <f>Зависимости!$B$16:$B$20</f>
              <numCache>
                <formatCode>General</formatCode>
                <ptCount val="5"/>
                <pt idx="0">
                  <v>3</v>
                </pt>
                <pt idx="1">
                  <v>2</v>
                </pt>
                <pt idx="2">
                  <v>1</v>
                </pt>
                <pt idx="3">
                  <v>2</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7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s>
</file>

<file path=xl/drawings/_rels/drawing9.xml.rels><Relationships xmlns="http://schemas.openxmlformats.org/package/2006/relationships"><Relationship Type="http://schemas.openxmlformats.org/officeDocument/2006/relationships/chart" Target="/xl/charts/chart47.xml" Id="rId1"/></Relationships>
</file>

<file path=xl/drawings/_rels/drawing10.xml.rels><Relationships xmlns="http://schemas.openxmlformats.org/package/2006/relationships"><Relationship Type="http://schemas.openxmlformats.org/officeDocument/2006/relationships/chart" Target="/xl/charts/chart48.xml" Id="rId1"/><Relationship Type="http://schemas.openxmlformats.org/officeDocument/2006/relationships/chart" Target="/xl/charts/chart49.xml" Id="rId2"/><Relationship Type="http://schemas.openxmlformats.org/officeDocument/2006/relationships/chart" Target="/xl/charts/chart50.xml" Id="rId3"/></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s>
</file>

<file path=xl/drawings/_rels/drawing15.xml.rels><Relationships xmlns="http://schemas.openxmlformats.org/package/2006/relationships"><Relationship Type="http://schemas.openxmlformats.org/officeDocument/2006/relationships/chart" Target="/xl/charts/chart55.xml" Id="rId1"/></Relationships>
</file>

<file path=xl/drawings/_rels/drawing16.xml.rels><Relationships xmlns="http://schemas.openxmlformats.org/package/2006/relationships"><Relationship Type="http://schemas.openxmlformats.org/officeDocument/2006/relationships/chart" Target="/xl/charts/chart56.xml" Id="rId1"/></Relationships>
</file>

<file path=xl/drawings/_rels/drawing17.xml.rels><Relationships xmlns="http://schemas.openxmlformats.org/package/2006/relationships"><Relationship Type="http://schemas.openxmlformats.org/officeDocument/2006/relationships/chart" Target="/xl/charts/chart57.xml" Id="rId1"/><Relationship Type="http://schemas.openxmlformats.org/officeDocument/2006/relationships/chart" Target="/xl/charts/chart58.xml" Id="rId2"/></Relationships>
</file>

<file path=xl/drawings/_rels/drawing18.xml.rels><Relationships xmlns="http://schemas.openxmlformats.org/package/2006/relationships"><Relationship Type="http://schemas.openxmlformats.org/officeDocument/2006/relationships/chart" Target="/xl/charts/chart59.xml" Id="rId1"/></Relationships>
</file>

<file path=xl/drawings/_rels/drawing19.xml.rels><Relationships xmlns="http://schemas.openxmlformats.org/package/2006/relationships"><Relationship Type="http://schemas.openxmlformats.org/officeDocument/2006/relationships/chart" Target="/xl/charts/chart60.xml" Id="rId1"/><Relationship Type="http://schemas.openxmlformats.org/officeDocument/2006/relationships/chart" Target="/xl/charts/chart61.xml" Id="rId2"/><Relationship Type="http://schemas.openxmlformats.org/officeDocument/2006/relationships/chart" Target="/xl/charts/chart62.xml" Id="rId3"/></Relationships>
</file>

<file path=xl/drawings/_rels/drawing20.xml.rels><Relationships xmlns="http://schemas.openxmlformats.org/package/2006/relationships"><Relationship Type="http://schemas.openxmlformats.org/officeDocument/2006/relationships/chart" Target="/xl/charts/chart63.xml" Id="rId1"/></Relationships>
</file>

<file path=xl/drawings/_rels/drawing2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s>
</file>

<file path=xl/drawings/_rels/drawing22.xml.rels><Relationships xmlns="http://schemas.openxmlformats.org/package/2006/relationships"><Relationship Type="http://schemas.openxmlformats.org/officeDocument/2006/relationships/chart" Target="/xl/charts/chart69.xml" Id="rId1"/></Relationships>
</file>

<file path=xl/drawings/_rels/drawing23.xml.rels><Relationships xmlns="http://schemas.openxmlformats.org/package/2006/relationships"><Relationship Type="http://schemas.openxmlformats.org/officeDocument/2006/relationships/chart" Target="/xl/charts/chart70.xml" Id="rId1"/></Relationships>
</file>

<file path=xl/drawings/_rels/drawing24.xml.rels><Relationships xmlns="http://schemas.openxmlformats.org/package/2006/relationships"><Relationship Type="http://schemas.openxmlformats.org/officeDocument/2006/relationships/chart" Target="/xl/charts/chart71.xml" Id="rId1"/><Relationship Type="http://schemas.openxmlformats.org/officeDocument/2006/relationships/image" Target="/xl/media/image2.png" Id="rId2"/></Relationships>
</file>

<file path=xl/drawings/_rels/drawing25.xml.rels><Relationships xmlns="http://schemas.openxmlformats.org/package/2006/relationships"><Relationship Type="http://schemas.openxmlformats.org/officeDocument/2006/relationships/chart" Target="/xl/charts/chart72.xml" Id="rId1"/></Relationships>
</file>

<file path=xl/drawings/_rels/drawing26.xml.rels><Relationships xmlns="http://schemas.openxmlformats.org/package/2006/relationships"><Relationship Type="http://schemas.openxmlformats.org/officeDocument/2006/relationships/chart" Target="/xl/charts/chart73.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8</col>
      <colOff>449580</colOff>
      <row>4</row>
      <rowOff>129540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4</row>
      <rowOff>167640</rowOff>
    </from>
    <ext cx="468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12</col>
      <colOff>0</colOff>
      <row>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8.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2.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5.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20.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_rels/sheet29.xml.rels><Relationships xmlns="http://schemas.openxmlformats.org/package/2006/relationships"><Relationship Type="http://schemas.openxmlformats.org/officeDocument/2006/relationships/drawing" Target="/xl/drawings/drawing24.xml" Id="rId1"/></Relationships>
</file>

<file path=xl/worksheets/_rels/sheet30.xml.rels><Relationships xmlns="http://schemas.openxmlformats.org/package/2006/relationships"><Relationship Type="http://schemas.openxmlformats.org/officeDocument/2006/relationships/drawing" Target="/xl/drawings/drawing25.xml" Id="rId1"/></Relationships>
</file>

<file path=xl/worksheets/_rels/sheet31.xml.rels><Relationships xmlns="http://schemas.openxmlformats.org/package/2006/relationships"><Relationship Type="http://schemas.openxmlformats.org/officeDocument/2006/relationships/drawing" Target="/xl/drawings/drawing26.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53">
        <f>Параметры!$B$19</f>
        <v/>
      </c>
      <c r="C3" s="254" t="n"/>
      <c r="D3" s="254" t="n"/>
      <c r="E3" s="255"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ht="15.6" customHeight="1">
      <c r="A32" s="223" t="inlineStr">
        <is>
          <t>Средний TTM (дн)</t>
        </is>
      </c>
      <c r="B32" s="224">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0">
      <formula>15</formula>
    </cfRule>
    <cfRule type="cellIs" priority="18" operator="greaterThan" dxfId="2">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zoomScale="90" zoomScaleNormal="90" workbookViewId="0">
      <pane ySplit="5" topLeftCell="A54"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H18" sqref="H18"/>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241"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4.4"/>
  <cols>
    <col width="7" customWidth="1" min="1" max="1"/>
    <col width="30" customWidth="1" min="2" max="2"/>
    <col width="12" customWidth="1" min="3" max="3"/>
    <col width="10" customWidth="1" min="4" max="4"/>
    <col width="11" customWidth="1" min="5" max="7"/>
    <col width="7" customWidth="1" min="8" max="8"/>
    <col width="12" customWidth="1" min="9" max="9"/>
  </cols>
  <sheetData>
    <row r="1" ht="17.4" customHeight="1">
      <c r="A1" s="213" t="inlineStr">
        <is>
          <t>Оценка приоритетов по RICE</t>
        </is>
      </c>
    </row>
    <row r="2">
      <c r="A2" s="225" t="inlineStr">
        <is>
          <t>RICE = (Reach × Impact × Confidence) / Effort. Чем выше балл — тем выше приоритет фичи.</t>
        </is>
      </c>
    </row>
    <row r="4" ht="41.4" customHeight="1">
      <c r="A4" s="226" t="inlineStr">
        <is>
          <t>ID</t>
        </is>
      </c>
      <c r="B4" s="226" t="inlineStr">
        <is>
          <t>Фича / инициатива</t>
        </is>
      </c>
      <c r="C4" s="226" t="inlineStr">
        <is>
          <t>Reach
(польз./кв)</t>
        </is>
      </c>
      <c r="D4" s="226" t="inlineStr">
        <is>
          <t>Impact
(влияние)</t>
        </is>
      </c>
      <c r="E4" s="226" t="inlineStr">
        <is>
          <t>Confidence
(увер-ть)</t>
        </is>
      </c>
      <c r="F4" s="226" t="inlineStr">
        <is>
          <t>Effort
(чел-дни)</t>
        </is>
      </c>
      <c r="G4" s="226" t="inlineStr">
        <is>
          <t>RICE
score</t>
        </is>
      </c>
      <c r="H4" s="226" t="inlineStr">
        <is>
          <t>Ранг</t>
        </is>
      </c>
      <c r="I4" s="226" t="inlineStr">
        <is>
          <t>Приоритет</t>
        </is>
      </c>
    </row>
    <row r="5">
      <c r="A5" s="227" t="inlineStr">
        <is>
          <t>F-01</t>
        </is>
      </c>
      <c r="B5" s="228" t="inlineStr">
        <is>
          <t>MVP оформления заказа</t>
        </is>
      </c>
      <c r="C5" s="229" t="n">
        <v>5000</v>
      </c>
      <c r="D5" s="230" t="n">
        <v>3</v>
      </c>
      <c r="E5" s="231" t="n">
        <v>1</v>
      </c>
      <c r="F5" s="230" t="n">
        <v>40</v>
      </c>
      <c r="G5" s="232">
        <f>IFERROR(C5*D5*E5/F5,0)</f>
        <v/>
      </c>
      <c r="H5" s="230">
        <f>IF(G5="","",RANK(G5,$G$5:$G$14))</f>
        <v/>
      </c>
      <c r="I5" s="233">
        <f>IF(G5="","",IF(G5&gt;=0.6*MAX($G$5:$G$14),"Высокий",IF(G5&gt;=0.3*MAX($G$5:$G$14),"Средний","Низкий")))</f>
        <v/>
      </c>
    </row>
    <row r="6">
      <c r="A6" s="227" t="inlineStr">
        <is>
          <t>F-02</t>
        </is>
      </c>
      <c r="B6" s="228" t="inlineStr">
        <is>
          <t>Оплата картой</t>
        </is>
      </c>
      <c r="C6" s="229" t="n">
        <v>5000</v>
      </c>
      <c r="D6" s="230" t="n">
        <v>3</v>
      </c>
      <c r="E6" s="231" t="n">
        <v>0.8</v>
      </c>
      <c r="F6" s="230" t="n">
        <v>25</v>
      </c>
      <c r="G6" s="232">
        <f>IFERROR(C6*D6*E6/F6,0)</f>
        <v/>
      </c>
      <c r="H6" s="230">
        <f>IF(G6="","",RANK(G6,$G$5:$G$14))</f>
        <v/>
      </c>
      <c r="I6" s="233">
        <f>IF(G6="","",IF(G6&gt;=0.6*MAX($G$5:$G$14),"Высокий",IF(G6&gt;=0.3*MAX($G$5:$G$14),"Средний","Низкий")))</f>
        <v/>
      </c>
    </row>
    <row r="7">
      <c r="A7" s="227" t="inlineStr">
        <is>
          <t>F-03</t>
        </is>
      </c>
      <c r="B7" s="228" t="inlineStr">
        <is>
          <t>Промокоды и скидки</t>
        </is>
      </c>
      <c r="C7" s="229" t="n">
        <v>3000</v>
      </c>
      <c r="D7" s="230" t="n">
        <v>1</v>
      </c>
      <c r="E7" s="231" t="n">
        <v>0.8</v>
      </c>
      <c r="F7" s="230" t="n">
        <v>12</v>
      </c>
      <c r="G7" s="232">
        <f>IFERROR(C7*D7*E7/F7,0)</f>
        <v/>
      </c>
      <c r="H7" s="230">
        <f>IF(G7="","",RANK(G7,$G$5:$G$14))</f>
        <v/>
      </c>
      <c r="I7" s="233">
        <f>IF(G7="","",IF(G7&gt;=0.6*MAX($G$5:$G$14),"Высокий",IF(G7&gt;=0.3*MAX($G$5:$G$14),"Средний","Низкий")))</f>
        <v/>
      </c>
    </row>
    <row r="8">
      <c r="A8" s="227" t="inlineStr">
        <is>
          <t>F-04</t>
        </is>
      </c>
      <c r="B8" s="228" t="inlineStr">
        <is>
          <t>Уведомления (e-mail/push)</t>
        </is>
      </c>
      <c r="C8" s="229" t="n">
        <v>4000</v>
      </c>
      <c r="D8" s="230" t="n">
        <v>1</v>
      </c>
      <c r="E8" s="231" t="n">
        <v>0.8</v>
      </c>
      <c r="F8" s="230" t="n">
        <v>15</v>
      </c>
      <c r="G8" s="232">
        <f>IFERROR(C8*D8*E8/F8,0)</f>
        <v/>
      </c>
      <c r="H8" s="230">
        <f>IF(G8="","",RANK(G8,$G$5:$G$14))</f>
        <v/>
      </c>
      <c r="I8" s="233">
        <f>IF(G8="","",IF(G8&gt;=0.6*MAX($G$5:$G$14),"Высокий",IF(G8&gt;=0.3*MAX($G$5:$G$14),"Средний","Низкий")))</f>
        <v/>
      </c>
    </row>
    <row r="9">
      <c r="A9" s="227" t="inlineStr">
        <is>
          <t>F-05</t>
        </is>
      </c>
      <c r="B9" s="228" t="inlineStr">
        <is>
          <t>История заказов</t>
        </is>
      </c>
      <c r="C9" s="229" t="n">
        <v>3500</v>
      </c>
      <c r="D9" s="230" t="n">
        <v>0.5</v>
      </c>
      <c r="E9" s="231" t="n">
        <v>1</v>
      </c>
      <c r="F9" s="230" t="n">
        <v>10</v>
      </c>
      <c r="G9" s="232">
        <f>IFERROR(C9*D9*E9/F9,0)</f>
        <v/>
      </c>
      <c r="H9" s="230">
        <f>IF(G9="","",RANK(G9,$G$5:$G$14))</f>
        <v/>
      </c>
      <c r="I9" s="233">
        <f>IF(G9="","",IF(G9&gt;=0.6*MAX($G$5:$G$14),"Высокий",IF(G9&gt;=0.3*MAX($G$5:$G$14),"Средний","Низкий")))</f>
        <v/>
      </c>
    </row>
    <row r="10">
      <c r="A10" s="227" t="inlineStr">
        <is>
          <t>F-06</t>
        </is>
      </c>
      <c r="B10" s="228" t="inlineStr">
        <is>
          <t>Мобильная вёрстка</t>
        </is>
      </c>
      <c r="C10" s="229" t="n">
        <v>4500</v>
      </c>
      <c r="D10" s="230" t="n">
        <v>2</v>
      </c>
      <c r="E10" s="231" t="n">
        <v>0.8</v>
      </c>
      <c r="F10" s="230" t="n">
        <v>20</v>
      </c>
      <c r="G10" s="232">
        <f>IFERROR(C10*D10*E10/F10,0)</f>
        <v/>
      </c>
      <c r="H10" s="230">
        <f>IF(G10="","",RANK(G10,$G$5:$G$14))</f>
        <v/>
      </c>
      <c r="I10" s="233">
        <f>IF(G10="","",IF(G10&gt;=0.6*MAX($G$5:$G$14),"Высокий",IF(G10&gt;=0.3*MAX($G$5:$G$14),"Средний","Низкий")))</f>
        <v/>
      </c>
    </row>
    <row r="11">
      <c r="A11" s="227" t="inlineStr">
        <is>
          <t>F-07</t>
        </is>
      </c>
      <c r="B11" s="228" t="inlineStr">
        <is>
          <t>Личный кабинет</t>
        </is>
      </c>
      <c r="C11" s="229" t="n">
        <v>3000</v>
      </c>
      <c r="D11" s="230" t="n">
        <v>1</v>
      </c>
      <c r="E11" s="231" t="n">
        <v>0.5</v>
      </c>
      <c r="F11" s="230" t="n">
        <v>18</v>
      </c>
      <c r="G11" s="232">
        <f>IFERROR(C11*D11*E11/F11,0)</f>
        <v/>
      </c>
      <c r="H11" s="230">
        <f>IF(G11="","",RANK(G11,$G$5:$G$14))</f>
        <v/>
      </c>
      <c r="I11" s="233">
        <f>IF(G11="","",IF(G11&gt;=0.6*MAX($G$5:$G$14),"Высокий",IF(G11&gt;=0.3*MAX($G$5:$G$14),"Средний","Низкий")))</f>
        <v/>
      </c>
    </row>
    <row r="12">
      <c r="A12" s="227" t="inlineStr">
        <is>
          <t>F-08</t>
        </is>
      </c>
      <c r="B12" s="228" t="inlineStr">
        <is>
          <t>Рекомендации товаров</t>
        </is>
      </c>
      <c r="C12" s="229" t="n">
        <v>2000</v>
      </c>
      <c r="D12" s="230" t="n">
        <v>2</v>
      </c>
      <c r="E12" s="231" t="n">
        <v>0.5</v>
      </c>
      <c r="F12" s="230" t="n">
        <v>22</v>
      </c>
      <c r="G12" s="232">
        <f>IFERROR(C12*D12*E12/F12,0)</f>
        <v/>
      </c>
      <c r="H12" s="230">
        <f>IF(G12="","",RANK(G12,$G$5:$G$14))</f>
        <v/>
      </c>
      <c r="I12" s="233">
        <f>IF(G12="","",IF(G12&gt;=0.6*MAX($G$5:$G$14),"Высокий",IF(G12&gt;=0.3*MAX($G$5:$G$14),"Средний","Низкий")))</f>
        <v/>
      </c>
    </row>
    <row r="13">
      <c r="A13" s="227" t="inlineStr">
        <is>
          <t>F-09</t>
        </is>
      </c>
      <c r="B13" s="228" t="inlineStr">
        <is>
          <t>Экспорт отчётов</t>
        </is>
      </c>
      <c r="C13" s="229" t="n">
        <v>800</v>
      </c>
      <c r="D13" s="230" t="n">
        <v>0.5</v>
      </c>
      <c r="E13" s="231" t="n">
        <v>0.8</v>
      </c>
      <c r="F13" s="230" t="n">
        <v>8</v>
      </c>
      <c r="G13" s="232">
        <f>IFERROR(C13*D13*E13/F13,0)</f>
        <v/>
      </c>
      <c r="H13" s="230">
        <f>IF(G13="","",RANK(G13,$G$5:$G$14))</f>
        <v/>
      </c>
      <c r="I13" s="233">
        <f>IF(G13="","",IF(G13&gt;=0.6*MAX($G$5:$G$14),"Высокий",IF(G13&gt;=0.3*MAX($G$5:$G$14),"Средний","Низкий")))</f>
        <v/>
      </c>
    </row>
    <row r="14">
      <c r="A14" s="227" t="inlineStr">
        <is>
          <t>F-10</t>
        </is>
      </c>
      <c r="B14" s="228" t="inlineStr">
        <is>
          <t>Мультиязычность</t>
        </is>
      </c>
      <c r="C14" s="229" t="n">
        <v>1500</v>
      </c>
      <c r="D14" s="230" t="n">
        <v>1</v>
      </c>
      <c r="E14" s="231" t="n">
        <v>0.5</v>
      </c>
      <c r="F14" s="230" t="n">
        <v>30</v>
      </c>
      <c r="G14" s="232">
        <f>IFERROR(C14*D14*E14/F14,0)</f>
        <v/>
      </c>
      <c r="H14" s="230">
        <f>IF(G14="","",RANK(G14,$G$5:$G$14))</f>
        <v/>
      </c>
      <c r="I14" s="233">
        <f>IF(G14="","",IF(G14&gt;=0.6*MAX($G$5:$G$14),"Высокий",IF(G14&gt;=0.3*MAX($G$5:$G$14),"Средний","Низкий")))</f>
        <v/>
      </c>
    </row>
    <row r="16">
      <c r="A16" s="222" t="inlineStr">
        <is>
          <t>Шкалы оценки</t>
        </is>
      </c>
    </row>
    <row r="17">
      <c r="A17" s="234" t="inlineStr">
        <is>
          <t>Impact (влияние на пользователя):</t>
        </is>
      </c>
      <c r="B17" s="235" t="inlineStr">
        <is>
          <t>3 — массивное · 2 — высокое · 1 — среднее · 0.5 — низкое · 0.25 — минимальное</t>
        </is>
      </c>
    </row>
    <row r="18">
      <c r="A18" s="234" t="inlineStr">
        <is>
          <t>Confidence (уверенность в оценке):</t>
        </is>
      </c>
      <c r="B18" s="235" t="inlineStr">
        <is>
          <t>100% — высокая · 80% — средняя · 50% — низкая</t>
        </is>
      </c>
    </row>
    <row r="19">
      <c r="A19" s="234" t="inlineStr">
        <is>
          <t>Reach:</t>
        </is>
      </c>
      <c r="B19" s="235" t="inlineStr">
        <is>
          <t>сколько пользователей затронет фича за квартал</t>
        </is>
      </c>
    </row>
    <row r="20">
      <c r="A20" s="234" t="inlineStr">
        <is>
          <t>Effort:</t>
        </is>
      </c>
      <c r="B20" s="235" t="inlineStr">
        <is>
          <t>суммарные трудозатраты команды, человеко-дни</t>
        </is>
      </c>
    </row>
    <row r="21">
      <c r="A21" s="234" t="inlineStr">
        <is>
          <t>Приоритет:</t>
        </is>
      </c>
      <c r="B21" s="235" t="inlineStr">
        <is>
          <t>Высокий ≥ 60% макс. балла · Средний ≥ 30% · иначе Низкий</t>
        </is>
      </c>
    </row>
  </sheetData>
  <conditionalFormatting sqref="G5:G14">
    <cfRule type="colorScale" priority="4">
      <colorScale>
        <cfvo type="min"/>
        <cfvo type="percentile" val="50"/>
        <cfvo type="max"/>
        <color rgb="FFF8696B"/>
        <color rgb="FFFFEB84"/>
        <color rgb="FF63BE7B"/>
      </colorScale>
    </cfRule>
  </conditionalFormatting>
  <conditionalFormatting sqref="I5:I14">
    <cfRule type="cellIs" priority="1" operator="equal" dxfId="9">
      <formula>"Высокий"</formula>
    </cfRule>
    <cfRule type="cellIs" priority="2" operator="equal" dxfId="11">
      <formula>"Средний"</formula>
    </cfRule>
    <cfRule type="cellIs" priority="3" operator="equal" dxfId="12">
      <formula>"Низкий"</formula>
    </cfRule>
  </conditionalFormatting>
  <dataValidations count="2">
    <dataValidation sqref="D5:D14" showDropDown="0" showInputMessage="0" showErrorMessage="0" allowBlank="1" type="list">
      <formula1>"3,2,1,0.5,0.25"</formula1>
    </dataValidation>
    <dataValidation sqref="E5:E14" showDropDown="0" showInputMessage="0" showErrorMessage="0" allowBlank="1" type="list">
      <formula1>"1,0.8,0.5"</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30"/>
  <sheetViews>
    <sheetView showGridLines="0" tabSelected="1" workbookViewId="0">
      <pane ySplit="4" topLeftCell="A5" activePane="bottomLeft" state="frozen"/>
      <selection pane="bottomLeft" activeCell="J20" sqref="J20"/>
    </sheetView>
  </sheetViews>
  <sheetFormatPr baseColWidth="8" defaultRowHeight="14.4"/>
  <cols>
    <col width="10" customWidth="1" min="1" max="1"/>
    <col width="32" customWidth="1" min="2" max="2"/>
    <col width="12" customWidth="1" min="3" max="3"/>
    <col width="14" customWidth="1" min="4" max="4"/>
    <col width="46" customWidth="1" min="5" max="5"/>
  </cols>
  <sheetData>
    <row r="1" ht="17.4" customHeight="1">
      <c r="A1" s="213" t="inlineStr">
        <is>
          <t>Приоритизация требований по MoSCoW</t>
        </is>
      </c>
    </row>
    <row r="2">
      <c r="A2" s="225" t="inlineStr">
        <is>
          <t>Must / Should / Could / Won't — что обязательно, желательно, возможно и что сознательно откладываем.</t>
        </is>
      </c>
    </row>
    <row r="4">
      <c r="A4" s="242" t="inlineStr">
        <is>
          <t>ID</t>
        </is>
      </c>
      <c r="B4" s="242" t="inlineStr">
        <is>
          <t>Фича / требование</t>
        </is>
      </c>
      <c r="C4" s="242" t="inlineStr">
        <is>
          <t>Категория</t>
        </is>
      </c>
      <c r="D4" s="242" t="inlineStr">
        <is>
          <t>Приоритет</t>
        </is>
      </c>
      <c r="E4" s="242" t="inlineStr">
        <is>
          <t>Обоснование</t>
        </is>
      </c>
    </row>
    <row r="5">
      <c r="A5" s="243" t="inlineStr">
        <is>
          <t>MS-01</t>
        </is>
      </c>
      <c r="B5" s="244" t="inlineStr">
        <is>
          <t>Оформление заказа (MVP)</t>
        </is>
      </c>
      <c r="C5" s="245" t="inlineStr">
        <is>
          <t>Must</t>
        </is>
      </c>
      <c r="D5" s="246">
        <f>IF(C5="Must","Обязательно",IF(C5="Should","Желательно",IF(C5="Could","Возможно",IF(C5="Won't","Не в этот раз",""))))</f>
        <v/>
      </c>
      <c r="E5" s="247" t="inlineStr">
        <is>
          <t>Без этого запуск подписки невозможен</t>
        </is>
      </c>
    </row>
    <row r="6">
      <c r="A6" s="243" t="inlineStr">
        <is>
          <t>MS-02</t>
        </is>
      </c>
      <c r="B6" s="244" t="inlineStr">
        <is>
          <t>Оплата картой</t>
        </is>
      </c>
      <c r="C6" s="245" t="inlineStr">
        <is>
          <t>Must</t>
        </is>
      </c>
      <c r="D6" s="246">
        <f>IF(C6="Must","Обязательно",IF(C6="Should","Желательно",IF(C6="Could","Возможно",IF(C6="Won't","Не в этот раз",""))))</f>
        <v/>
      </c>
      <c r="E6" s="247" t="inlineStr">
        <is>
          <t>Ключевой сценарий монетизации</t>
        </is>
      </c>
    </row>
    <row r="7">
      <c r="A7" s="243" t="inlineStr">
        <is>
          <t>MS-03</t>
        </is>
      </c>
      <c r="B7" s="244" t="inlineStr">
        <is>
          <t>Каталог товаров и цены</t>
        </is>
      </c>
      <c r="C7" s="245" t="inlineStr">
        <is>
          <t>Must</t>
        </is>
      </c>
      <c r="D7" s="246">
        <f>IF(C7="Must","Обязательно",IF(C7="Should","Желательно",IF(C7="Could","Возможно",IF(C7="Won't","Не в этот раз",""))))</f>
        <v/>
      </c>
      <c r="E7" s="247" t="inlineStr">
        <is>
          <t>Данные для оформления заказа</t>
        </is>
      </c>
    </row>
    <row r="8">
      <c r="A8" s="243" t="inlineStr">
        <is>
          <t>MS-04</t>
        </is>
      </c>
      <c r="B8" s="244" t="inlineStr">
        <is>
          <t>Личный кабинет (базовый)</t>
        </is>
      </c>
      <c r="C8" s="245" t="inlineStr">
        <is>
          <t>Must</t>
        </is>
      </c>
      <c r="D8" s="246">
        <f>IF(C8="Must","Обязательно",IF(C8="Should","Желательно",IF(C8="Could","Возможно",IF(C8="Won't","Не в этот раз",""))))</f>
        <v/>
      </c>
      <c r="E8" s="247" t="inlineStr">
        <is>
          <t>Управление подпиской</t>
        </is>
      </c>
    </row>
    <row r="9" ht="27.6" customHeight="1">
      <c r="A9" s="243" t="inlineStr">
        <is>
          <t>MS-05</t>
        </is>
      </c>
      <c r="B9" s="244" t="inlineStr">
        <is>
          <t>Промокоды и скидки</t>
        </is>
      </c>
      <c r="C9" s="245" t="inlineStr">
        <is>
          <t>Should</t>
        </is>
      </c>
      <c r="D9" s="246">
        <f>IF(C9="Must","Обязательно",IF(C9="Should","Желательно",IF(C9="Could","Возможно",IF(C9="Won't","Не в этот раз",""))))</f>
        <v/>
      </c>
      <c r="E9" s="247" t="inlineStr">
        <is>
          <t>Повышает конверсию, но релиз возможен без них</t>
        </is>
      </c>
    </row>
    <row r="10">
      <c r="A10" s="243" t="inlineStr">
        <is>
          <t>MS-06</t>
        </is>
      </c>
      <c r="B10" s="244" t="inlineStr">
        <is>
          <t>Уведомления (e-mail/push)</t>
        </is>
      </c>
      <c r="C10" s="245" t="inlineStr">
        <is>
          <t>Should</t>
        </is>
      </c>
      <c r="D10" s="246">
        <f>IF(C10="Must","Обязательно",IF(C10="Should","Желательно",IF(C10="Could","Возможно",IF(C10="Won't","Не в этот раз",""))))</f>
        <v/>
      </c>
      <c r="E10" s="247" t="inlineStr">
        <is>
          <t>Удержание пользователей</t>
        </is>
      </c>
    </row>
    <row r="11">
      <c r="A11" s="243" t="inlineStr">
        <is>
          <t>MS-07</t>
        </is>
      </c>
      <c r="B11" s="244" t="inlineStr">
        <is>
          <t>История заказов</t>
        </is>
      </c>
      <c r="C11" s="245" t="inlineStr">
        <is>
          <t>Should</t>
        </is>
      </c>
      <c r="D11" s="246">
        <f>IF(C11="Must","Обязательно",IF(C11="Should","Желательно",IF(C11="Could","Возможно",IF(C11="Won't","Не в этот раз",""))))</f>
        <v/>
      </c>
      <c r="E11" s="247" t="inlineStr">
        <is>
          <t>Ожидаемо пользователями</t>
        </is>
      </c>
    </row>
    <row r="12">
      <c r="A12" s="243" t="inlineStr">
        <is>
          <t>MS-08</t>
        </is>
      </c>
      <c r="B12" s="244" t="inlineStr">
        <is>
          <t>Рекомендации товаров</t>
        </is>
      </c>
      <c r="C12" s="245" t="inlineStr">
        <is>
          <t>Could</t>
        </is>
      </c>
      <c r="D12" s="246">
        <f>IF(C12="Must","Обязательно",IF(C12="Should","Желательно",IF(C12="Could","Возможно",IF(C12="Won't","Не в этот раз",""))))</f>
        <v/>
      </c>
      <c r="E12" s="247" t="inlineStr">
        <is>
          <t>Если останется время</t>
        </is>
      </c>
    </row>
    <row r="13">
      <c r="A13" s="243" t="inlineStr">
        <is>
          <t>MS-09</t>
        </is>
      </c>
      <c r="B13" s="244" t="inlineStr">
        <is>
          <t>Мультиязычность</t>
        </is>
      </c>
      <c r="C13" s="245" t="inlineStr">
        <is>
          <t>Could</t>
        </is>
      </c>
      <c r="D13" s="246">
        <f>IF(C13="Must","Обязательно",IF(C13="Should","Желательно",IF(C13="Could","Возможно",IF(C13="Won't","Не в этот раз",""))))</f>
        <v/>
      </c>
      <c r="E13" s="247" t="inlineStr">
        <is>
          <t>Для будущих рынков</t>
        </is>
      </c>
    </row>
    <row r="14">
      <c r="A14" s="243" t="inlineStr">
        <is>
          <t>MS-10</t>
        </is>
      </c>
      <c r="B14" s="244" t="inlineStr">
        <is>
          <t>Экспорт отчётов</t>
        </is>
      </c>
      <c r="C14" s="245" t="inlineStr">
        <is>
          <t>Could</t>
        </is>
      </c>
      <c r="D14" s="246">
        <f>IF(C14="Must","Обязательно",IF(C14="Should","Желательно",IF(C14="Could","Возможно",IF(C14="Won't","Не в этот раз",""))))</f>
        <v/>
      </c>
      <c r="E14" s="247" t="inlineStr">
        <is>
          <t>Удобно, но не критично</t>
        </is>
      </c>
    </row>
    <row r="15" ht="27.6" customHeight="1">
      <c r="A15" s="243" t="inlineStr">
        <is>
          <t>MS-11</t>
        </is>
      </c>
      <c r="B15" s="244" t="inlineStr">
        <is>
          <t>Программа лояльности / бонусы</t>
        </is>
      </c>
      <c r="C15" s="245" t="inlineStr">
        <is>
          <t>Won't</t>
        </is>
      </c>
      <c r="D15" s="246">
        <f>IF(C15="Must","Обязательно",IF(C15="Should","Желательно",IF(C15="Could","Возможно",IF(C15="Won't","Не в этот раз",""))))</f>
        <v/>
      </c>
      <c r="E15" s="247" t="inlineStr">
        <is>
          <t>Отдельная инициатива на следующий квартал</t>
        </is>
      </c>
    </row>
    <row r="16">
      <c r="A16" s="243" t="inlineStr">
        <is>
          <t>MS-12</t>
        </is>
      </c>
      <c r="B16" s="244" t="inlineStr">
        <is>
          <t>Офлайн-режим приложения</t>
        </is>
      </c>
      <c r="C16" s="245" t="inlineStr">
        <is>
          <t>Won't</t>
        </is>
      </c>
      <c r="D16" s="246">
        <f>IF(C16="Must","Обязательно",IF(C16="Should","Желательно",IF(C16="Could","Возможно",IF(C16="Won't","Не в этот раз",""))))</f>
        <v/>
      </c>
      <c r="E16" s="247" t="inlineStr">
        <is>
          <t>Вне scope текущего релиза</t>
        </is>
      </c>
    </row>
    <row r="18">
      <c r="A18" s="222" t="inlineStr">
        <is>
          <t>Сводка по категориям</t>
        </is>
      </c>
    </row>
    <row r="19">
      <c r="A19" s="248" t="inlineStr">
        <is>
          <t>Категория</t>
        </is>
      </c>
      <c r="B19" s="248" t="inlineStr">
        <is>
          <t>Кол-во</t>
        </is>
      </c>
    </row>
    <row r="20">
      <c r="A20" s="249" t="inlineStr">
        <is>
          <t>Must</t>
        </is>
      </c>
      <c r="B20" s="246">
        <f>COUNTIF($C$5:$C$16,"Must")</f>
        <v/>
      </c>
    </row>
    <row r="21">
      <c r="A21" s="250" t="inlineStr">
        <is>
          <t>Should</t>
        </is>
      </c>
      <c r="B21" s="246">
        <f>COUNTIF($C$5:$C$16,"Should")</f>
        <v/>
      </c>
    </row>
    <row r="22">
      <c r="A22" s="251" t="inlineStr">
        <is>
          <t>Could</t>
        </is>
      </c>
      <c r="B22" s="246">
        <f>COUNTIF($C$5:$C$16,"Could")</f>
        <v/>
      </c>
    </row>
    <row r="23">
      <c r="A23" s="252" t="inlineStr">
        <is>
          <t>Won't</t>
        </is>
      </c>
      <c r="B23" s="246">
        <f>COUNTIF($C$5:$C$16,"Won't")</f>
        <v/>
      </c>
    </row>
    <row r="25">
      <c r="A25" s="222" t="inlineStr">
        <is>
          <t>Методология MoSCoW</t>
        </is>
      </c>
    </row>
    <row r="26">
      <c r="A26" s="234" t="inlineStr">
        <is>
          <t>Must have — обязательно:</t>
        </is>
      </c>
      <c r="B26" s="235" t="inlineStr">
        <is>
          <t>критично для релиза, без этого продукт не запускается</t>
        </is>
      </c>
    </row>
    <row r="27">
      <c r="A27" s="234" t="inlineStr">
        <is>
          <t>Should have — желательно:</t>
        </is>
      </c>
      <c r="B27" s="235" t="inlineStr">
        <is>
          <t>важно и болезненно без него, но релиз технически возможен</t>
        </is>
      </c>
    </row>
    <row r="28">
      <c r="A28" s="234" t="inlineStr">
        <is>
          <t>Could have — возможно:</t>
        </is>
      </c>
      <c r="B28" s="235" t="inlineStr">
        <is>
          <t>желательно, реализуем при наличии времени и ресурсов</t>
        </is>
      </c>
    </row>
    <row r="29">
      <c r="A29" s="234" t="inlineStr">
        <is>
          <t>Won't have — не в этот раз:</t>
        </is>
      </c>
      <c r="B29" s="235" t="inlineStr">
        <is>
          <t>сознательно отложено, вне scope текущего релиза</t>
        </is>
      </c>
    </row>
    <row r="30">
      <c r="A30" s="234" t="inlineStr">
        <is>
          <t>Правило баланса:</t>
        </is>
      </c>
      <c r="B30" s="235" t="inlineStr">
        <is>
          <t>доля Must ≤ ~60% ёмкости спринта — иначе не остаётся буфера на риски</t>
        </is>
      </c>
    </row>
  </sheetData>
  <conditionalFormatting sqref="C5:C16">
    <cfRule type="cellIs" priority="1" operator="equal" dxfId="26">
      <formula>"Must"</formula>
    </cfRule>
    <cfRule type="cellIs" priority="2" operator="equal" dxfId="25">
      <formula>"Should"</formula>
    </cfRule>
    <cfRule type="cellIs" priority="3" operator="equal" dxfId="24">
      <formula>"Could"</formula>
    </cfRule>
    <cfRule type="cellIs" priority="4" operator="equal" dxfId="23">
      <formula>"Won't"</formula>
    </cfRule>
  </conditionalFormatting>
  <dataValidations count="1">
    <dataValidation sqref="C5:C16" showDropDown="0" showInputMessage="0" showErrorMessage="0" allowBlank="1" type="list">
      <formula1>"Must,Should,Could,Won't"</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8"/>
  <sheetViews>
    <sheetView showGridLines="0" workbookViewId="0">
      <pane ySplit="4" topLeftCell="A17"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activeCell="J18" sqref="J18"/>
      <selection pane="bottomLeft" activeCell="J18" sqref="J18"/>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 width="28" customWidth="1" min="11" max="11"/>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c r="K4" s="226" t="inlineStr">
        <is>
          <t>Внешняя
зависимость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c r="K5" s="236">
        <f>IF(COUNTIF(Зависимости!$D$5:$D$100,A5)=0,"","◆ "&amp;IFERROR(VLOOKUP(A5,Зависимости!$D$5:$I$100,2,FALSE),"")&amp;" · "&amp;IFERROR(VLOOKUP(A5,Зависимости!$D$5:$I$100,6,FALSE),""))</f>
        <v/>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c r="K6" s="236">
        <f>IF(COUNTIF(Зависимости!$D$5:$D$100,A6)=0,"","◆ "&amp;IFERROR(VLOOKUP(A6,Зависимости!$D$5:$I$100,2,FALSE),"")&amp;" · "&amp;IFERROR(VLOOKUP(A6,Зависимости!$D$5:$I$100,6,FALSE),""))</f>
        <v/>
      </c>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c r="K7" s="236">
        <f>IF(COUNTIF(Зависимости!$D$5:$D$100,A7)=0,"","◆ "&amp;IFERROR(VLOOKUP(A7,Зависимости!$D$5:$I$100,2,FALSE),"")&amp;" · "&amp;IFERROR(VLOOKUP(A7,Зависимости!$D$5:$I$100,6,FALSE),""))</f>
        <v/>
      </c>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c r="K8" s="236">
        <f>IF(COUNTIF(Зависимости!$D$5:$D$100,A8)=0,"","◆ "&amp;IFERROR(VLOOKUP(A8,Зависимости!$D$5:$I$100,2,FALSE),"")&amp;" · "&amp;IFERROR(VLOOKUP(A8,Зависимости!$D$5:$I$100,6,FALSE),""))</f>
        <v/>
      </c>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c r="K9" s="236">
        <f>IF(COUNTIF(Зависимости!$D$5:$D$100,A9)=0,"","◆ "&amp;IFERROR(VLOOKUP(A9,Зависимости!$D$5:$I$100,2,FALSE),"")&amp;" · "&amp;IFERROR(VLOOKUP(A9,Зависимости!$D$5:$I$100,6,FALSE),""))</f>
        <v/>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c r="K10" s="236">
        <f>IF(COUNTIF(Зависимости!$D$5:$D$100,A10)=0,"","◆ "&amp;IFERROR(VLOOKUP(A10,Зависимости!$D$5:$I$100,2,FALSE),"")&amp;" · "&amp;IFERROR(VLOOKUP(A10,Зависимости!$D$5:$I$100,6,FALSE),""))</f>
        <v/>
      </c>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c r="K11" s="236">
        <f>IF(COUNTIF(Зависимости!$D$5:$D$100,A11)=0,"","◆ "&amp;IFERROR(VLOOKUP(A11,Зависимости!$D$5:$I$100,2,FALSE),"")&amp;" · "&amp;IFERROR(VLOOKUP(A11,Зависимости!$D$5:$I$100,6,FALSE),""))</f>
        <v/>
      </c>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c r="K12" s="236">
        <f>IF(COUNTIF(Зависимости!$D$5:$D$100,A12)=0,"","◆ "&amp;IFERROR(VLOOKUP(A12,Зависимости!$D$5:$I$100,2,FALSE),"")&amp;" · "&amp;IFERROR(VLOOKUP(A12,Зависимости!$D$5:$I$100,6,FALSE),""))</f>
        <v/>
      </c>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c r="K13" s="236">
        <f>IF(COUNTIF(Зависимости!$D$5:$D$100,A13)=0,"","◆ "&amp;IFERROR(VLOOKUP(A13,Зависимости!$D$5:$I$100,2,FALSE),"")&amp;" · "&amp;IFERROR(VLOOKUP(A13,Зависимости!$D$5:$I$100,6,FALSE),""))</f>
        <v/>
      </c>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c r="K14" s="236">
        <f>IF(COUNTIF(Зависимости!$D$5:$D$100,A14)=0,"","◆ "&amp;IFERROR(VLOOKUP(A14,Зависимости!$D$5:$I$100,2,FALSE),"")&amp;" · "&amp;IFERROR(VLOOKUP(A14,Зависимости!$D$5:$I$100,6,FALSE),""))</f>
        <v/>
      </c>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c r="K15" s="236">
        <f>IF(COUNTIF(Зависимости!$D$5:$D$100,A15)=0,"","◆ "&amp;IFERROR(VLOOKUP(A15,Зависимости!$D$5:$I$100,2,FALSE),"")&amp;" · "&amp;IFERROR(VLOOKUP(A15,Зависимости!$D$5:$I$100,6,FALSE),""))</f>
        <v/>
      </c>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c r="K16" s="236">
        <f>IF(COUNTIF(Зависимости!$D$5:$D$100,A16)=0,"","◆ "&amp;IFERROR(VLOOKUP(A16,Зависимости!$D$5:$I$100,2,FALSE),"")&amp;" · "&amp;IFERROR(VLOOKUP(A16,Зависимости!$D$5:$I$100,6,FALSE),""))</f>
        <v/>
      </c>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c r="K17" s="236">
        <f>IF(COUNTIF(Зависимости!$D$5:$D$100,A17)=0,"","◆ "&amp;IFERROR(VLOOKUP(A17,Зависимости!$D$5:$I$100,2,FALSE),"")&amp;" · "&amp;IFERROR(VLOOKUP(A17,Зависимости!$D$5:$I$100,6,FALSE),""))</f>
        <v/>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c r="K18" s="236">
        <f>IF(COUNTIF(Зависимости!$D$5:$D$100,A18)=0,"","◆ "&amp;IFERROR(VLOOKUP(A18,Зависимости!$D$5:$I$100,2,FALSE),"")&amp;" · "&amp;IFERROR(VLOOKUP(A18,Зависимости!$D$5:$I$100,6,FALSE),""))</f>
        <v/>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c r="K19" s="236">
        <f>IF(COUNTIF(Зависимости!$D$5:$D$100,A19)=0,"","◆ "&amp;IFERROR(VLOOKUP(A19,Зависимости!$D$5:$I$100,2,FALSE),"")&amp;" · "&amp;IFERROR(VLOOKUP(A19,Зависимости!$D$5:$I$100,6,FALSE),""))</f>
        <v/>
      </c>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c r="K20" s="236">
        <f>IF(COUNTIF(Зависимости!$D$5:$D$100,A20)=0,"","◆ "&amp;IFERROR(VLOOKUP(A20,Зависимости!$D$5:$I$100,2,FALSE),"")&amp;" · "&amp;IFERROR(VLOOKUP(A20,Зависимости!$D$5:$I$100,6,FALSE),""))</f>
        <v/>
      </c>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c r="K21" s="236">
        <f>IF(COUNTIF(Зависимости!$D$5:$D$100,A21)=0,"","◆ "&amp;IFERROR(VLOOKUP(A21,Зависимости!$D$5:$I$100,2,FALSE),"")&amp;" · "&amp;IFERROR(VLOOKUP(A21,Зависимости!$D$5:$I$100,6,FALSE),""))</f>
        <v/>
      </c>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c r="K22" s="236">
        <f>IF(COUNTIF(Зависимости!$D$5:$D$100,A22)=0,"","◆ "&amp;IFERROR(VLOOKUP(A22,Зависимости!$D$5:$I$100,2,FALSE),"")&amp;" · "&amp;IFERROR(VLOOKUP(A22,Зависимости!$D$5:$I$100,6,FALSE),""))</f>
        <v/>
      </c>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c r="K23" s="236">
        <f>IF(COUNTIF(Зависимости!$D$5:$D$100,A23)=0,"","◆ "&amp;IFERROR(VLOOKUP(A23,Зависимости!$D$5:$I$100,2,FALSE),"")&amp;" · "&amp;IFERROR(VLOOKUP(A23,Зависимости!$D$5:$I$100,6,FALSE),""))</f>
        <v/>
      </c>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c r="K24" s="236">
        <f>IF(COUNTIF(Зависимости!$D$5:$D$100,A24)=0,"","◆ "&amp;IFERROR(VLOOKUP(A24,Зависимости!$D$5:$I$100,2,FALSE),"")&amp;" · "&amp;IFERROR(VLOOKUP(A24,Зависимости!$D$5:$I$100,6,FALSE),""))</f>
        <v/>
      </c>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20"/>
  <sheetViews>
    <sheetView showGridLines="0" workbookViewId="0">
      <pane ySplit="4" topLeftCell="A5" activePane="bottomLeft" state="frozen"/>
      <selection pane="bottomLeft" activeCell="A1" sqref="A1"/>
    </sheetView>
  </sheetViews>
  <sheetFormatPr baseColWidth="8" defaultRowHeight="14.4"/>
  <cols>
    <col width="7" customWidth="1" min="1" max="1"/>
    <col width="26" customWidth="1" min="2" max="2"/>
    <col width="9" customWidth="1" min="3" max="3"/>
    <col width="10" customWidth="1" min="4" max="4"/>
    <col width="22" customWidth="1" min="5" max="5"/>
    <col width="15" customWidth="1" min="6" max="6"/>
    <col width="30" customWidth="1" min="7" max="7"/>
    <col width="8" customWidth="1" min="8" max="8"/>
    <col width="14" customWidth="1" min="9" max="9"/>
    <col width="18" customWidth="1" min="10" max="10"/>
    <col width="8" customWidth="1" min="11" max="11"/>
  </cols>
  <sheetData>
    <row r="1" ht="17.4" customHeight="1">
      <c r="A1" s="213" t="inlineStr">
        <is>
          <t>Зависимости от других стримов</t>
        </is>
      </c>
    </row>
    <row r="2">
      <c r="A2" s="225" t="inlineStr">
        <is>
          <t>Межстримовые зависимости задач, историй и фич. Направление, статус (RAG) и риск.</t>
        </is>
      </c>
    </row>
    <row r="4" ht="27.6" customHeight="1">
      <c r="A4" s="226" t="inlineStr">
        <is>
          <t>ID</t>
        </is>
      </c>
      <c r="B4" s="226" t="inlineStr">
        <is>
          <t>Элемент</t>
        </is>
      </c>
      <c r="C4" s="226" t="inlineStr">
        <is>
          <t>Тип</t>
        </is>
      </c>
      <c r="D4" s="226" t="inlineStr">
        <is>
          <t>Задача
(Гант)</t>
        </is>
      </c>
      <c r="E4" s="226" t="inlineStr">
        <is>
          <t>Внешний стрим</t>
        </is>
      </c>
      <c r="F4" s="226" t="inlineStr">
        <is>
          <t>Направление</t>
        </is>
      </c>
      <c r="G4" s="226" t="inlineStr">
        <is>
          <t>Что именно</t>
        </is>
      </c>
      <c r="H4" s="226" t="inlineStr">
        <is>
          <t>Спринт</t>
        </is>
      </c>
      <c r="I4" s="226" t="inlineStr">
        <is>
          <t>Статус</t>
        </is>
      </c>
      <c r="J4" s="226" t="inlineStr">
        <is>
          <t>Владелец</t>
        </is>
      </c>
      <c r="K4" s="226" t="inlineStr">
        <is>
          <t>Риск</t>
        </is>
      </c>
    </row>
    <row r="5" ht="27.6" customHeight="1">
      <c r="A5" s="237" t="inlineStr">
        <is>
          <t>D-01</t>
        </is>
      </c>
      <c r="B5" s="238" t="inlineStr">
        <is>
          <t>Интеграция платежей</t>
        </is>
      </c>
      <c r="C5" s="230" t="inlineStr">
        <is>
          <t>Задача</t>
        </is>
      </c>
      <c r="D5" s="230" t="inlineStr">
        <is>
          <t>T-03</t>
        </is>
      </c>
      <c r="E5" s="238" t="inlineStr">
        <is>
          <t>Платёжный шлюз</t>
        </is>
      </c>
      <c r="F5" s="239" t="inlineStr">
        <is>
          <t>Мы зависим</t>
        </is>
      </c>
      <c r="G5" s="238" t="inlineStr">
        <is>
          <t>API оплаты v2 (токенизация карт)</t>
        </is>
      </c>
      <c r="H5" s="230" t="n">
        <v>3</v>
      </c>
      <c r="I5" s="239" t="inlineStr">
        <is>
          <t>Заблокировано</t>
        </is>
      </c>
      <c r="J5" s="239" t="inlineStr">
        <is>
          <t>Команда Payments</t>
        </is>
      </c>
      <c r="K5" s="230" t="inlineStr">
        <is>
          <t>High</t>
        </is>
      </c>
    </row>
    <row r="6">
      <c r="A6" s="237" t="inlineStr">
        <is>
          <t>D-02</t>
        </is>
      </c>
      <c r="B6" s="238" t="inlineStr">
        <is>
          <t>Оплата картой</t>
        </is>
      </c>
      <c r="C6" s="230" t="inlineStr">
        <is>
          <t>Фича</t>
        </is>
      </c>
      <c r="D6" s="230" t="n"/>
      <c r="E6" s="238" t="inlineStr">
        <is>
          <t>Платёжный шлюз</t>
        </is>
      </c>
      <c r="F6" s="239" t="inlineStr">
        <is>
          <t>Мы зависим</t>
        </is>
      </c>
      <c r="G6" s="238" t="inlineStr">
        <is>
          <t>Сертификация PCI DSS</t>
        </is>
      </c>
      <c r="H6" s="230" t="n">
        <v>4</v>
      </c>
      <c r="I6" s="239" t="inlineStr">
        <is>
          <t>Ожидается</t>
        </is>
      </c>
      <c r="J6" s="239" t="inlineStr">
        <is>
          <t>Security / Payments</t>
        </is>
      </c>
      <c r="K6" s="230" t="inlineStr">
        <is>
          <t>High</t>
        </is>
      </c>
    </row>
    <row r="7" ht="27.6" customHeight="1">
      <c r="A7" s="237" t="inlineStr">
        <is>
          <t>D-03</t>
        </is>
      </c>
      <c r="B7" s="238" t="inlineStr">
        <is>
          <t>Уведомления (e-mail/push)</t>
        </is>
      </c>
      <c r="C7" s="230" t="inlineStr">
        <is>
          <t>Задача</t>
        </is>
      </c>
      <c r="D7" s="230" t="inlineStr">
        <is>
          <t>T-08</t>
        </is>
      </c>
      <c r="E7" s="238" t="inlineStr">
        <is>
          <t>Инфраструктура / DevOps</t>
        </is>
      </c>
      <c r="F7" s="239" t="inlineStr">
        <is>
          <t>Мы зависим</t>
        </is>
      </c>
      <c r="G7" s="238" t="inlineStr">
        <is>
          <t>Сервис рассылок (SMTP + Push)</t>
        </is>
      </c>
      <c r="H7" s="230" t="n">
        <v>4</v>
      </c>
      <c r="I7" s="239" t="inlineStr">
        <is>
          <t>Подтверждено</t>
        </is>
      </c>
      <c r="J7" s="239" t="inlineStr">
        <is>
          <t>Platform Team</t>
        </is>
      </c>
      <c r="K7" s="230" t="inlineStr">
        <is>
          <t>Medium</t>
        </is>
      </c>
    </row>
    <row r="8">
      <c r="A8" s="237" t="inlineStr">
        <is>
          <t>D-04</t>
        </is>
      </c>
      <c r="B8" s="238" t="inlineStr">
        <is>
          <t>API промокодов</t>
        </is>
      </c>
      <c r="C8" s="230" t="inlineStr">
        <is>
          <t>Задача</t>
        </is>
      </c>
      <c r="D8" s="230" t="inlineStr">
        <is>
          <t>T-11</t>
        </is>
      </c>
      <c r="E8" s="238" t="inlineStr">
        <is>
          <t>Каталог / Контент</t>
        </is>
      </c>
      <c r="F8" s="239" t="inlineStr">
        <is>
          <t>Мы зависим</t>
        </is>
      </c>
      <c r="G8" s="238" t="inlineStr">
        <is>
          <t>Каталог товаров и цен</t>
        </is>
      </c>
      <c r="H8" s="230" t="n">
        <v>2</v>
      </c>
      <c r="I8" s="239" t="inlineStr">
        <is>
          <t>Получено</t>
        </is>
      </c>
      <c r="J8" s="239" t="inlineStr">
        <is>
          <t>Catalog Team</t>
        </is>
      </c>
      <c r="K8" s="230" t="inlineStr">
        <is>
          <t>Low</t>
        </is>
      </c>
    </row>
    <row r="9" ht="27.6" customHeight="1">
      <c r="A9" s="237" t="inlineStr">
        <is>
          <t>D-05</t>
        </is>
      </c>
      <c r="B9" s="238" t="inlineStr">
        <is>
          <t>Личный кабинет</t>
        </is>
      </c>
      <c r="C9" s="230" t="inlineStr">
        <is>
          <t>История</t>
        </is>
      </c>
      <c r="D9" s="230" t="n"/>
      <c r="E9" s="238" t="inlineStr">
        <is>
          <t>Идентификация (SSO)</t>
        </is>
      </c>
      <c r="F9" s="239" t="inlineStr">
        <is>
          <t>Мы зависим</t>
        </is>
      </c>
      <c r="G9" s="238" t="inlineStr">
        <is>
          <t>Единый вход (OAuth2/OIDC)</t>
        </is>
      </c>
      <c r="H9" s="230" t="n">
        <v>5</v>
      </c>
      <c r="I9" s="239" t="inlineStr">
        <is>
          <t>Ожидается</t>
        </is>
      </c>
      <c r="J9" s="239" t="inlineStr">
        <is>
          <t>IAM Team</t>
        </is>
      </c>
      <c r="K9" s="230" t="inlineStr">
        <is>
          <t>Medium</t>
        </is>
      </c>
    </row>
    <row r="10" ht="27.6" customHeight="1">
      <c r="A10" s="237" t="inlineStr">
        <is>
          <t>D-06</t>
        </is>
      </c>
      <c r="B10" s="238" t="inlineStr">
        <is>
          <t>Экран корзины</t>
        </is>
      </c>
      <c r="C10" s="230" t="inlineStr">
        <is>
          <t>Фича</t>
        </is>
      </c>
      <c r="D10" s="230" t="inlineStr">
        <is>
          <t>T-02</t>
        </is>
      </c>
      <c r="E10" s="238" t="inlineStr">
        <is>
          <t>Мобильное приложение</t>
        </is>
      </c>
      <c r="F10" s="239" t="inlineStr">
        <is>
          <t>Зависят от нас</t>
        </is>
      </c>
      <c r="G10" s="238" t="inlineStr">
        <is>
          <t>REST API заказов для мобильного клиента</t>
        </is>
      </c>
      <c r="H10" s="230" t="n">
        <v>6</v>
      </c>
      <c r="I10" s="239" t="inlineStr">
        <is>
          <t>Подтверждено</t>
        </is>
      </c>
      <c r="J10" s="239" t="inlineStr">
        <is>
          <t>Mobile Team</t>
        </is>
      </c>
      <c r="K10" s="230" t="inlineStr">
        <is>
          <t>Medium</t>
        </is>
      </c>
    </row>
    <row r="11" ht="27.6" customHeight="1">
      <c r="A11" s="237" t="inlineStr">
        <is>
          <t>D-07</t>
        </is>
      </c>
      <c r="B11" s="238" t="inlineStr">
        <is>
          <t>Логирование и метрики</t>
        </is>
      </c>
      <c r="C11" s="230" t="inlineStr">
        <is>
          <t>Задача</t>
        </is>
      </c>
      <c r="D11" s="230" t="inlineStr">
        <is>
          <t>T-12</t>
        </is>
      </c>
      <c r="E11" s="238" t="inlineStr">
        <is>
          <t>Data Platform / Аналитика</t>
        </is>
      </c>
      <c r="F11" s="239" t="inlineStr">
        <is>
          <t>Мы зависим</t>
        </is>
      </c>
      <c r="G11" s="238" t="inlineStr">
        <is>
          <t>Шина событий (Kafka topics)</t>
        </is>
      </c>
      <c r="H11" s="230" t="n">
        <v>4</v>
      </c>
      <c r="I11" s="239" t="inlineStr">
        <is>
          <t>Заблокировано</t>
        </is>
      </c>
      <c r="J11" s="239" t="inlineStr">
        <is>
          <t>Data Platform</t>
        </is>
      </c>
      <c r="K11" s="230" t="inlineStr">
        <is>
          <t>High</t>
        </is>
      </c>
    </row>
    <row r="12" ht="27.6" customHeight="1">
      <c r="A12" s="237" t="inlineStr">
        <is>
          <t>D-08</t>
        </is>
      </c>
      <c r="B12" s="238" t="inlineStr">
        <is>
          <t>Экспорт отчётов</t>
        </is>
      </c>
      <c r="C12" s="230" t="inlineStr">
        <is>
          <t>Фича</t>
        </is>
      </c>
      <c r="D12" s="230" t="n"/>
      <c r="E12" s="238" t="inlineStr">
        <is>
          <t>Data Platform / Аналитика</t>
        </is>
      </c>
      <c r="F12" s="239" t="inlineStr">
        <is>
          <t>Зависят от нас</t>
        </is>
      </c>
      <c r="G12" s="238" t="inlineStr">
        <is>
          <t>Витрина заказов для BI</t>
        </is>
      </c>
      <c r="H12" s="230" t="n">
        <v>7</v>
      </c>
      <c r="I12" s="239" t="inlineStr">
        <is>
          <t>Ожидается</t>
        </is>
      </c>
      <c r="J12" s="239" t="inlineStr">
        <is>
          <t>Analytics</t>
        </is>
      </c>
      <c r="K12" s="230" t="inlineStr">
        <is>
          <t>Low</t>
        </is>
      </c>
    </row>
    <row r="14">
      <c r="A14" s="222" t="inlineStr">
        <is>
          <t>Сводка по статусам</t>
        </is>
      </c>
    </row>
    <row r="15">
      <c r="A15" s="240" t="inlineStr">
        <is>
          <t>Статус</t>
        </is>
      </c>
      <c r="B15" s="240" t="inlineStr">
        <is>
          <t>Кол-во</t>
        </is>
      </c>
    </row>
    <row r="16">
      <c r="A16" s="186" t="inlineStr">
        <is>
          <t>Ожидается</t>
        </is>
      </c>
      <c r="B16" s="186">
        <f>COUNTIF($I$5:$I$12,A16)</f>
        <v/>
      </c>
    </row>
    <row r="17">
      <c r="A17" s="186" t="inlineStr">
        <is>
          <t>Подтверждено</t>
        </is>
      </c>
      <c r="B17" s="186">
        <f>COUNTIF($I$5:$I$12,A17)</f>
        <v/>
      </c>
    </row>
    <row r="18">
      <c r="A18" s="186" t="inlineStr">
        <is>
          <t>Получено</t>
        </is>
      </c>
      <c r="B18" s="186">
        <f>COUNTIF($I$5:$I$12,A18)</f>
        <v/>
      </c>
    </row>
    <row r="19">
      <c r="A19" s="186" t="inlineStr">
        <is>
          <t>Заблокировано</t>
        </is>
      </c>
      <c r="B19" s="186">
        <f>COUNTIF($I$5:$I$12,A19)</f>
        <v/>
      </c>
    </row>
    <row r="20">
      <c r="A20" s="186" t="inlineStr">
        <is>
          <t>Просрочено</t>
        </is>
      </c>
      <c r="B20" s="186">
        <f>COUNTIF($I$5:$I$12,A20)</f>
        <v/>
      </c>
    </row>
  </sheetData>
  <conditionalFormatting sqref="I5:I12">
    <cfRule type="cellIs" priority="1" operator="equal" dxfId="12">
      <formula>"Заблокировано"</formula>
    </cfRule>
    <cfRule type="cellIs" priority="2" operator="equal" dxfId="12">
      <formula>"Просрочено"</formula>
    </cfRule>
    <cfRule type="cellIs" priority="3" operator="equal" dxfId="11">
      <formula>"Ожидается"</formula>
    </cfRule>
    <cfRule type="cellIs" priority="4" operator="equal" dxfId="9">
      <formula>"Получено"</formula>
    </cfRule>
    <cfRule type="cellIs" priority="5" operator="equal" dxfId="9">
      <formula>"Подтверждено"</formula>
    </cfRule>
  </conditionalFormatting>
  <dataValidations count="4">
    <dataValidation sqref="C5:C12" showDropDown="0" showInputMessage="0" showErrorMessage="0" allowBlank="1" type="list">
      <formula1>"История,Задача,Фича,Эпик"</formula1>
    </dataValidation>
    <dataValidation sqref="F5:F12" showDropDown="0" showInputMessage="0" showErrorMessage="0" allowBlank="1" type="list">
      <formula1>"Мы зависим,Зависят от нас"</formula1>
    </dataValidation>
    <dataValidation sqref="I5:I12" showDropDown="0" showInputMessage="0" showErrorMessage="0" allowBlank="1" type="list">
      <formula1>"Ожидается,Подтверждено,Получено,Заблокировано,Просрочено"</formula1>
    </dataValidation>
    <dataValidation sqref="K5:K12" showDropDown="0" showInputMessage="0" showErrorMessage="0" allowBlank="1" type="list">
      <formula1>"High,Medium,Low"</formula1>
    </dataValidation>
  </dataValidation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7"/>
  <sheetViews>
    <sheetView showGridLines="0" workbookViewId="0">
      <pane ySplit="5" topLeftCell="A9"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G53"/>
  <sheetViews>
    <sheetView showGridLines="0"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G29"/>
  <sheetViews>
    <sheetView showGridLines="0" workbookViewId="0">
      <pane ySplit="9" topLeftCell="A10"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I20"/>
  <sheetViews>
    <sheetView showGridLines="0" topLeftCell="A32"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F26"/>
  <sheetViews>
    <sheetView showGridLines="0" workbookViewId="0">
      <pane ySplit="6" topLeftCell="A7" activePane="bottomLeft" state="frozen"/>
      <selection pane="bottomLeft" activeCell="A1" sqref="A1"/>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18"/>
  <sheetViews>
    <sheetView showGridLines="0" workbookViewId="0">
      <pane ySplit="4" topLeftCell="A5" activePane="bottomLeft" state="frozen"/>
      <selection pane="bottomLeft" activeCell="A1" sqref="A1"/>
    </sheetView>
  </sheetViews>
  <sheetFormatPr baseColWidth="8" defaultRowHeight="15"/>
  <cols>
    <col width="8" customWidth="1" min="1" max="1"/>
    <col width="20" customWidth="1" min="2" max="2"/>
    <col width="40" customWidth="1" min="3" max="3"/>
    <col width="66" customWidth="1" min="4" max="4"/>
  </cols>
  <sheetData>
    <row r="1">
      <c r="A1" s="213" t="inlineStr">
        <is>
          <t>FAQ — частые вопросы по приложению</t>
        </is>
      </c>
    </row>
    <row r="2">
      <c r="A2" s="225" t="inlineStr">
        <is>
          <t>Ответы на типичные вопросы о работе с приложением планирования спринтов.</t>
        </is>
      </c>
    </row>
    <row r="4">
      <c r="A4" s="256" t="inlineStr">
        <is>
          <t>ID</t>
        </is>
      </c>
      <c r="B4" s="256" t="inlineStr">
        <is>
          <t>Категория</t>
        </is>
      </c>
      <c r="C4" s="256" t="inlineStr">
        <is>
          <t>Вопрос</t>
        </is>
      </c>
      <c r="D4" s="256" t="inlineStr">
        <is>
          <t>Ответ</t>
        </is>
      </c>
    </row>
    <row r="5" ht="46" customHeight="1">
      <c r="A5" s="257" t="inlineStr">
        <is>
          <t>Q-01</t>
        </is>
      </c>
      <c r="B5" s="258" t="inlineStr">
        <is>
          <t>Начало работы</t>
        </is>
      </c>
      <c r="C5" s="259" t="inlineStr">
        <is>
          <t>С чего начать работу в приложении?</t>
        </is>
      </c>
      <c r="D5" s="260" t="inlineStr">
        <is>
          <t>Заполните «Параметры» (даты старта, число спринтов, focus factor), затем «Команду» и «Бэклог». Дорожная карта, ёмкость, velocity, релизы и метрики считаются автоматически из этих данных.</t>
        </is>
      </c>
    </row>
    <row r="6" ht="46" customHeight="1">
      <c r="A6" s="257" t="inlineStr">
        <is>
          <t>Q-02</t>
        </is>
      </c>
      <c r="B6" s="258" t="inlineStr">
        <is>
          <t>Начало работы</t>
        </is>
      </c>
      <c r="C6" s="259" t="inlineStr">
        <is>
          <t>Нужен ли интернет или сервер?</t>
        </is>
      </c>
      <c r="D6" s="260" t="inlineStr">
        <is>
          <t>Нет. Приложение работает локально в браузере, данные хранятся в localStorage. Если поднят backend (Java + Python), состояние синхронизируется через /api/state.</t>
        </is>
      </c>
    </row>
    <row r="7" ht="46" customHeight="1">
      <c r="A7" s="257" t="inlineStr">
        <is>
          <t>Q-03</t>
        </is>
      </c>
      <c r="B7" s="258" t="inlineStr">
        <is>
          <t>Начало работы</t>
        </is>
      </c>
      <c r="C7" s="259" t="inlineStr">
        <is>
          <t>Как быстро найти нужный раздел или действие?</t>
        </is>
      </c>
      <c r="D7" s="260" t="inlineStr">
        <is>
          <t>Нажмите Ctrl/⌘+K — откроется командная палитра с поиском по всем разделам и действиям.</t>
        </is>
      </c>
    </row>
    <row r="8" ht="46" customHeight="1">
      <c r="A8" s="257" t="inlineStr">
        <is>
          <t>Q-04</t>
        </is>
      </c>
      <c r="B8" s="261" t="inlineStr">
        <is>
          <t>Планирование</t>
        </is>
      </c>
      <c r="C8" s="259" t="inlineStr">
        <is>
          <t>Как рассчитывается ёмкость спринта?</t>
        </is>
      </c>
      <c r="D8" s="260" t="inlineStr">
        <is>
          <t>Из состава «Команды» и её доступности, отсутствий, числа рабочих дней спринта (с учётом «Календаря» праздников) и focus factor из «Параметров».</t>
        </is>
      </c>
    </row>
    <row r="9" ht="46" customHeight="1">
      <c r="A9" s="257" t="inlineStr">
        <is>
          <t>Q-05</t>
        </is>
      </c>
      <c r="B9" s="261" t="inlineStr">
        <is>
          <t>Планирование</t>
        </is>
      </c>
      <c r="C9" s="259" t="inlineStr">
        <is>
          <t>Что такое focus factor?</t>
        </is>
      </c>
      <c r="D9" s="260" t="inlineStr">
        <is>
          <t>Доля рабочего времени, реально уходящая на задачи спринта (обычно 0.7–0.8). Остаток — митинги, поддержка, переключения между задачами.</t>
        </is>
      </c>
    </row>
    <row r="10" ht="46" customHeight="1">
      <c r="A10" s="257" t="inlineStr">
        <is>
          <t>Q-06</t>
        </is>
      </c>
      <c r="B10" s="261" t="inlineStr">
        <is>
          <t>Планирование</t>
        </is>
      </c>
      <c r="C10" s="259" t="inlineStr">
        <is>
          <t>Чем отличаются RICE и MoSCoW?</t>
        </is>
      </c>
      <c r="D10" s="260" t="inlineStr">
        <is>
          <t>RICE даёт числовой балл (Reach × Impact × Confidence / Effort) для ранжирования. MoSCoW распределяет фичи по категориям Must / Should / Could / Won't. Их удобно использовать вместе.</t>
        </is>
      </c>
    </row>
    <row r="11" ht="46" customHeight="1">
      <c r="A11" s="257" t="inlineStr">
        <is>
          <t>Q-07</t>
        </is>
      </c>
      <c r="B11" s="262" t="inlineStr">
        <is>
          <t>Данные и доступ</t>
        </is>
      </c>
      <c r="C11" s="259" t="inlineStr">
        <is>
          <t>Где хранятся мои данные?</t>
        </is>
      </c>
      <c r="D11" s="260" t="inlineStr">
        <is>
          <t>Локально в браузере (localStorage) и, если настроен сервер, в базе PostgreSQL через /api/state. Для резервной копии выгружайте JSON или Excel.</t>
        </is>
      </c>
    </row>
    <row r="12" ht="46" customHeight="1">
      <c r="A12" s="257" t="inlineStr">
        <is>
          <t>Q-08</t>
        </is>
      </c>
      <c r="B12" s="262" t="inlineStr">
        <is>
          <t>Данные и доступ</t>
        </is>
      </c>
      <c r="C12" s="259" t="inlineStr">
        <is>
          <t>Как перенести данные на другой компьютер?</t>
        </is>
      </c>
      <c r="D12" s="260" t="inlineStr">
        <is>
          <t>На текущем компьютере нажмите «JSON» (экспорт), на другом — «Импорт» и выберите файл. Импорт доступен администратору.</t>
        </is>
      </c>
    </row>
    <row r="13" ht="46" customHeight="1">
      <c r="A13" s="257" t="inlineStr">
        <is>
          <t>Q-09</t>
        </is>
      </c>
      <c r="B13" s="262" t="inlineStr">
        <is>
          <t>Данные и доступ</t>
        </is>
      </c>
      <c r="C13" s="259" t="inlineStr">
        <is>
          <t>Что делает кнопка «Сброс»?</t>
        </is>
      </c>
      <c r="D13" s="260" t="inlineStr">
        <is>
          <t>Возвращает данные к исходному демонстрационному набору. Действие необратимо и доступно только администратору — перед сбросом сделайте экспорт JSON.</t>
        </is>
      </c>
    </row>
    <row r="14" ht="46" customHeight="1">
      <c r="A14" s="257" t="inlineStr">
        <is>
          <t>Q-10</t>
        </is>
      </c>
      <c r="B14" s="262" t="inlineStr">
        <is>
          <t>Данные и доступ</t>
        </is>
      </c>
      <c r="C14" s="259" t="inlineStr">
        <is>
          <t>Чем отличаются режимы Просмотр, Редактор и Администратор?</t>
        </is>
      </c>
      <c r="D14" s="260" t="inlineStr">
        <is>
          <t>Просмотр — только чтение. Редактор правит данные, кроме «Параметров», «Сброса» и «Импорта». Администратор — полный доступ, включая коды доступа.</t>
        </is>
      </c>
    </row>
    <row r="15" ht="46" customHeight="1">
      <c r="A15" s="257" t="inlineStr">
        <is>
          <t>Q-11</t>
        </is>
      </c>
      <c r="B15" s="262" t="inlineStr">
        <is>
          <t>Данные и доступ</t>
        </is>
      </c>
      <c r="C15" s="259" t="inlineStr">
        <is>
          <t>Как сменить режим доступа?</t>
        </is>
      </c>
      <c r="D15" s="260" t="inlineStr">
        <is>
          <t>Кнопка режима в шапке. Переход в «Редактор» или «Администратор» — по коду, который задаёт администратор в панели «Коды доступа».</t>
        </is>
      </c>
    </row>
    <row r="16" ht="46" customHeight="1">
      <c r="A16" s="257" t="inlineStr">
        <is>
          <t>Q-12</t>
        </is>
      </c>
      <c r="B16" s="263" t="inlineStr">
        <is>
          <t>Экспорт и интерфейс</t>
        </is>
      </c>
      <c r="C16" s="259" t="inlineStr">
        <is>
          <t>Как выгрузить план в Excel?</t>
        </is>
      </c>
      <c r="D16" s="260" t="inlineStr">
        <is>
          <t>Кнопка «Excel» в шапке или Ctrl/⌘+K → «Экспорт в Excel». Файл включает все разделы, в том числе RICE, MoSCoW и FAQ.</t>
        </is>
      </c>
    </row>
    <row r="17" ht="46" customHeight="1">
      <c r="A17" s="257" t="inlineStr">
        <is>
          <t>Q-13</t>
        </is>
      </c>
      <c r="B17" s="263" t="inlineStr">
        <is>
          <t>Экспорт и интерфейс</t>
        </is>
      </c>
      <c r="C17" s="259" t="inlineStr">
        <is>
          <t>Есть ли описание и презентация приложения?</t>
        </is>
      </c>
      <c r="D17" s="260" t="inlineStr">
        <is>
          <t>Да. К приложению прилагаются документы «Описание…», «Иллюстрированное описание…» (docx) и презентация (pptx).</t>
        </is>
      </c>
    </row>
    <row r="18" ht="46" customHeight="1">
      <c r="A18" s="257" t="inlineStr">
        <is>
          <t>Q-14</t>
        </is>
      </c>
      <c r="B18" s="263" t="inlineStr">
        <is>
          <t>Экспорт и интерфейс</t>
        </is>
      </c>
      <c r="C18" s="259" t="inlineStr">
        <is>
          <t>Как свернуть боковое меню?</t>
        </is>
      </c>
      <c r="D18" s="260" t="inlineStr">
        <is>
          <t>Кнопка-гамбургер (☰) в шапке сворачивает и разворачивает список разделов; на мобильном — открывает выдвижное меню. Состояние запоминается.</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7"/>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44" customWidth="1" min="4" max="4"/>
  </cols>
  <sheetData>
    <row r="1">
      <c r="A1" s="213" t="inlineStr">
        <is>
          <t>Настроение команды по спринтам</t>
        </is>
      </c>
    </row>
    <row r="2">
      <c r="A2" s="225" t="inlineStr">
        <is>
          <t>Оценка климата спринта (1–5) — в приложении показывается трендом.</t>
        </is>
      </c>
    </row>
    <row r="4">
      <c r="A4" s="256" t="inlineStr">
        <is>
          <t>ID</t>
        </is>
      </c>
      <c r="B4" s="256" t="inlineStr">
        <is>
          <t>Спринт</t>
        </is>
      </c>
      <c r="C4" s="256" t="inlineStr">
        <is>
          <t>Настроение (1–5)</t>
        </is>
      </c>
      <c r="D4" s="256" t="inlineStr">
        <is>
          <t>Комментарий</t>
        </is>
      </c>
    </row>
    <row r="5" ht="28" customHeight="1">
      <c r="A5" s="260" t="inlineStr">
        <is>
          <t>MD-01</t>
        </is>
      </c>
      <c r="B5" s="260" t="n">
        <v>1</v>
      </c>
      <c r="C5" s="260" t="n">
        <v>4</v>
      </c>
      <c r="D5" s="260" t="inlineStr">
        <is>
          <t>Хороший старт, понятные цели</t>
        </is>
      </c>
    </row>
    <row r="6" ht="28" customHeight="1">
      <c r="A6" s="260" t="inlineStr">
        <is>
          <t>MD-02</t>
        </is>
      </c>
      <c r="B6" s="260" t="n">
        <v>2</v>
      </c>
      <c r="C6" s="260" t="n">
        <v>3</v>
      </c>
      <c r="D6" s="260" t="inlineStr">
        <is>
          <t>Много переключений между задачами</t>
        </is>
      </c>
    </row>
    <row r="7" ht="28" customHeight="1">
      <c r="A7" s="260" t="inlineStr">
        <is>
          <t>MD-03</t>
        </is>
      </c>
      <c r="B7" s="260" t="n">
        <v>3</v>
      </c>
      <c r="C7" s="260" t="n">
        <v>4</v>
      </c>
      <c r="D7" s="260" t="inlineStr">
        <is>
          <t>Наладили процесс, меньше блокеров</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16" customWidth="1" min="4" max="4"/>
    <col width="44" customWidth="1" min="5" max="5"/>
  </cols>
  <sheetData>
    <row r="1">
      <c r="A1" s="213" t="inlineStr">
        <is>
          <t>Kudos — благодарности</t>
        </is>
      </c>
    </row>
    <row r="2">
      <c r="A2" s="225" t="inlineStr">
        <is>
          <t>Публичное признание вклада коллег на ретроспективе.</t>
        </is>
      </c>
    </row>
    <row r="4">
      <c r="A4" s="256" t="inlineStr">
        <is>
          <t>ID</t>
        </is>
      </c>
      <c r="B4" s="256" t="inlineStr">
        <is>
          <t>Спринт</t>
        </is>
      </c>
      <c r="C4" s="256" t="inlineStr">
        <is>
          <t>От кого</t>
        </is>
      </c>
      <c r="D4" s="256" t="inlineStr">
        <is>
          <t>Кому</t>
        </is>
      </c>
      <c r="E4" s="256" t="inlineStr">
        <is>
          <t>За что</t>
        </is>
      </c>
    </row>
    <row r="5" ht="28" customHeight="1">
      <c r="A5" s="260" t="inlineStr">
        <is>
          <t>KD-01</t>
        </is>
      </c>
      <c r="B5" s="260" t="n">
        <v>3</v>
      </c>
      <c r="C5" s="260" t="inlineStr">
        <is>
          <t>Команда</t>
        </is>
      </c>
      <c r="D5" s="260" t="inlineStr">
        <is>
          <t>Кузнецов Д.</t>
        </is>
      </c>
      <c r="E5" s="260" t="inlineStr">
        <is>
          <t>Быстро поднял платёжную интеграцию</t>
        </is>
      </c>
    </row>
    <row r="6" ht="28" customHeight="1">
      <c r="A6" s="260" t="inlineStr">
        <is>
          <t>KD-02</t>
        </is>
      </c>
      <c r="B6" s="260" t="n">
        <v>3</v>
      </c>
      <c r="C6" s="260" t="inlineStr">
        <is>
          <t>Петрова М.</t>
        </is>
      </c>
      <c r="D6" s="260" t="inlineStr">
        <is>
          <t>Соколов Р.</t>
        </is>
      </c>
      <c r="E6" s="260" t="inlineStr">
        <is>
          <t>Помог с регрессом в выходной</t>
        </is>
      </c>
    </row>
    <row r="7" ht="28" customHeight="1">
      <c r="A7" s="260" t="inlineStr">
        <is>
          <t>KD-03</t>
        </is>
      </c>
      <c r="B7" s="260" t="n">
        <v>2</v>
      </c>
      <c r="C7" s="260" t="inlineStr">
        <is>
          <t>PO</t>
        </is>
      </c>
      <c r="D7" s="260" t="inlineStr">
        <is>
          <t>Команда</t>
        </is>
      </c>
      <c r="E7" s="260" t="inlineStr">
        <is>
          <t>Отличное демо корзины</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
  <sheetViews>
    <sheetView showGridLines="0" workbookViewId="0">
      <pane ySplit="4" topLeftCell="A5" activePane="bottomLeft" state="frozen"/>
      <selection pane="bottomLeft" activeCell="A1" sqref="A1"/>
    </sheetView>
  </sheetViews>
  <sheetFormatPr baseColWidth="8" defaultRowHeight="15"/>
  <cols>
    <col width="9" customWidth="1" min="1" max="1"/>
    <col width="8" customWidth="1" min="2" max="2"/>
    <col width="30" customWidth="1" min="3" max="3"/>
    <col width="28" customWidth="1" min="4" max="4"/>
    <col width="18" customWidth="1" min="5" max="5"/>
    <col width="22" customWidth="1" min="6" max="6"/>
    <col width="14" customWidth="1" min="7" max="7"/>
  </cols>
  <sheetData>
    <row r="1">
      <c r="A1" s="213" t="inlineStr">
        <is>
          <t>Эксперименты — проверяемые улучшения</t>
        </is>
      </c>
    </row>
    <row r="2">
      <c r="A2" s="225" t="inlineStr">
        <is>
          <t>Гипотеза → действие → метрика → результат.</t>
        </is>
      </c>
    </row>
    <row r="4">
      <c r="A4" s="256" t="inlineStr">
        <is>
          <t>ID</t>
        </is>
      </c>
      <c r="B4" s="256" t="inlineStr">
        <is>
          <t>Спринт</t>
        </is>
      </c>
      <c r="C4" s="256" t="inlineStr">
        <is>
          <t>Гипотеза</t>
        </is>
      </c>
      <c r="D4" s="256" t="inlineStr">
        <is>
          <t>Действие</t>
        </is>
      </c>
      <c r="E4" s="256" t="inlineStr">
        <is>
          <t>Метрика</t>
        </is>
      </c>
      <c r="F4" s="256" t="inlineStr">
        <is>
          <t>Результат</t>
        </is>
      </c>
      <c r="G4" s="256" t="inlineStr">
        <is>
          <t>Статус</t>
        </is>
      </c>
    </row>
    <row r="5" ht="28" customHeight="1">
      <c r="A5" s="260" t="inlineStr">
        <is>
          <t>EX-01</t>
        </is>
      </c>
      <c r="B5" s="260" t="n">
        <v>2</v>
      </c>
      <c r="C5" s="260" t="inlineStr">
        <is>
          <t>Парное ревью ускорит закрытие сложных задач</t>
        </is>
      </c>
      <c r="D5" s="260" t="inlineStr">
        <is>
          <t>Ввести парное ревью для сложных PR</t>
        </is>
      </c>
      <c r="E5" s="260" t="inlineStr">
        <is>
          <t>Cycle time сложных задач</t>
        </is>
      </c>
      <c r="F5" s="260" t="inlineStr">
        <is>
          <t>Cycle time −15%</t>
        </is>
      </c>
      <c r="G5" s="260" t="inlineStr">
        <is>
          <t>Успешно</t>
        </is>
      </c>
    </row>
    <row r="6" ht="28" customHeight="1">
      <c r="A6" s="260" t="inlineStr">
        <is>
          <t>EX-02</t>
        </is>
      </c>
      <c r="B6" s="260" t="n">
        <v>3</v>
      </c>
      <c r="C6" s="260" t="inlineStr">
        <is>
          <t>WIP-лимит снизит переключения и ускорит поток</t>
        </is>
      </c>
      <c r="D6" s="260" t="inlineStr">
        <is>
          <t>Лимит 2 задачи «В работе» на человека</t>
        </is>
      </c>
      <c r="E6" s="260" t="inlineStr">
        <is>
          <t>Число параллельных задач</t>
        </is>
      </c>
      <c r="F6" s="260" t="inlineStr">
        <is>
          <t>В процессе замера</t>
        </is>
      </c>
      <c r="G6" s="260" t="inlineStr">
        <is>
          <t>Идёт</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14" customWidth="1" min="3" max="3"/>
    <col width="14" customWidth="1" min="4" max="4"/>
  </cols>
  <sheetData>
    <row r="1">
      <c r="A1" s="213" t="inlineStr">
        <is>
          <t>Team Radar — самооценка команды</t>
        </is>
      </c>
    </row>
    <row r="2">
      <c r="A2" s="225" t="inlineStr">
        <is>
          <t>Оценка по осям 1–5: текущий и прошлый спринт.</t>
        </is>
      </c>
    </row>
    <row r="4">
      <c r="A4" s="256" t="inlineStr">
        <is>
          <t>ID</t>
        </is>
      </c>
      <c r="B4" s="256" t="inlineStr">
        <is>
          <t>Ось</t>
        </is>
      </c>
      <c r="C4" s="256" t="inlineStr">
        <is>
          <t>Сейчас (1–5)</t>
        </is>
      </c>
      <c r="D4" s="256" t="inlineStr">
        <is>
          <t>Прошлый (1–5)</t>
        </is>
      </c>
    </row>
    <row r="5" ht="28" customHeight="1">
      <c r="A5" s="260" t="inlineStr">
        <is>
          <t>RD-01</t>
        </is>
      </c>
      <c r="B5" s="260" t="inlineStr">
        <is>
          <t>Коммуникация</t>
        </is>
      </c>
      <c r="C5" s="260" t="n">
        <v>4</v>
      </c>
      <c r="D5" s="260" t="n">
        <v>3</v>
      </c>
    </row>
    <row r="6" ht="28" customHeight="1">
      <c r="A6" s="260" t="inlineStr">
        <is>
          <t>RD-02</t>
        </is>
      </c>
      <c r="B6" s="260" t="inlineStr">
        <is>
          <t>Качество</t>
        </is>
      </c>
      <c r="C6" s="260" t="n">
        <v>3</v>
      </c>
      <c r="D6" s="260" t="n">
        <v>3</v>
      </c>
    </row>
    <row r="7" ht="28" customHeight="1">
      <c r="A7" s="260" t="inlineStr">
        <is>
          <t>RD-03</t>
        </is>
      </c>
      <c r="B7" s="260" t="inlineStr">
        <is>
          <t>Процесс</t>
        </is>
      </c>
      <c r="C7" s="260" t="n">
        <v>4</v>
      </c>
      <c r="D7" s="260" t="n">
        <v>2</v>
      </c>
    </row>
    <row r="8" ht="28" customHeight="1">
      <c r="A8" s="260" t="inlineStr">
        <is>
          <t>RD-04</t>
        </is>
      </c>
      <c r="B8" s="260" t="inlineStr">
        <is>
          <t>Инструменты</t>
        </is>
      </c>
      <c r="C8" s="260" t="n">
        <v>4</v>
      </c>
      <c r="D8" s="260" t="n">
        <v>4</v>
      </c>
    </row>
    <row r="9" ht="28" customHeight="1">
      <c r="A9" s="260" t="inlineStr">
        <is>
          <t>RD-05</t>
        </is>
      </c>
      <c r="B9" s="260" t="inlineStr">
        <is>
          <t>Нагрузка</t>
        </is>
      </c>
      <c r="C9" s="260" t="n">
        <v>3</v>
      </c>
      <c r="D9" s="260" t="n">
        <v>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12" customWidth="1" min="3" max="3"/>
    <col width="32" customWidth="1" min="4" max="4"/>
    <col width="16" customWidth="1" min="5" max="5"/>
    <col width="11" customWidth="1" min="6" max="6"/>
    <col width="20" customWidth="1" min="7" max="7"/>
    <col width="16" customWidth="1" min="8" max="8"/>
    <col width="40" customWidth="1" min="9" max="9"/>
  </cols>
  <sheetData>
    <row r="1">
      <c r="A1" s="213" t="inlineStr">
        <is>
          <t>Груминг бэклога (Backlog Refinement)</t>
        </is>
      </c>
    </row>
    <row r="2">
      <c r="A2" s="225" t="inlineStr">
        <is>
          <t>Подготовка элементов бэклога к спринту; задачи берутся из «Бэклога» (колонка «Задача»).</t>
        </is>
      </c>
    </row>
    <row r="4">
      <c r="A4" s="256" t="inlineStr">
        <is>
          <t>ID</t>
        </is>
      </c>
      <c r="B4" s="256" t="inlineStr">
        <is>
          <t>Задача (Бэклог)</t>
        </is>
      </c>
      <c r="C4" s="256" t="inlineStr">
        <is>
          <t>Дата</t>
        </is>
      </c>
      <c r="D4" s="256" t="inlineStr">
        <is>
          <t>Элемент бэклога</t>
        </is>
      </c>
      <c r="E4" s="256" t="inlineStr">
        <is>
          <t>Действие</t>
        </is>
      </c>
      <c r="F4" s="256" t="inlineStr">
        <is>
          <t>Оценка (SP)</t>
        </is>
      </c>
      <c r="G4" s="256" t="inlineStr">
        <is>
          <t>Готовность</t>
        </is>
      </c>
      <c r="H4" s="256" t="inlineStr">
        <is>
          <t>Ответственный</t>
        </is>
      </c>
      <c r="I4" s="256" t="inlineStr">
        <is>
          <t>Комментарий</t>
        </is>
      </c>
    </row>
    <row r="5" ht="30" customHeight="1">
      <c r="A5" s="260" t="inlineStr">
        <is>
          <t>GR-01</t>
        </is>
      </c>
      <c r="B5" s="260" t="inlineStr">
        <is>
          <t>T-01</t>
        </is>
      </c>
      <c r="C5" s="260" t="inlineStr">
        <is>
          <t>2026-08-28</t>
        </is>
      </c>
      <c r="D5" s="260" t="inlineStr">
        <is>
          <t>История: оформление заказа</t>
        </is>
      </c>
      <c r="E5" s="260" t="inlineStr">
        <is>
          <t>Декомпозиция</t>
        </is>
      </c>
      <c r="F5" s="260" t="n">
        <v>8</v>
      </c>
      <c r="G5" s="260" t="inlineStr">
        <is>
          <t>Готово к спринту</t>
        </is>
      </c>
      <c r="H5" s="260" t="inlineStr">
        <is>
          <t>Иванов А.</t>
        </is>
      </c>
      <c r="I5" s="260" t="inlineStr">
        <is>
          <t>Разбита на 3 подзадачи; критерии приёмки уточнены</t>
        </is>
      </c>
    </row>
    <row r="6" ht="30" customHeight="1">
      <c r="A6" s="260" t="inlineStr">
        <is>
          <t>GR-02</t>
        </is>
      </c>
      <c r="B6" s="260" t="inlineStr">
        <is>
          <t>T-03</t>
        </is>
      </c>
      <c r="C6" s="260" t="inlineStr">
        <is>
          <t>2026-08-28</t>
        </is>
      </c>
      <c r="D6" s="260" t="inlineStr">
        <is>
          <t>История: оплата картой</t>
        </is>
      </c>
      <c r="E6" s="260" t="inlineStr">
        <is>
          <t>Оценка</t>
        </is>
      </c>
      <c r="F6" s="260" t="n">
        <v>5</v>
      </c>
      <c r="G6" s="260" t="inlineStr">
        <is>
          <t>Готово к спринту</t>
        </is>
      </c>
      <c r="H6" s="260" t="inlineStr">
        <is>
          <t>Кузнецов Д.</t>
        </is>
      </c>
      <c r="I6" s="260" t="inlineStr">
        <is>
          <t>Оценка по покеру, риск интеграции учтён</t>
        </is>
      </c>
    </row>
    <row r="7" ht="30" customHeight="1">
      <c r="A7" s="260" t="inlineStr">
        <is>
          <t>GR-03</t>
        </is>
      </c>
      <c r="B7" s="260" t="inlineStr"/>
      <c r="C7" s="260" t="inlineStr">
        <is>
          <t>2026-08-28</t>
        </is>
      </c>
      <c r="D7" s="260" t="inlineStr">
        <is>
          <t>История: промокоды</t>
        </is>
      </c>
      <c r="E7" s="260" t="inlineStr">
        <is>
          <t>Уточнение</t>
        </is>
      </c>
      <c r="F7" s="260" t="n">
        <v>3</v>
      </c>
      <c r="G7" s="260" t="inlineStr">
        <is>
          <t>Требует доработки</t>
        </is>
      </c>
      <c r="H7" s="260" t="inlineStr">
        <is>
          <t>Петрова М.</t>
        </is>
      </c>
      <c r="I7" s="260" t="inlineStr">
        <is>
          <t>Нужны правила комбинирования скидок от заказчика</t>
        </is>
      </c>
    </row>
    <row r="8" ht="30" customHeight="1">
      <c r="A8" s="260" t="inlineStr">
        <is>
          <t>GR-04</t>
        </is>
      </c>
      <c r="B8" s="260" t="inlineStr"/>
      <c r="C8" s="260" t="inlineStr">
        <is>
          <t>2026-09-04</t>
        </is>
      </c>
      <c r="D8" s="260" t="inlineStr">
        <is>
          <t>Фича: рекомендации товаров</t>
        </is>
      </c>
      <c r="E8" s="260" t="inlineStr">
        <is>
          <t>Приоритизация</t>
        </is>
      </c>
      <c r="F8" s="260" t="n">
        <v>13</v>
      </c>
      <c r="G8" s="260" t="inlineStr">
        <is>
          <t>Требует доработки</t>
        </is>
      </c>
      <c r="H8" s="260" t="inlineStr">
        <is>
          <t>Орлова Е.</t>
        </is>
      </c>
      <c r="I8" s="260" t="inlineStr">
        <is>
          <t>Отложено: зависит от аналитики поведения</t>
        </is>
      </c>
    </row>
    <row r="9" ht="30" customHeight="1">
      <c r="A9" s="260" t="inlineStr">
        <is>
          <t>GR-05</t>
        </is>
      </c>
      <c r="B9" s="260" t="inlineStr"/>
      <c r="C9" s="260" t="inlineStr">
        <is>
          <t>2026-09-04</t>
        </is>
      </c>
      <c r="D9" s="260" t="inlineStr">
        <is>
          <t>История: история заказов</t>
        </is>
      </c>
      <c r="E9" s="260" t="inlineStr">
        <is>
          <t>Оценка</t>
        </is>
      </c>
      <c r="F9" s="260" t="n">
        <v>5</v>
      </c>
      <c r="G9" s="260" t="inlineStr">
        <is>
          <t>Готово к спринту</t>
        </is>
      </c>
      <c r="H9" s="260" t="inlineStr">
        <is>
          <t>Соколов Р.</t>
        </is>
      </c>
      <c r="I9" s="260" t="inlineStr">
        <is>
          <t>Готова к взятию в спринт 4</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
  <sheetViews>
    <sheetView showGridLines="0" workbookViewId="0">
      <pane ySplit="4" topLeftCell="A5" activePane="bottomLeft" state="frozen"/>
      <selection pane="bottomLeft" activeCell="A1" sqref="A1"/>
    </sheetView>
  </sheetViews>
  <sheetFormatPr baseColWidth="8" defaultRowHeight="15"/>
  <cols>
    <col width="9" customWidth="1" min="1" max="1"/>
    <col width="8" customWidth="1" min="2" max="2"/>
    <col width="12" customWidth="1" min="3" max="3"/>
    <col width="32" customWidth="1" min="4" max="4"/>
    <col width="15" customWidth="1" min="5" max="5"/>
    <col width="20" customWidth="1" min="6" max="6"/>
    <col width="34" customWidth="1" min="7" max="7"/>
    <col width="15" customWidth="1" min="8" max="8"/>
  </cols>
  <sheetData>
    <row r="1">
      <c r="A1" s="213" t="inlineStr">
        <is>
          <t>Демо спринта (Sprint Review)</t>
        </is>
      </c>
    </row>
    <row r="2">
      <c r="A2" s="225" t="inlineStr">
        <is>
          <t>Демонстрация инкремента заказчикам, обратная связь и решение о приёмке.</t>
        </is>
      </c>
    </row>
    <row r="4">
      <c r="A4" s="256" t="inlineStr">
        <is>
          <t>ID</t>
        </is>
      </c>
      <c r="B4" s="256" t="inlineStr">
        <is>
          <t>Спринт</t>
        </is>
      </c>
      <c r="C4" s="256" t="inlineStr">
        <is>
          <t>Дата</t>
        </is>
      </c>
      <c r="D4" s="256" t="inlineStr">
        <is>
          <t>Что демонстрировали</t>
        </is>
      </c>
      <c r="E4" s="256" t="inlineStr">
        <is>
          <t>Докладчик</t>
        </is>
      </c>
      <c r="F4" s="256" t="inlineStr">
        <is>
          <t>Участники</t>
        </is>
      </c>
      <c r="G4" s="256" t="inlineStr">
        <is>
          <t>Обратная связь</t>
        </is>
      </c>
      <c r="H4" s="256" t="inlineStr">
        <is>
          <t>Итог</t>
        </is>
      </c>
    </row>
    <row r="5" ht="30" customHeight="1">
      <c r="A5" s="260" t="inlineStr">
        <is>
          <t>DM-01</t>
        </is>
      </c>
      <c r="B5" s="260" t="n">
        <v>1</v>
      </c>
      <c r="C5" s="260" t="inlineStr">
        <is>
          <t>2026-08-14</t>
        </is>
      </c>
      <c r="D5" s="260" t="inlineStr">
        <is>
          <t>Каркас каталога и карточка товара</t>
        </is>
      </c>
      <c r="E5" s="260" t="inlineStr">
        <is>
          <t>Иванов А.</t>
        </is>
      </c>
      <c r="F5" s="260" t="inlineStr">
        <is>
          <t>PO, маркетинг</t>
        </is>
      </c>
      <c r="G5" s="260" t="inlineStr">
        <is>
          <t>Одобрено; просят добавить бейджи скидок</t>
        </is>
      </c>
      <c r="H5" s="260" t="inlineStr">
        <is>
          <t>Принято</t>
        </is>
      </c>
    </row>
    <row r="6" ht="30" customHeight="1">
      <c r="A6" s="260" t="inlineStr">
        <is>
          <t>DM-02</t>
        </is>
      </c>
      <c r="B6" s="260" t="n">
        <v>2</v>
      </c>
      <c r="C6" s="260" t="inlineStr">
        <is>
          <t>2026-08-28</t>
        </is>
      </c>
      <c r="D6" s="260" t="inlineStr">
        <is>
          <t>Корзина и черновик оформления заказа</t>
        </is>
      </c>
      <c r="E6" s="260" t="inlineStr">
        <is>
          <t>Петрова М.</t>
        </is>
      </c>
      <c r="F6" s="260" t="inlineStr">
        <is>
          <t>PO, поддержка</t>
        </is>
      </c>
      <c r="G6" s="260" t="inlineStr">
        <is>
          <t>В целом ок; доработать валидацию адреса</t>
        </is>
      </c>
      <c r="H6" s="260" t="inlineStr">
        <is>
          <t>На доработку</t>
        </is>
      </c>
    </row>
    <row r="7" ht="30" customHeight="1">
      <c r="A7" s="260" t="inlineStr">
        <is>
          <t>DM-03</t>
        </is>
      </c>
      <c r="B7" s="260" t="n">
        <v>3</v>
      </c>
      <c r="C7" s="260" t="inlineStr">
        <is>
          <t>2026-09-11</t>
        </is>
      </c>
      <c r="D7" s="260" t="inlineStr">
        <is>
          <t>Оплата картой (MVP)</t>
        </is>
      </c>
      <c r="E7" s="260" t="inlineStr">
        <is>
          <t>Кузнецов Д.</t>
        </is>
      </c>
      <c r="F7" s="260" t="inlineStr">
        <is>
          <t>PO, финансы, безопасность</t>
        </is>
      </c>
      <c r="G7" s="260" t="inlineStr">
        <is>
          <t>Принято для пилота; нужен лог транзакций</t>
        </is>
      </c>
      <c r="H7" s="260" t="inlineStr">
        <is>
          <t>Принято</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8" customWidth="1" min="3" max="3"/>
    <col width="15" customWidth="1" min="4" max="4"/>
    <col width="32" customWidth="1" min="5" max="5"/>
    <col width="32" customWidth="1" min="6" max="6"/>
    <col width="30" customWidth="1" min="7" max="7"/>
  </cols>
  <sheetData>
    <row r="1">
      <c r="A1" s="213" t="inlineStr">
        <is>
          <t>Дэйли (Daily Standup)</t>
        </is>
      </c>
    </row>
    <row r="2">
      <c r="A2" s="225" t="inlineStr">
        <is>
          <t>Ежедневная синхронизация команды: вчера / сегодня / блокеры — по дням и участникам.</t>
        </is>
      </c>
    </row>
    <row r="4">
      <c r="A4" s="256" t="inlineStr">
        <is>
          <t>ID</t>
        </is>
      </c>
      <c r="B4" s="256" t="inlineStr">
        <is>
          <t>Дата</t>
        </is>
      </c>
      <c r="C4" s="256" t="inlineStr">
        <is>
          <t>Спринт</t>
        </is>
      </c>
      <c r="D4" s="256" t="inlineStr">
        <is>
          <t>Участник</t>
        </is>
      </c>
      <c r="E4" s="256" t="inlineStr">
        <is>
          <t>Вчера</t>
        </is>
      </c>
      <c r="F4" s="256" t="inlineStr">
        <is>
          <t>Сегодня</t>
        </is>
      </c>
      <c r="G4" s="256" t="inlineStr">
        <is>
          <t>Блокер</t>
        </is>
      </c>
    </row>
    <row r="5" ht="30" customHeight="1">
      <c r="A5" s="260" t="inlineStr">
        <is>
          <t>DL-01</t>
        </is>
      </c>
      <c r="B5" s="260" t="inlineStr">
        <is>
          <t>2026-09-14</t>
        </is>
      </c>
      <c r="C5" s="260" t="n">
        <v>3</v>
      </c>
      <c r="D5" s="260" t="inlineStr">
        <is>
          <t>Иванов А.</t>
        </is>
      </c>
      <c r="E5" s="260" t="inlineStr">
        <is>
          <t>Завершил API оформления заказа</t>
        </is>
      </c>
      <c r="F5" s="260" t="inlineStr">
        <is>
          <t>Ревью и интеграция оплаты</t>
        </is>
      </c>
      <c r="G5" s="260" t="inlineStr"/>
    </row>
    <row r="6" ht="30" customHeight="1">
      <c r="A6" s="260" t="inlineStr">
        <is>
          <t>DL-02</t>
        </is>
      </c>
      <c r="B6" s="260" t="inlineStr">
        <is>
          <t>2026-09-14</t>
        </is>
      </c>
      <c r="C6" s="260" t="n">
        <v>3</v>
      </c>
      <c r="D6" s="260" t="inlineStr">
        <is>
          <t>Кузнецов Д.</t>
        </is>
      </c>
      <c r="E6" s="260" t="inlineStr">
        <is>
          <t>Настроил песочницу платёжного шлюза</t>
        </is>
      </c>
      <c r="F6" s="260" t="inlineStr">
        <is>
          <t>Обработка вебхуков оплаты</t>
        </is>
      </c>
      <c r="G6" s="260" t="inlineStr">
        <is>
          <t>Ждём ключи от платёжного провайдера</t>
        </is>
      </c>
    </row>
    <row r="7" ht="30" customHeight="1">
      <c r="A7" s="260" t="inlineStr">
        <is>
          <t>DL-03</t>
        </is>
      </c>
      <c r="B7" s="260" t="inlineStr">
        <is>
          <t>2026-09-14</t>
        </is>
      </c>
      <c r="C7" s="260" t="n">
        <v>3</v>
      </c>
      <c r="D7" s="260" t="inlineStr">
        <is>
          <t>Петрова М.</t>
        </is>
      </c>
      <c r="E7" s="260" t="inlineStr">
        <is>
          <t>Вёрстка корзины</t>
        </is>
      </c>
      <c r="F7" s="260" t="inlineStr">
        <is>
          <t>Валидация адреса доставки</t>
        </is>
      </c>
      <c r="G7" s="260" t="inlineStr"/>
    </row>
    <row r="8" ht="30" customHeight="1">
      <c r="A8" s="260" t="inlineStr">
        <is>
          <t>DL-04</t>
        </is>
      </c>
      <c r="B8" s="260" t="inlineStr">
        <is>
          <t>2026-09-15</t>
        </is>
      </c>
      <c r="C8" s="260" t="n">
        <v>3</v>
      </c>
      <c r="D8" s="260" t="inlineStr">
        <is>
          <t>Иванов А.</t>
        </is>
      </c>
      <c r="E8" s="260" t="inlineStr">
        <is>
          <t>Интеграция оплаты</t>
        </is>
      </c>
      <c r="F8" s="260" t="inlineStr">
        <is>
          <t>Логирование транзакций</t>
        </is>
      </c>
      <c r="G8" s="260" t="inlineStr"/>
    </row>
    <row r="9" ht="30" customHeight="1">
      <c r="A9" s="260" t="inlineStr">
        <is>
          <t>DL-05</t>
        </is>
      </c>
      <c r="B9" s="260" t="inlineStr">
        <is>
          <t>2026-09-15</t>
        </is>
      </c>
      <c r="C9" s="260" t="n">
        <v>3</v>
      </c>
      <c r="D9" s="260" t="inlineStr">
        <is>
          <t>Соколов Р.</t>
        </is>
      </c>
      <c r="E9" s="260" t="inlineStr">
        <is>
          <t>Тест-кейсы оформления</t>
        </is>
      </c>
      <c r="F9" s="260" t="inlineStr">
        <is>
          <t>Регресс по корзине</t>
        </is>
      </c>
      <c r="G9" s="260" t="inlineStr">
        <is>
          <t>Нестабильный стенд QA</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9"/>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5" customWidth="1" min="3" max="3"/>
    <col width="12" customWidth="1" min="4" max="4"/>
    <col width="12" customWidth="1" min="5" max="5"/>
    <col width="8" customWidth="1" min="6" max="6"/>
    <col width="15" customWidth="1" min="7" max="7"/>
    <col width="34" customWidth="1" min="8" max="8"/>
  </cols>
  <sheetData>
    <row r="1">
      <c r="A1" s="213" t="inlineStr">
        <is>
          <t>График отпусков и отсутствий</t>
        </is>
      </c>
    </row>
    <row r="2">
      <c r="A2" s="225" t="inlineStr">
        <is>
          <t>Отпуска, больничные, отгулы и командировки — для учёта доступности команды.</t>
        </is>
      </c>
    </row>
    <row r="4">
      <c r="A4" s="256" t="inlineStr">
        <is>
          <t>ID</t>
        </is>
      </c>
      <c r="B4" s="256" t="inlineStr">
        <is>
          <t>Участник</t>
        </is>
      </c>
      <c r="C4" s="256" t="inlineStr">
        <is>
          <t>Тип</t>
        </is>
      </c>
      <c r="D4" s="256" t="inlineStr">
        <is>
          <t>С</t>
        </is>
      </c>
      <c r="E4" s="256" t="inlineStr">
        <is>
          <t>По</t>
        </is>
      </c>
      <c r="F4" s="256" t="inlineStr">
        <is>
          <t>Дней</t>
        </is>
      </c>
      <c r="G4" s="256" t="inlineStr">
        <is>
          <t>Статус</t>
        </is>
      </c>
      <c r="H4" s="256" t="inlineStr">
        <is>
          <t>Комментарий</t>
        </is>
      </c>
    </row>
    <row r="5" ht="30" customHeight="1">
      <c r="A5" s="260" t="inlineStr">
        <is>
          <t>VC-01</t>
        </is>
      </c>
      <c r="B5" s="260" t="inlineStr">
        <is>
          <t>Иванов А.</t>
        </is>
      </c>
      <c r="C5" s="260" t="inlineStr">
        <is>
          <t>Отпуск</t>
        </is>
      </c>
      <c r="D5" s="260" t="inlineStr">
        <is>
          <t>2026-09-22</t>
        </is>
      </c>
      <c r="E5" s="260" t="inlineStr">
        <is>
          <t>2026-10-03</t>
        </is>
      </c>
      <c r="F5" s="260" t="n">
        <v>10</v>
      </c>
      <c r="G5" s="260" t="inlineStr">
        <is>
          <t>Утверждён</t>
        </is>
      </c>
      <c r="H5" s="260" t="inlineStr">
        <is>
          <t>Плановый отпуск</t>
        </is>
      </c>
    </row>
    <row r="6" ht="30" customHeight="1">
      <c r="A6" s="260" t="inlineStr">
        <is>
          <t>VC-02</t>
        </is>
      </c>
      <c r="B6" s="260" t="inlineStr">
        <is>
          <t>Петрова М.</t>
        </is>
      </c>
      <c r="C6" s="260" t="inlineStr">
        <is>
          <t>Отгул</t>
        </is>
      </c>
      <c r="D6" s="260" t="inlineStr">
        <is>
          <t>2026-09-18</t>
        </is>
      </c>
      <c r="E6" s="260" t="inlineStr">
        <is>
          <t>2026-09-18</t>
        </is>
      </c>
      <c r="F6" s="260" t="n">
        <v>1</v>
      </c>
      <c r="G6" s="260" t="inlineStr">
        <is>
          <t>Утверждён</t>
        </is>
      </c>
      <c r="H6" s="260" t="inlineStr"/>
    </row>
    <row r="7" ht="30" customHeight="1">
      <c r="A7" s="260" t="inlineStr">
        <is>
          <t>VC-03</t>
        </is>
      </c>
      <c r="B7" s="260" t="inlineStr">
        <is>
          <t>Кузнецов Д.</t>
        </is>
      </c>
      <c r="C7" s="260" t="inlineStr">
        <is>
          <t>Командировка</t>
        </is>
      </c>
      <c r="D7" s="260" t="inlineStr">
        <is>
          <t>2026-09-29</t>
        </is>
      </c>
      <c r="E7" s="260" t="inlineStr">
        <is>
          <t>2026-10-01</t>
        </is>
      </c>
      <c r="F7" s="260" t="n">
        <v>3</v>
      </c>
      <c r="G7" s="260" t="inlineStr">
        <is>
          <t>Запланирован</t>
        </is>
      </c>
      <c r="H7" s="260" t="inlineStr">
        <is>
          <t>Встреча с платёжным провайдером</t>
        </is>
      </c>
    </row>
    <row r="8" ht="30" customHeight="1">
      <c r="A8" s="260" t="inlineStr">
        <is>
          <t>VC-04</t>
        </is>
      </c>
      <c r="B8" s="260" t="inlineStr">
        <is>
          <t>Орлова Е.</t>
        </is>
      </c>
      <c r="C8" s="260" t="inlineStr">
        <is>
          <t>Больничный</t>
        </is>
      </c>
      <c r="D8" s="260" t="inlineStr">
        <is>
          <t>2026-09-08</t>
        </is>
      </c>
      <c r="E8" s="260" t="inlineStr">
        <is>
          <t>2026-09-10</t>
        </is>
      </c>
      <c r="F8" s="260" t="n">
        <v>3</v>
      </c>
      <c r="G8" s="260" t="inlineStr">
        <is>
          <t>Завершён</t>
        </is>
      </c>
      <c r="H8" s="260" t="inlineStr"/>
    </row>
    <row r="9" ht="30" customHeight="1">
      <c r="A9" s="260" t="inlineStr">
        <is>
          <t>VC-05</t>
        </is>
      </c>
      <c r="B9" s="260" t="inlineStr">
        <is>
          <t>Соколов Р.</t>
        </is>
      </c>
      <c r="C9" s="260" t="inlineStr">
        <is>
          <t>Отпуск</t>
        </is>
      </c>
      <c r="D9" s="260" t="inlineStr">
        <is>
          <t>2026-10-13</t>
        </is>
      </c>
      <c r="E9" s="260" t="inlineStr">
        <is>
          <t>2026-10-24</t>
        </is>
      </c>
      <c r="F9" s="260" t="n">
        <v>10</v>
      </c>
      <c r="G9" s="260" t="inlineStr">
        <is>
          <t>Запланирован</t>
        </is>
      </c>
      <c r="H9" s="260" t="inlineStr"/>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9"/>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15" customWidth="1" min="3" max="3"/>
    <col width="15" customWidth="1" min="4" max="4"/>
    <col width="34" customWidth="1" min="5" max="5"/>
  </cols>
  <sheetData>
    <row r="1">
      <c r="A1" s="213" t="inlineStr">
        <is>
          <t>Дни рождения команды</t>
        </is>
      </c>
    </row>
    <row r="2">
      <c r="A2" s="225" t="inlineStr">
        <is>
          <t>Даты рождения участников; в приложении показываются ближайшие даты с обратным отсчётом.</t>
        </is>
      </c>
    </row>
    <row r="4">
      <c r="A4" s="256" t="inlineStr">
        <is>
          <t>ID</t>
        </is>
      </c>
      <c r="B4" s="256" t="inlineStr">
        <is>
          <t>Участник</t>
        </is>
      </c>
      <c r="C4" s="256" t="inlineStr">
        <is>
          <t>Дата рождения</t>
        </is>
      </c>
      <c r="D4" s="256" t="inlineStr">
        <is>
          <t>Роль</t>
        </is>
      </c>
      <c r="E4" s="256" t="inlineStr">
        <is>
          <t>Комментарий</t>
        </is>
      </c>
    </row>
    <row r="5" ht="30" customHeight="1">
      <c r="A5" s="260" t="inlineStr">
        <is>
          <t>BD-01</t>
        </is>
      </c>
      <c r="B5" s="260" t="inlineStr">
        <is>
          <t>Иванов А.</t>
        </is>
      </c>
      <c r="C5" s="260" t="inlineStr">
        <is>
          <t>1990-09-20</t>
        </is>
      </c>
      <c r="D5" s="260" t="inlineStr">
        <is>
          <t>Backend</t>
        </is>
      </c>
      <c r="E5" s="260" t="inlineStr"/>
    </row>
    <row r="6" ht="30" customHeight="1">
      <c r="A6" s="260" t="inlineStr">
        <is>
          <t>BD-02</t>
        </is>
      </c>
      <c r="B6" s="260" t="inlineStr">
        <is>
          <t>Петрова М.</t>
        </is>
      </c>
      <c r="C6" s="260" t="inlineStr">
        <is>
          <t>1993-10-05</t>
        </is>
      </c>
      <c r="D6" s="260" t="inlineStr">
        <is>
          <t>Frontend</t>
        </is>
      </c>
      <c r="E6" s="260" t="inlineStr"/>
    </row>
    <row r="7" ht="30" customHeight="1">
      <c r="A7" s="260" t="inlineStr">
        <is>
          <t>BD-03</t>
        </is>
      </c>
      <c r="B7" s="260" t="inlineStr">
        <is>
          <t>Кузнецов Д.</t>
        </is>
      </c>
      <c r="C7" s="260" t="inlineStr">
        <is>
          <t>1988-11-12</t>
        </is>
      </c>
      <c r="D7" s="260" t="inlineStr">
        <is>
          <t>Backend</t>
        </is>
      </c>
      <c r="E7" s="260" t="inlineStr"/>
    </row>
    <row r="8" ht="30" customHeight="1">
      <c r="A8" s="260" t="inlineStr">
        <is>
          <t>BD-04</t>
        </is>
      </c>
      <c r="B8" s="260" t="inlineStr">
        <is>
          <t>Орлова Е.</t>
        </is>
      </c>
      <c r="C8" s="260" t="inlineStr">
        <is>
          <t>1995-09-28</t>
        </is>
      </c>
      <c r="D8" s="260" t="inlineStr">
        <is>
          <t>Analyst</t>
        </is>
      </c>
      <c r="E8" s="260" t="inlineStr"/>
    </row>
    <row r="9" ht="30" customHeight="1">
      <c r="A9" s="260" t="inlineStr">
        <is>
          <t>BD-05</t>
        </is>
      </c>
      <c r="B9" s="260" t="inlineStr">
        <is>
          <t>Соколов Р.</t>
        </is>
      </c>
      <c r="C9" s="260" t="inlineStr">
        <is>
          <t>1991-12-03</t>
        </is>
      </c>
      <c r="D9" s="260" t="inlineStr">
        <is>
          <t>QA</t>
        </is>
      </c>
      <c r="E9" s="26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2026-09-15T15:04:18Z</dcterms:modified>
  <cp:lastModifiedBy>Андрей Агафонов</cp:lastModifiedBy>
</cp:coreProperties>
</file>
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drawings/drawing2.xml" ContentType="application/vnd.openxmlformats-officedocument.drawing+xml"/>
  <Override PartName="/xl/charts/chart36.xml" ContentType="application/vnd.openxmlformats-officedocument.drawingml.chart+xml"/>
  <Override PartName="/xl/charts/chart37.xml" ContentType="application/vnd.openxmlformats-officedocument.drawingml.chart+xml"/>
  <Override PartName="/xl/drawings/drawing3.xml" ContentType="application/vnd.openxmlformats-officedocument.drawing+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drawings/drawing4.xml" ContentType="application/vnd.openxmlformats-officedocument.drawing+xml"/>
  <Override PartName="/xl/charts/chart41.xml" ContentType="application/vnd.openxmlformats-officedocument.drawingml.chart+xml"/>
  <Override PartName="/xl/charts/chart42.xml" ContentType="application/vnd.openxmlformats-officedocument.drawingml.chart+xml"/>
  <Override PartName="/xl/drawings/drawing5.xml" ContentType="application/vnd.openxmlformats-officedocument.drawing+xml"/>
  <Override PartName="/xl/charts/chart43.xml" ContentType="application/vnd.openxmlformats-officedocument.drawingml.chart+xml"/>
  <Override PartName="/xl/drawings/drawing6.xml" ContentType="application/vnd.openxmlformats-officedocument.drawing+xml"/>
  <Override PartName="/xl/charts/chart44.xml" ContentType="application/vnd.openxmlformats-officedocument.drawingml.chart+xml"/>
  <Override PartName="/xl/drawings/drawing7.xml" ContentType="application/vnd.openxmlformats-officedocument.drawing+xml"/>
  <Override PartName="/xl/charts/chart45.xml" ContentType="application/vnd.openxmlformats-officedocument.drawingml.chart+xml"/>
  <Override PartName="/xl/drawings/drawing8.xml" ContentType="application/vnd.openxmlformats-officedocument.drawing+xml"/>
  <Override PartName="/xl/charts/chart46.xml" ContentType="application/vnd.openxmlformats-officedocument.drawingml.chart+xml"/>
  <Override PartName="/xl/drawings/drawing9.xml" ContentType="application/vnd.openxmlformats-officedocument.drawing+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drawings/drawing10.xml" ContentType="application/vnd.openxmlformats-officedocument.drawing+xml"/>
  <Override PartName="/xl/charts/chart50.xml" ContentType="application/vnd.openxmlformats-officedocument.drawingml.chart+xml"/>
  <Override PartName="/xl/drawings/drawing11.xml" ContentType="application/vnd.openxmlformats-officedocument.drawing+xml"/>
  <Override PartName="/xl/charts/chart51.xml" ContentType="application/vnd.openxmlformats-officedocument.drawingml.chart+xml"/>
  <Override PartName="/xl/drawings/drawing12.xml" ContentType="application/vnd.openxmlformats-officedocument.drawing+xml"/>
  <Override PartName="/xl/charts/chart52.xml" ContentType="application/vnd.openxmlformats-officedocument.drawingml.chart+xml"/>
  <Override PartName="/xl/drawings/drawing13.xml" ContentType="application/vnd.openxmlformats-officedocument.drawing+xml"/>
  <Override PartName="/xl/charts/chart53.xml" ContentType="application/vnd.openxmlformats-officedocument.drawingml.chart+xml"/>
  <Override PartName="/xl/drawings/drawing14.xml" ContentType="application/vnd.openxmlformats-officedocument.drawing+xml"/>
  <Override PartName="/xl/charts/chart54.xml" ContentType="application/vnd.openxmlformats-officedocument.drawingml.chart+xml"/>
  <Override PartName="/xl/drawings/drawing15.xml" ContentType="application/vnd.openxmlformats-officedocument.drawing+xml"/>
  <Override PartName="/xl/charts/chart55.xml" ContentType="application/vnd.openxmlformats-officedocument.drawingml.chart+xml"/>
  <Override PartName="/xl/drawings/drawing16.xml" ContentType="application/vnd.openxmlformats-officedocument.drawing+xml"/>
  <Override PartName="/xl/charts/chart56.xml" ContentType="application/vnd.openxmlformats-officedocument.drawingml.chart+xml"/>
  <Override PartName="/xl/charts/chart57.xml" ContentType="application/vnd.openxmlformats-officedocument.drawingml.chart+xml"/>
  <Override PartName="/xl/drawings/drawing17.xml" ContentType="application/vnd.openxmlformats-officedocument.drawing+xml"/>
  <Override PartName="/xl/charts/chart58.xml" ContentType="application/vnd.openxmlformats-officedocument.drawingml.chart+xml"/>
  <Override PartName="/xl/drawings/drawing18.xml" ContentType="application/vnd.openxmlformats-officedocument.drawing+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drawings/drawing19.xml" ContentType="application/vnd.openxmlformats-officedocument.drawing+xml"/>
  <Override PartName="/xl/charts/chart62.xml" ContentType="application/vnd.openxmlformats-officedocument.drawingml.chart+xml"/>
  <Override PartName="/xl/drawings/drawing20.xml" ContentType="application/vnd.openxmlformats-officedocument.drawing+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drawings/drawing21.xml" ContentType="application/vnd.openxmlformats-officedocument.drawing+xml"/>
  <Override PartName="/xl/charts/chart68.xml" ContentType="application/vnd.openxmlformats-officedocument.drawingml.chart+xml"/>
  <Override PartName="/xl/drawings/drawing22.xml" ContentType="application/vnd.openxmlformats-officedocument.drawing+xml"/>
  <Override PartName="/xl/charts/chart69.xml" ContentType="application/vnd.openxmlformats-officedocument.drawingml.chart+xml"/>
  <Override PartName="/xl/drawings/drawing23.xml" ContentType="application/vnd.openxmlformats-officedocument.drawing+xml"/>
  <Override PartName="/xl/charts/chart70.xml" ContentType="application/vnd.openxmlformats-officedocument.drawingml.chart+xml"/>
  <Override PartName="/xl/drawings/drawing24.xml" ContentType="application/vnd.openxmlformats-officedocument.drawing+xml"/>
  <Override PartName="/xl/charts/chart71.xml" ContentType="application/vnd.openxmlformats-officedocument.drawingml.chart+xml"/>
  <Override PartName="/xl/drawings/drawing25.xml" ContentType="application/vnd.openxmlformats-officedocument.drawing+xml"/>
  <Override PartName="/xl/charts/chart7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Андрей\Dropbox\Planirovanie\"/>
    </mc:Choice>
  </mc:AlternateContent>
  <xr:revisionPtr revIDLastSave="0" documentId="13_ncr:1_{218E95D2-67BB-4461-9C7B-B6448B0AD137}" xr6:coauthVersionLast="47" xr6:coauthVersionMax="47" xr10:uidLastSave="{00000000-0000-0000-0000-000000000000}"/>
  <bookViews>
    <workbookView xWindow="-108" yWindow="-108" windowWidth="23256" windowHeight="12456" tabRatio="733" activeTab="8" xr2:uid="{00000000-000D-0000-FFFF-FFFF00000000}"/>
  </bookViews>
  <sheets>
    <sheet name="Дашборды" sheetId="1" r:id="rId1"/>
    <sheet name="Дашборд" sheetId="2" r:id="rId2"/>
    <sheet name="Параметры" sheetId="3" r:id="rId3"/>
    <sheet name="Дорожная карта" sheetId="4" r:id="rId4"/>
    <sheet name="Кварталы" sheetId="5" r:id="rId5"/>
    <sheet name="RICE" sheetId="6" r:id="rId6"/>
    <sheet name="Квартальный roadmap" sheetId="7" r:id="rId7"/>
    <sheet name="Релизы" sheetId="8" r:id="rId8"/>
    <sheet name="Вехи" sheetId="9" r:id="rId9"/>
    <sheet name="Технический долг" sheetId="10" r:id="rId10"/>
    <sheet name="Ретроспективы" sheetId="11" r:id="rId11"/>
    <sheet name="Бюджет" sheetId="12" r:id="rId12"/>
    <sheet name="OKR" sheetId="13" r:id="rId13"/>
    <sheet name="Ёмкость на горизонт" sheetId="14" r:id="rId14"/>
    <sheet name="Гант" sheetId="15" r:id="rId15"/>
    <sheet name="Зависимости" sheetId="16" r:id="rId16"/>
    <sheet name="Капасити" sheetId="17" r:id="rId17"/>
    <sheet name="Календарь" sheetId="18" r:id="rId18"/>
    <sheet name="Загрузка по ролям" sheetId="19" r:id="rId19"/>
    <sheet name="Бэклог" sheetId="20" r:id="rId20"/>
    <sheet name="Сгорание" sheetId="21" r:id="rId21"/>
    <sheet name="Качество" sheetId="22" r:id="rId22"/>
    <sheet name="Баги" sheetId="23" r:id="rId23"/>
    <sheet name="CFD" sheetId="24" r:id="rId24"/>
    <sheet name="Метрики и прогноз" sheetId="25" r:id="rId25"/>
    <sheet name="Cycle time" sheetId="26" r:id="rId26"/>
    <sheet name="Риски" sheetId="27" r:id="rId27"/>
    <sheet name="Матрица рисков" sheetId="28" r:id="rId28"/>
    <sheet name="Распределение" sheetId="29" r:id="rId29"/>
    <sheet name="Time to Market" sheetId="30"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26" i="30" l="1"/>
  <c r="B26" i="30"/>
  <c r="A26" i="30"/>
  <c r="E25" i="30"/>
  <c r="B25" i="30"/>
  <c r="A25" i="30"/>
  <c r="E24" i="30"/>
  <c r="B24" i="30"/>
  <c r="A24" i="30"/>
  <c r="E23" i="30"/>
  <c r="B23" i="30"/>
  <c r="A23" i="30"/>
  <c r="E22" i="30"/>
  <c r="B22" i="30"/>
  <c r="A22" i="30"/>
  <c r="E21" i="30"/>
  <c r="B21" i="30"/>
  <c r="A21" i="30"/>
  <c r="E20" i="30"/>
  <c r="B20" i="30"/>
  <c r="A20" i="30"/>
  <c r="E19" i="30"/>
  <c r="B19" i="30"/>
  <c r="A19" i="30"/>
  <c r="E18" i="30"/>
  <c r="B18" i="30"/>
  <c r="A18" i="30"/>
  <c r="E17" i="30"/>
  <c r="B17" i="30"/>
  <c r="A17" i="30"/>
  <c r="E16" i="30"/>
  <c r="B16" i="30"/>
  <c r="A16" i="30"/>
  <c r="E15" i="30"/>
  <c r="B15" i="30"/>
  <c r="A15" i="30"/>
  <c r="E14" i="30"/>
  <c r="B14" i="30"/>
  <c r="A14" i="30"/>
  <c r="E13" i="30"/>
  <c r="B13" i="30"/>
  <c r="A13" i="30"/>
  <c r="E12" i="30"/>
  <c r="B12" i="30"/>
  <c r="A12" i="30"/>
  <c r="E11" i="30"/>
  <c r="B11" i="30"/>
  <c r="A11" i="30"/>
  <c r="E10" i="30"/>
  <c r="B10" i="30"/>
  <c r="A10" i="30"/>
  <c r="E9" i="30"/>
  <c r="B9" i="30"/>
  <c r="A9" i="30"/>
  <c r="E8" i="30"/>
  <c r="B8" i="30"/>
  <c r="A8" i="30"/>
  <c r="E7" i="30"/>
  <c r="B7" i="30"/>
  <c r="A7" i="30"/>
  <c r="B23" i="29"/>
  <c r="B22" i="29"/>
  <c r="B21" i="29"/>
  <c r="F16" i="28"/>
  <c r="E16" i="28"/>
  <c r="D16" i="28"/>
  <c r="C16" i="28"/>
  <c r="B16" i="28"/>
  <c r="F15" i="28"/>
  <c r="E15" i="28"/>
  <c r="D15" i="28"/>
  <c r="C15" i="28"/>
  <c r="B15" i="28"/>
  <c r="F14" i="28"/>
  <c r="E14" i="28"/>
  <c r="D14" i="28"/>
  <c r="C14" i="28"/>
  <c r="B14" i="28"/>
  <c r="F13" i="28"/>
  <c r="E13" i="28"/>
  <c r="D13" i="28"/>
  <c r="C13" i="28"/>
  <c r="B13" i="28"/>
  <c r="F12" i="28"/>
  <c r="E12" i="28"/>
  <c r="D12" i="28"/>
  <c r="C12" i="28"/>
  <c r="B12" i="28"/>
  <c r="I8" i="28"/>
  <c r="H8" i="28"/>
  <c r="G8" i="28"/>
  <c r="F8" i="28"/>
  <c r="E8" i="28"/>
  <c r="D8" i="28"/>
  <c r="C8" i="28"/>
  <c r="B8" i="28"/>
  <c r="I7" i="28"/>
  <c r="H7" i="28"/>
  <c r="G7" i="28"/>
  <c r="D7" i="28"/>
  <c r="C7" i="28"/>
  <c r="B7" i="28"/>
  <c r="I6" i="28"/>
  <c r="H6" i="28"/>
  <c r="G6" i="28"/>
  <c r="E6" i="28"/>
  <c r="D6" i="28"/>
  <c r="C6" i="28"/>
  <c r="B6" i="28"/>
  <c r="I5" i="28"/>
  <c r="H5" i="28"/>
  <c r="G5" i="28"/>
  <c r="F5" i="28"/>
  <c r="D5" i="28"/>
  <c r="C5" i="28"/>
  <c r="B5" i="28"/>
  <c r="A5" i="28"/>
  <c r="F8" i="27"/>
  <c r="E8" i="27"/>
  <c r="A8" i="28" s="1"/>
  <c r="E7" i="27"/>
  <c r="F6" i="27"/>
  <c r="F6" i="28" s="1"/>
  <c r="E6" i="27"/>
  <c r="F5" i="27"/>
  <c r="E5" i="27"/>
  <c r="E5" i="28" s="1"/>
  <c r="A29" i="26"/>
  <c r="A28" i="26"/>
  <c r="A27" i="26"/>
  <c r="B26" i="26"/>
  <c r="A26" i="26"/>
  <c r="A25" i="26"/>
  <c r="A24" i="26"/>
  <c r="A23" i="26"/>
  <c r="A22" i="26"/>
  <c r="A21" i="26"/>
  <c r="A20" i="26"/>
  <c r="B19" i="26"/>
  <c r="A19" i="26"/>
  <c r="A18" i="26"/>
  <c r="A17" i="26"/>
  <c r="A16" i="26"/>
  <c r="A15" i="26"/>
  <c r="A14" i="26"/>
  <c r="A13" i="26"/>
  <c r="B12" i="26"/>
  <c r="A12" i="26"/>
  <c r="A11" i="26"/>
  <c r="A10" i="26"/>
  <c r="C53" i="25"/>
  <c r="B53" i="25"/>
  <c r="B52" i="25"/>
  <c r="B51" i="25"/>
  <c r="B50" i="25"/>
  <c r="B49" i="25"/>
  <c r="B48" i="25"/>
  <c r="C42" i="25"/>
  <c r="C41" i="25"/>
  <c r="G29" i="25"/>
  <c r="C29" i="25"/>
  <c r="G28" i="25"/>
  <c r="C28" i="25"/>
  <c r="G27" i="25"/>
  <c r="C27" i="25"/>
  <c r="G26" i="25"/>
  <c r="C26" i="25"/>
  <c r="G25" i="25"/>
  <c r="C25" i="25"/>
  <c r="G24" i="25"/>
  <c r="G23" i="25"/>
  <c r="G22" i="25"/>
  <c r="B22" i="25"/>
  <c r="G21" i="25"/>
  <c r="B21" i="25"/>
  <c r="G20" i="25"/>
  <c r="B20" i="25"/>
  <c r="G19" i="25"/>
  <c r="B19" i="25"/>
  <c r="B18" i="25"/>
  <c r="B17" i="25"/>
  <c r="B16" i="25"/>
  <c r="B15" i="25"/>
  <c r="B14" i="25"/>
  <c r="B13" i="25"/>
  <c r="B12" i="25"/>
  <c r="C20" i="24"/>
  <c r="C19" i="24"/>
  <c r="E15" i="24"/>
  <c r="E14" i="24"/>
  <c r="E13" i="24"/>
  <c r="E12" i="24"/>
  <c r="E11" i="24"/>
  <c r="E10" i="24"/>
  <c r="E9" i="24"/>
  <c r="E8" i="24"/>
  <c r="E7" i="24"/>
  <c r="E6" i="24"/>
  <c r="E5" i="24"/>
  <c r="P16" i="23"/>
  <c r="N16" i="23"/>
  <c r="M16" i="23"/>
  <c r="L16" i="23"/>
  <c r="K16" i="23"/>
  <c r="P15" i="23"/>
  <c r="L15" i="23"/>
  <c r="N15" i="23" s="1"/>
  <c r="K15" i="23"/>
  <c r="P14" i="23"/>
  <c r="M14" i="23"/>
  <c r="L14" i="23"/>
  <c r="N14" i="23" s="1"/>
  <c r="K14" i="23"/>
  <c r="L13" i="23"/>
  <c r="K13" i="23"/>
  <c r="P12" i="23"/>
  <c r="M12" i="23"/>
  <c r="L12" i="23"/>
  <c r="N12" i="23" s="1"/>
  <c r="K12" i="23"/>
  <c r="P11" i="23"/>
  <c r="L11" i="23"/>
  <c r="N11" i="23" s="1"/>
  <c r="K11" i="23"/>
  <c r="P10" i="23"/>
  <c r="M10" i="23"/>
  <c r="L10" i="23"/>
  <c r="N10" i="23" s="1"/>
  <c r="K10" i="23"/>
  <c r="L9" i="23"/>
  <c r="K9" i="23"/>
  <c r="P8" i="23"/>
  <c r="M8" i="23"/>
  <c r="L8" i="23"/>
  <c r="N8" i="23" s="1"/>
  <c r="K8" i="23"/>
  <c r="L7" i="23"/>
  <c r="N7" i="23" s="1"/>
  <c r="K7" i="23"/>
  <c r="P6" i="23"/>
  <c r="M6" i="23"/>
  <c r="L6" i="23"/>
  <c r="N6" i="23" s="1"/>
  <c r="K6" i="23"/>
  <c r="E16" i="22"/>
  <c r="I15" i="22"/>
  <c r="G15" i="22"/>
  <c r="E15" i="22"/>
  <c r="C15" i="22"/>
  <c r="B15" i="22"/>
  <c r="I14" i="22"/>
  <c r="G14" i="22"/>
  <c r="E14" i="22"/>
  <c r="C14" i="22"/>
  <c r="B14" i="22"/>
  <c r="I13" i="22"/>
  <c r="G13" i="22"/>
  <c r="E13" i="22"/>
  <c r="C13" i="22"/>
  <c r="B13" i="22"/>
  <c r="I12" i="22"/>
  <c r="G12" i="22"/>
  <c r="E12" i="22"/>
  <c r="C12" i="22"/>
  <c r="B12" i="22"/>
  <c r="I11" i="22"/>
  <c r="G11" i="22"/>
  <c r="E11" i="22"/>
  <c r="C11" i="22"/>
  <c r="B11" i="22"/>
  <c r="I10" i="22"/>
  <c r="G10" i="22"/>
  <c r="E10" i="22"/>
  <c r="C10" i="22"/>
  <c r="B10" i="22"/>
  <c r="I9" i="22"/>
  <c r="G9" i="22"/>
  <c r="E9" i="22"/>
  <c r="C9" i="22"/>
  <c r="B9" i="22"/>
  <c r="I8" i="22"/>
  <c r="G8" i="22"/>
  <c r="E8" i="22"/>
  <c r="C8" i="22"/>
  <c r="B8" i="22"/>
  <c r="I7" i="22"/>
  <c r="G7" i="22"/>
  <c r="E7" i="22"/>
  <c r="C7" i="22"/>
  <c r="B7" i="22"/>
  <c r="I6" i="22"/>
  <c r="G6" i="22"/>
  <c r="E6" i="22"/>
  <c r="C6" i="22"/>
  <c r="B6" i="22"/>
  <c r="I5" i="22"/>
  <c r="G5" i="22"/>
  <c r="E5" i="22"/>
  <c r="D5" i="22"/>
  <c r="C5" i="22"/>
  <c r="B5" i="22"/>
  <c r="C32" i="21"/>
  <c r="C31" i="21"/>
  <c r="C30" i="21"/>
  <c r="C29" i="21"/>
  <c r="C28" i="21"/>
  <c r="C27" i="21"/>
  <c r="C26" i="21"/>
  <c r="C25" i="21"/>
  <c r="C24" i="21"/>
  <c r="C23" i="21"/>
  <c r="C22" i="21"/>
  <c r="B17" i="21"/>
  <c r="B16" i="21"/>
  <c r="B15" i="21"/>
  <c r="B14" i="21"/>
  <c r="B13" i="21"/>
  <c r="B12" i="21"/>
  <c r="B11" i="21"/>
  <c r="B10" i="21"/>
  <c r="B9" i="21"/>
  <c r="B8" i="21"/>
  <c r="B7" i="21"/>
  <c r="E47" i="20"/>
  <c r="E45" i="20"/>
  <c r="D100" i="20" s="1"/>
  <c r="T44" i="20"/>
  <c r="S44" i="20"/>
  <c r="R44" i="20"/>
  <c r="J44" i="20"/>
  <c r="H44" i="20"/>
  <c r="G44" i="20"/>
  <c r="T43" i="20"/>
  <c r="S43" i="20"/>
  <c r="R43" i="20"/>
  <c r="J43" i="20"/>
  <c r="H43" i="20"/>
  <c r="G43" i="20"/>
  <c r="T42" i="20"/>
  <c r="S42" i="20"/>
  <c r="R42" i="20"/>
  <c r="J42" i="20"/>
  <c r="H42" i="20"/>
  <c r="G42" i="20"/>
  <c r="T41" i="20"/>
  <c r="S41" i="20"/>
  <c r="R41" i="20"/>
  <c r="J41" i="20"/>
  <c r="H41" i="20"/>
  <c r="G41" i="20"/>
  <c r="T40" i="20"/>
  <c r="S40" i="20"/>
  <c r="R40" i="20"/>
  <c r="J40" i="20"/>
  <c r="H40" i="20"/>
  <c r="G40" i="20"/>
  <c r="T39" i="20"/>
  <c r="S39" i="20"/>
  <c r="R39" i="20"/>
  <c r="J39" i="20"/>
  <c r="H39" i="20"/>
  <c r="G39" i="20"/>
  <c r="T38" i="20"/>
  <c r="S38" i="20"/>
  <c r="R38" i="20"/>
  <c r="J38" i="20"/>
  <c r="H38" i="20"/>
  <c r="G38" i="20"/>
  <c r="T37" i="20"/>
  <c r="S37" i="20"/>
  <c r="R37" i="20"/>
  <c r="J37" i="20"/>
  <c r="H37" i="20"/>
  <c r="G37" i="20"/>
  <c r="T36" i="20"/>
  <c r="S36" i="20"/>
  <c r="R36" i="20"/>
  <c r="J36" i="20"/>
  <c r="H36" i="20"/>
  <c r="G36" i="20"/>
  <c r="T35" i="20"/>
  <c r="S35" i="20"/>
  <c r="R35" i="20"/>
  <c r="J35" i="20"/>
  <c r="H35" i="20"/>
  <c r="G35" i="20"/>
  <c r="T34" i="20"/>
  <c r="S34" i="20"/>
  <c r="R34" i="20"/>
  <c r="J34" i="20"/>
  <c r="H34" i="20"/>
  <c r="G34" i="20"/>
  <c r="T33" i="20"/>
  <c r="S33" i="20"/>
  <c r="R33" i="20"/>
  <c r="J33" i="20"/>
  <c r="H33" i="20"/>
  <c r="G33" i="20"/>
  <c r="T32" i="20"/>
  <c r="S32" i="20"/>
  <c r="R32" i="20"/>
  <c r="J32" i="20"/>
  <c r="H32" i="20"/>
  <c r="G32" i="20"/>
  <c r="T31" i="20"/>
  <c r="S31" i="20"/>
  <c r="R31" i="20"/>
  <c r="J31" i="20"/>
  <c r="H31" i="20"/>
  <c r="G31" i="20"/>
  <c r="T30" i="20"/>
  <c r="S30" i="20"/>
  <c r="R30" i="20"/>
  <c r="J30" i="20"/>
  <c r="H30" i="20"/>
  <c r="G30" i="20"/>
  <c r="T29" i="20"/>
  <c r="S29" i="20"/>
  <c r="R29" i="20"/>
  <c r="J29" i="20"/>
  <c r="H29" i="20"/>
  <c r="G29" i="20"/>
  <c r="T28" i="20"/>
  <c r="S28" i="20"/>
  <c r="R28" i="20"/>
  <c r="J28" i="20"/>
  <c r="H28" i="20"/>
  <c r="G28" i="20"/>
  <c r="T27" i="20"/>
  <c r="S27" i="20"/>
  <c r="R27" i="20"/>
  <c r="J27" i="20"/>
  <c r="H27" i="20"/>
  <c r="G27" i="20"/>
  <c r="T26" i="20"/>
  <c r="S26" i="20"/>
  <c r="R26" i="20"/>
  <c r="J26" i="20"/>
  <c r="H26" i="20"/>
  <c r="G26" i="20"/>
  <c r="T25" i="20"/>
  <c r="S25" i="20"/>
  <c r="R25" i="20"/>
  <c r="J25" i="20"/>
  <c r="H25" i="20"/>
  <c r="G25" i="20"/>
  <c r="T24" i="20"/>
  <c r="S24" i="20"/>
  <c r="R24" i="20"/>
  <c r="G29" i="26" s="1"/>
  <c r="J24" i="20"/>
  <c r="H24" i="20"/>
  <c r="G24" i="20"/>
  <c r="T23" i="20"/>
  <c r="S23" i="20"/>
  <c r="R23" i="20"/>
  <c r="G28" i="26" s="1"/>
  <c r="J23" i="20"/>
  <c r="H23" i="20"/>
  <c r="G23" i="20"/>
  <c r="T22" i="20"/>
  <c r="S22" i="20"/>
  <c r="R22" i="20"/>
  <c r="G27" i="26" s="1"/>
  <c r="J22" i="20"/>
  <c r="H22" i="20"/>
  <c r="G22" i="20"/>
  <c r="T21" i="20"/>
  <c r="S21" i="20"/>
  <c r="R21" i="20"/>
  <c r="G26" i="26" s="1"/>
  <c r="J21" i="20"/>
  <c r="H21" i="20"/>
  <c r="G21" i="20"/>
  <c r="T20" i="20"/>
  <c r="S20" i="20"/>
  <c r="R20" i="20"/>
  <c r="G25" i="26" s="1"/>
  <c r="J20" i="20"/>
  <c r="H20" i="20"/>
  <c r="G20" i="20"/>
  <c r="T19" i="20"/>
  <c r="S19" i="20"/>
  <c r="R19" i="20"/>
  <c r="G24" i="26" s="1"/>
  <c r="J19" i="20"/>
  <c r="H19" i="20"/>
  <c r="G19" i="20"/>
  <c r="T18" i="20"/>
  <c r="S18" i="20"/>
  <c r="R18" i="20"/>
  <c r="G23" i="26" s="1"/>
  <c r="J18" i="20"/>
  <c r="H18" i="20"/>
  <c r="G18" i="20"/>
  <c r="T17" i="20"/>
  <c r="S17" i="20"/>
  <c r="R17" i="20"/>
  <c r="G22" i="26" s="1"/>
  <c r="J17" i="20"/>
  <c r="H17" i="20"/>
  <c r="G17" i="20"/>
  <c r="T16" i="20"/>
  <c r="S16" i="20"/>
  <c r="R16" i="20"/>
  <c r="G21" i="26" s="1"/>
  <c r="J16" i="20"/>
  <c r="H16" i="20"/>
  <c r="G16" i="20"/>
  <c r="T15" i="20"/>
  <c r="S15" i="20"/>
  <c r="R15" i="20"/>
  <c r="G20" i="26" s="1"/>
  <c r="J15" i="20"/>
  <c r="H15" i="20"/>
  <c r="G15" i="20"/>
  <c r="T14" i="20"/>
  <c r="S14" i="20"/>
  <c r="R14" i="20"/>
  <c r="G19" i="26" s="1"/>
  <c r="J14" i="20"/>
  <c r="H14" i="20"/>
  <c r="G14" i="20"/>
  <c r="T13" i="20"/>
  <c r="S13" i="20"/>
  <c r="R13" i="20"/>
  <c r="G18" i="26" s="1"/>
  <c r="J13" i="20"/>
  <c r="H13" i="20"/>
  <c r="G13" i="20"/>
  <c r="T12" i="20"/>
  <c r="S12" i="20"/>
  <c r="R12" i="20"/>
  <c r="G17" i="26" s="1"/>
  <c r="J12" i="20"/>
  <c r="H12" i="20"/>
  <c r="G12" i="20"/>
  <c r="T11" i="20"/>
  <c r="S11" i="20"/>
  <c r="R11" i="20"/>
  <c r="G16" i="26" s="1"/>
  <c r="J11" i="20"/>
  <c r="H11" i="20"/>
  <c r="G11" i="20"/>
  <c r="T10" i="20"/>
  <c r="S10" i="20"/>
  <c r="R10" i="20"/>
  <c r="G15" i="26" s="1"/>
  <c r="J10" i="20"/>
  <c r="H10" i="20"/>
  <c r="G10" i="20"/>
  <c r="T9" i="20"/>
  <c r="S9" i="20"/>
  <c r="R9" i="20"/>
  <c r="G14" i="26" s="1"/>
  <c r="J9" i="20"/>
  <c r="H9" i="20"/>
  <c r="G9" i="20"/>
  <c r="T8" i="20"/>
  <c r="S8" i="20"/>
  <c r="R8" i="20"/>
  <c r="G13" i="26" s="1"/>
  <c r="J8" i="20"/>
  <c r="H8" i="20"/>
  <c r="G8" i="20"/>
  <c r="T7" i="20"/>
  <c r="S7" i="20"/>
  <c r="R7" i="20"/>
  <c r="G12" i="26" s="1"/>
  <c r="J7" i="20"/>
  <c r="H7" i="20"/>
  <c r="G7" i="20"/>
  <c r="T6" i="20"/>
  <c r="S6" i="20"/>
  <c r="R6" i="20"/>
  <c r="G11" i="26" s="1"/>
  <c r="J6" i="20"/>
  <c r="H6" i="20"/>
  <c r="G6" i="20"/>
  <c r="T5" i="20"/>
  <c r="S5" i="20"/>
  <c r="E50" i="20" s="1"/>
  <c r="R5" i="20"/>
  <c r="G10" i="26" s="1"/>
  <c r="J5" i="20"/>
  <c r="H5" i="20"/>
  <c r="G5" i="20"/>
  <c r="G45" i="20" s="1"/>
  <c r="G147" i="17"/>
  <c r="G146" i="17"/>
  <c r="G145" i="17"/>
  <c r="G144" i="17"/>
  <c r="G143" i="17"/>
  <c r="G142" i="17"/>
  <c r="G141" i="17"/>
  <c r="G140" i="17"/>
  <c r="G139" i="17"/>
  <c r="G138" i="17"/>
  <c r="G137" i="17"/>
  <c r="G136" i="17"/>
  <c r="G135" i="17"/>
  <c r="G134" i="17"/>
  <c r="G133" i="17"/>
  <c r="G132" i="17"/>
  <c r="G131" i="17"/>
  <c r="G130" i="17"/>
  <c r="G129" i="17"/>
  <c r="G128" i="17"/>
  <c r="G127" i="17"/>
  <c r="G126" i="17"/>
  <c r="G125" i="17"/>
  <c r="G124" i="17"/>
  <c r="G123" i="17"/>
  <c r="G122" i="17"/>
  <c r="G121" i="17"/>
  <c r="G120" i="17"/>
  <c r="G119" i="17"/>
  <c r="G118" i="17"/>
  <c r="G117" i="17"/>
  <c r="G116" i="17"/>
  <c r="G115" i="17"/>
  <c r="G114" i="17"/>
  <c r="G113" i="17"/>
  <c r="G112" i="17"/>
  <c r="G111" i="17"/>
  <c r="G110" i="17"/>
  <c r="G109" i="17"/>
  <c r="G108" i="17"/>
  <c r="G107" i="17"/>
  <c r="G106" i="17"/>
  <c r="G105" i="17"/>
  <c r="G104" i="17"/>
  <c r="G103" i="17"/>
  <c r="G102" i="17"/>
  <c r="G101" i="17"/>
  <c r="G100" i="17"/>
  <c r="G99" i="17"/>
  <c r="G98" i="17"/>
  <c r="G97" i="17"/>
  <c r="G96" i="17"/>
  <c r="G95" i="17"/>
  <c r="G94" i="17"/>
  <c r="G93" i="17"/>
  <c r="G92" i="17"/>
  <c r="G91" i="17"/>
  <c r="G90" i="17"/>
  <c r="G89" i="17"/>
  <c r="G88" i="17"/>
  <c r="G87" i="17"/>
  <c r="G86" i="17"/>
  <c r="G85" i="17"/>
  <c r="G84" i="17"/>
  <c r="G83" i="17"/>
  <c r="G82" i="17"/>
  <c r="G81" i="17"/>
  <c r="G80" i="17"/>
  <c r="G79" i="17"/>
  <c r="G78" i="17"/>
  <c r="G77" i="17"/>
  <c r="G76" i="17"/>
  <c r="G75" i="17"/>
  <c r="G74" i="17"/>
  <c r="G73" i="17"/>
  <c r="G72" i="17"/>
  <c r="G71" i="17"/>
  <c r="G70" i="17"/>
  <c r="G69" i="17"/>
  <c r="G68" i="17"/>
  <c r="G67" i="17"/>
  <c r="G66" i="17"/>
  <c r="G65" i="17"/>
  <c r="G64" i="17"/>
  <c r="G63" i="17"/>
  <c r="G62" i="17"/>
  <c r="G61" i="17"/>
  <c r="G60" i="17"/>
  <c r="G59" i="17"/>
  <c r="G58" i="17"/>
  <c r="G57" i="17"/>
  <c r="G56" i="17"/>
  <c r="G55" i="17"/>
  <c r="G54" i="17"/>
  <c r="G53" i="17"/>
  <c r="G52" i="17"/>
  <c r="G51" i="17"/>
  <c r="G50" i="17"/>
  <c r="G49" i="17"/>
  <c r="G48" i="17"/>
  <c r="G47" i="17"/>
  <c r="G46" i="17"/>
  <c r="G45" i="17"/>
  <c r="G44" i="17"/>
  <c r="G43" i="17"/>
  <c r="G42" i="17"/>
  <c r="G41" i="17"/>
  <c r="G40" i="17"/>
  <c r="G39" i="17"/>
  <c r="G38" i="17"/>
  <c r="G37" i="17"/>
  <c r="G36" i="17"/>
  <c r="G35" i="17"/>
  <c r="G34" i="17"/>
  <c r="G33" i="17"/>
  <c r="G32" i="17"/>
  <c r="G31" i="17"/>
  <c r="G30" i="17"/>
  <c r="G29" i="17"/>
  <c r="G28" i="17"/>
  <c r="G27" i="17"/>
  <c r="G26" i="17"/>
  <c r="G25" i="17"/>
  <c r="G24" i="17"/>
  <c r="G23" i="17"/>
  <c r="G22" i="17"/>
  <c r="G21" i="17"/>
  <c r="G20" i="17"/>
  <c r="G19" i="17"/>
  <c r="G18" i="17"/>
  <c r="G17" i="17"/>
  <c r="G16" i="17"/>
  <c r="G15" i="17"/>
  <c r="G14" i="17"/>
  <c r="G13" i="17"/>
  <c r="G12" i="17"/>
  <c r="G11" i="17"/>
  <c r="G10" i="17"/>
  <c r="G9" i="17"/>
  <c r="G8" i="17"/>
  <c r="G7" i="17"/>
  <c r="G6" i="17"/>
  <c r="G5" i="17"/>
  <c r="B20" i="16"/>
  <c r="B19" i="16"/>
  <c r="B18" i="16"/>
  <c r="B17" i="16"/>
  <c r="B16" i="16"/>
  <c r="I44" i="15"/>
  <c r="H44" i="15"/>
  <c r="G44" i="15"/>
  <c r="E44" i="15"/>
  <c r="B44" i="15"/>
  <c r="A44" i="15"/>
  <c r="I43" i="15"/>
  <c r="H43" i="15"/>
  <c r="G43" i="15"/>
  <c r="E43" i="15"/>
  <c r="D43" i="15"/>
  <c r="C43" i="15"/>
  <c r="B43" i="15"/>
  <c r="A43" i="15"/>
  <c r="A42" i="15"/>
  <c r="I41" i="15"/>
  <c r="H41" i="15"/>
  <c r="G41" i="15"/>
  <c r="E41" i="15"/>
  <c r="B41" i="15"/>
  <c r="A41" i="15"/>
  <c r="B40" i="15"/>
  <c r="A40" i="15"/>
  <c r="A39" i="15"/>
  <c r="G39" i="15" s="1"/>
  <c r="I38" i="15"/>
  <c r="E38" i="15"/>
  <c r="C38" i="15"/>
  <c r="B38" i="15"/>
  <c r="A38" i="15"/>
  <c r="D38" i="15" s="1"/>
  <c r="I37" i="15"/>
  <c r="H37" i="15"/>
  <c r="D37" i="15"/>
  <c r="C37" i="15"/>
  <c r="A37" i="15"/>
  <c r="G37" i="15" s="1"/>
  <c r="H36" i="15"/>
  <c r="G36" i="15"/>
  <c r="E36" i="15"/>
  <c r="D36" i="15"/>
  <c r="C36" i="15"/>
  <c r="B36" i="15"/>
  <c r="A36" i="15"/>
  <c r="I36" i="15" s="1"/>
  <c r="A35" i="15"/>
  <c r="I34" i="15"/>
  <c r="B34" i="15"/>
  <c r="A34" i="15"/>
  <c r="G34" i="15" s="1"/>
  <c r="E33" i="15"/>
  <c r="D33" i="15"/>
  <c r="C33" i="15"/>
  <c r="B33" i="15"/>
  <c r="A33" i="15"/>
  <c r="I33" i="15" s="1"/>
  <c r="I32" i="15"/>
  <c r="E32" i="15"/>
  <c r="C32" i="15"/>
  <c r="A32" i="15"/>
  <c r="D32" i="15" s="1"/>
  <c r="I31" i="15"/>
  <c r="H31" i="15"/>
  <c r="G31" i="15"/>
  <c r="E31" i="15"/>
  <c r="D31" i="15"/>
  <c r="C31" i="15"/>
  <c r="B31" i="15"/>
  <c r="A31" i="15"/>
  <c r="B30" i="15"/>
  <c r="A30" i="15"/>
  <c r="B29" i="15"/>
  <c r="A29" i="15"/>
  <c r="D29" i="15" s="1"/>
  <c r="G28" i="15"/>
  <c r="E28" i="15"/>
  <c r="D28" i="15"/>
  <c r="C28" i="15"/>
  <c r="A28" i="15"/>
  <c r="B28" i="15" s="1"/>
  <c r="A27" i="15"/>
  <c r="I27" i="15" s="1"/>
  <c r="I26" i="15"/>
  <c r="H26" i="15"/>
  <c r="G26" i="15"/>
  <c r="E26" i="15"/>
  <c r="C26" i="15"/>
  <c r="B26" i="15"/>
  <c r="A26" i="15"/>
  <c r="D26" i="15" s="1"/>
  <c r="I25" i="15"/>
  <c r="H25" i="15"/>
  <c r="D25" i="15"/>
  <c r="C25" i="15"/>
  <c r="B25" i="15"/>
  <c r="A25" i="15"/>
  <c r="G25" i="15" s="1"/>
  <c r="A24" i="15"/>
  <c r="K24" i="15" s="1"/>
  <c r="K23" i="15"/>
  <c r="I23" i="15"/>
  <c r="B23" i="15"/>
  <c r="A23" i="15"/>
  <c r="I22" i="15"/>
  <c r="E22" i="15"/>
  <c r="D22" i="15"/>
  <c r="C22" i="15"/>
  <c r="B22" i="15"/>
  <c r="A22" i="15"/>
  <c r="K22" i="15" s="1"/>
  <c r="I21" i="15"/>
  <c r="D21" i="15"/>
  <c r="C21" i="15"/>
  <c r="B21" i="15"/>
  <c r="A21" i="15"/>
  <c r="K21" i="15" s="1"/>
  <c r="A20" i="15"/>
  <c r="K20" i="15" s="1"/>
  <c r="K19" i="15"/>
  <c r="I19" i="15"/>
  <c r="B19" i="15"/>
  <c r="A19" i="15"/>
  <c r="I18" i="15"/>
  <c r="E18" i="15"/>
  <c r="D18" i="15"/>
  <c r="C18" i="15"/>
  <c r="B18" i="15"/>
  <c r="A18" i="15"/>
  <c r="K18" i="15" s="1"/>
  <c r="I17" i="15"/>
  <c r="D17" i="15"/>
  <c r="C17" i="15"/>
  <c r="B17" i="15"/>
  <c r="A17" i="15"/>
  <c r="K17" i="15" s="1"/>
  <c r="A16" i="15"/>
  <c r="K16" i="15" s="1"/>
  <c r="K15" i="15"/>
  <c r="I15" i="15"/>
  <c r="B15" i="15"/>
  <c r="A15" i="15"/>
  <c r="I14" i="15"/>
  <c r="E14" i="15"/>
  <c r="D14" i="15"/>
  <c r="C14" i="15"/>
  <c r="B14" i="15"/>
  <c r="A14" i="15"/>
  <c r="K14" i="15" s="1"/>
  <c r="I13" i="15"/>
  <c r="D13" i="15"/>
  <c r="C13" i="15"/>
  <c r="B13" i="15"/>
  <c r="A13" i="15"/>
  <c r="K13" i="15" s="1"/>
  <c r="A12" i="15"/>
  <c r="K12" i="15" s="1"/>
  <c r="K11" i="15"/>
  <c r="I11" i="15"/>
  <c r="B11" i="15"/>
  <c r="A11" i="15"/>
  <c r="I10" i="15"/>
  <c r="E10" i="15"/>
  <c r="D10" i="15"/>
  <c r="C10" i="15"/>
  <c r="B10" i="15"/>
  <c r="A10" i="15"/>
  <c r="K10" i="15" s="1"/>
  <c r="I9" i="15"/>
  <c r="D9" i="15"/>
  <c r="C9" i="15"/>
  <c r="B9" i="15"/>
  <c r="A9" i="15"/>
  <c r="K9" i="15" s="1"/>
  <c r="A8" i="15"/>
  <c r="K8" i="15" s="1"/>
  <c r="K7" i="15"/>
  <c r="I7" i="15"/>
  <c r="B7" i="15"/>
  <c r="A7" i="15"/>
  <c r="I6" i="15"/>
  <c r="E6" i="15"/>
  <c r="D6" i="15"/>
  <c r="C6" i="15"/>
  <c r="B6" i="15"/>
  <c r="A6" i="15"/>
  <c r="K6" i="15" s="1"/>
  <c r="I5" i="15"/>
  <c r="D5" i="15"/>
  <c r="C5" i="15"/>
  <c r="B5" i="15"/>
  <c r="A5" i="15"/>
  <c r="K5" i="15" s="1"/>
  <c r="C17" i="14"/>
  <c r="C16" i="14"/>
  <c r="C15" i="14"/>
  <c r="C14" i="14"/>
  <c r="C13" i="14"/>
  <c r="C12" i="14"/>
  <c r="A8" i="14"/>
  <c r="A7" i="14"/>
  <c r="A6" i="14"/>
  <c r="F9" i="13"/>
  <c r="G9" i="13" s="1"/>
  <c r="F8" i="13"/>
  <c r="G8" i="13" s="1"/>
  <c r="G7" i="13"/>
  <c r="F7" i="13"/>
  <c r="F6" i="13"/>
  <c r="G6" i="13" s="1"/>
  <c r="G5" i="13"/>
  <c r="F5" i="13"/>
  <c r="D11" i="11"/>
  <c r="D10" i="11"/>
  <c r="C39" i="10"/>
  <c r="B39" i="10"/>
  <c r="C38" i="10"/>
  <c r="B38" i="10"/>
  <c r="C37" i="10"/>
  <c r="B37" i="10"/>
  <c r="C36" i="10"/>
  <c r="B36" i="10"/>
  <c r="C35" i="10"/>
  <c r="B35" i="10"/>
  <c r="C34" i="10"/>
  <c r="B34" i="10"/>
  <c r="C33" i="10"/>
  <c r="B33" i="10"/>
  <c r="C32" i="10"/>
  <c r="B32" i="10"/>
  <c r="C31" i="10"/>
  <c r="B31" i="10"/>
  <c r="C30" i="10"/>
  <c r="B30" i="10"/>
  <c r="D29" i="10"/>
  <c r="D30" i="10" s="1"/>
  <c r="D31" i="10" s="1"/>
  <c r="D32" i="10" s="1"/>
  <c r="D33" i="10" s="1"/>
  <c r="D34" i="10" s="1"/>
  <c r="D35" i="10" s="1"/>
  <c r="D36" i="10" s="1"/>
  <c r="D37" i="10" s="1"/>
  <c r="D38" i="10" s="1"/>
  <c r="D39" i="10" s="1"/>
  <c r="C29" i="10"/>
  <c r="B29" i="10"/>
  <c r="B24" i="10"/>
  <c r="B23" i="10"/>
  <c r="B22" i="10"/>
  <c r="C18" i="10"/>
  <c r="B18" i="10"/>
  <c r="C17" i="10"/>
  <c r="B17" i="10"/>
  <c r="C16" i="10"/>
  <c r="B16" i="10"/>
  <c r="C15" i="10"/>
  <c r="B15" i="10"/>
  <c r="C14" i="10"/>
  <c r="B14" i="10"/>
  <c r="B15" i="9"/>
  <c r="B14" i="9"/>
  <c r="B13" i="9"/>
  <c r="B12" i="9"/>
  <c r="K9" i="8"/>
  <c r="J9" i="8"/>
  <c r="I9" i="8"/>
  <c r="H9" i="8"/>
  <c r="G9" i="8"/>
  <c r="K8" i="8"/>
  <c r="J8" i="8"/>
  <c r="I8" i="8"/>
  <c r="H8" i="8"/>
  <c r="G8" i="8"/>
  <c r="K7" i="8"/>
  <c r="J7" i="8"/>
  <c r="I7" i="8"/>
  <c r="H7" i="8"/>
  <c r="G7" i="8"/>
  <c r="K6" i="8"/>
  <c r="J6" i="8"/>
  <c r="I6" i="8"/>
  <c r="H6" i="8"/>
  <c r="G6" i="8"/>
  <c r="K5" i="8"/>
  <c r="J5" i="8"/>
  <c r="I5" i="8"/>
  <c r="H5" i="8"/>
  <c r="G5" i="8"/>
  <c r="D28" i="7"/>
  <c r="B28" i="7"/>
  <c r="A28" i="7"/>
  <c r="D27" i="7"/>
  <c r="B27" i="7"/>
  <c r="A27" i="7"/>
  <c r="D26" i="7"/>
  <c r="B26" i="7"/>
  <c r="A26" i="7"/>
  <c r="D25" i="7"/>
  <c r="B25" i="7"/>
  <c r="A25" i="7"/>
  <c r="D24" i="7"/>
  <c r="B24" i="7"/>
  <c r="A24" i="7"/>
  <c r="G14" i="6"/>
  <c r="I14" i="6" s="1"/>
  <c r="G13" i="6"/>
  <c r="I13" i="6" s="1"/>
  <c r="G12" i="6"/>
  <c r="G11" i="6"/>
  <c r="G10" i="6"/>
  <c r="I10" i="6" s="1"/>
  <c r="G9" i="6"/>
  <c r="G8" i="6"/>
  <c r="I8" i="6" s="1"/>
  <c r="G7" i="6"/>
  <c r="G6" i="6"/>
  <c r="H12" i="6" s="1"/>
  <c r="G5" i="6"/>
  <c r="H45" i="4"/>
  <c r="I45" i="4" s="1"/>
  <c r="E45" i="4"/>
  <c r="D45" i="4"/>
  <c r="I44" i="4"/>
  <c r="H44" i="4"/>
  <c r="E44" i="4"/>
  <c r="D44" i="4"/>
  <c r="H43" i="4"/>
  <c r="I43" i="4" s="1"/>
  <c r="E43" i="4"/>
  <c r="D43" i="4"/>
  <c r="H42" i="4"/>
  <c r="E42" i="4"/>
  <c r="D42" i="4"/>
  <c r="H41" i="4"/>
  <c r="I41" i="4" s="1"/>
  <c r="E41" i="4"/>
  <c r="D41" i="4"/>
  <c r="H40" i="4"/>
  <c r="I40" i="4" s="1"/>
  <c r="E40" i="4"/>
  <c r="D40" i="4"/>
  <c r="H39" i="4"/>
  <c r="I39" i="4" s="1"/>
  <c r="E39" i="4"/>
  <c r="D39" i="4"/>
  <c r="H38" i="4"/>
  <c r="I38" i="4" s="1"/>
  <c r="E38" i="4"/>
  <c r="D38" i="4"/>
  <c r="H37" i="4"/>
  <c r="I37" i="4" s="1"/>
  <c r="E37" i="4"/>
  <c r="D37" i="4"/>
  <c r="H36" i="4"/>
  <c r="I36" i="4" s="1"/>
  <c r="E36" i="4"/>
  <c r="D36" i="4"/>
  <c r="H35" i="4"/>
  <c r="I35" i="4" s="1"/>
  <c r="E35" i="4"/>
  <c r="E46" i="4" s="1"/>
  <c r="D35" i="4"/>
  <c r="D46" i="4" s="1"/>
  <c r="G16" i="4"/>
  <c r="G15" i="4"/>
  <c r="G14" i="4"/>
  <c r="G13" i="4"/>
  <c r="I42" i="4" s="1"/>
  <c r="G12" i="4"/>
  <c r="C12" i="4"/>
  <c r="C11" i="7" s="1"/>
  <c r="G11" i="4"/>
  <c r="G10" i="4"/>
  <c r="G9" i="4"/>
  <c r="G8" i="4"/>
  <c r="G7" i="4"/>
  <c r="G6" i="4"/>
  <c r="G17" i="4" s="1"/>
  <c r="B3" i="4"/>
  <c r="B29" i="3"/>
  <c r="C40" i="25" s="1"/>
  <c r="B31" i="2"/>
  <c r="B27" i="2"/>
  <c r="B26" i="2"/>
  <c r="B25" i="2"/>
  <c r="B24" i="2"/>
  <c r="B23" i="2"/>
  <c r="B12" i="2"/>
  <c r="B3" i="2"/>
  <c r="C11" i="4" l="1"/>
  <c r="I7" i="6"/>
  <c r="H7" i="6"/>
  <c r="I12" i="6"/>
  <c r="D35" i="15"/>
  <c r="I35" i="15"/>
  <c r="H35" i="15"/>
  <c r="G35" i="15"/>
  <c r="E35" i="15"/>
  <c r="C35" i="15"/>
  <c r="B35" i="15"/>
  <c r="I30" i="15"/>
  <c r="H30" i="15"/>
  <c r="G30" i="15"/>
  <c r="E30" i="15"/>
  <c r="D30" i="15"/>
  <c r="C30" i="15"/>
  <c r="H8" i="6"/>
  <c r="H13" i="6"/>
  <c r="E12" i="4"/>
  <c r="C14" i="4"/>
  <c r="M9" i="23"/>
  <c r="P9" i="23"/>
  <c r="C13" i="4"/>
  <c r="C15" i="4"/>
  <c r="I9" i="6"/>
  <c r="H14" i="6"/>
  <c r="N9" i="23"/>
  <c r="D12" i="4"/>
  <c r="C16" i="4"/>
  <c r="H9" i="6"/>
  <c r="C6" i="4"/>
  <c r="I5" i="6"/>
  <c r="H10" i="6"/>
  <c r="I40" i="15"/>
  <c r="H40" i="15"/>
  <c r="G40" i="15"/>
  <c r="E40" i="15"/>
  <c r="D40" i="15"/>
  <c r="C40" i="15"/>
  <c r="C7" i="4"/>
  <c r="H5" i="6"/>
  <c r="C8" i="4"/>
  <c r="I11" i="6"/>
  <c r="H11" i="6"/>
  <c r="C9" i="4"/>
  <c r="M12" i="4"/>
  <c r="B11" i="7" s="1"/>
  <c r="H6" i="6"/>
  <c r="C10" i="4"/>
  <c r="I6" i="6"/>
  <c r="I29" i="15"/>
  <c r="H34" i="15"/>
  <c r="C16" i="22"/>
  <c r="B22" i="26"/>
  <c r="B29" i="26"/>
  <c r="I42" i="15"/>
  <c r="H42" i="15"/>
  <c r="M13" i="23"/>
  <c r="B4" i="26"/>
  <c r="B16" i="26"/>
  <c r="B23" i="26"/>
  <c r="E5" i="15"/>
  <c r="B8" i="15"/>
  <c r="E9" i="15"/>
  <c r="B12" i="15"/>
  <c r="E13" i="15"/>
  <c r="B16" i="15"/>
  <c r="E17" i="15"/>
  <c r="B20" i="15"/>
  <c r="E21" i="15"/>
  <c r="B24" i="15"/>
  <c r="E25" i="15"/>
  <c r="B27" i="15"/>
  <c r="H28" i="15"/>
  <c r="G33" i="15"/>
  <c r="G38" i="15"/>
  <c r="B42" i="15"/>
  <c r="N13" i="23"/>
  <c r="B5" i="26"/>
  <c r="B13" i="26"/>
  <c r="C8" i="15"/>
  <c r="C12" i="15"/>
  <c r="G12" i="15" s="1"/>
  <c r="H12" i="15" s="1"/>
  <c r="C16" i="15"/>
  <c r="C20" i="15"/>
  <c r="C24" i="15"/>
  <c r="C27" i="15"/>
  <c r="I28" i="15"/>
  <c r="B32" i="15"/>
  <c r="H33" i="15"/>
  <c r="B37" i="15"/>
  <c r="H38" i="15"/>
  <c r="C42" i="15"/>
  <c r="D44" i="15"/>
  <c r="C44" i="15"/>
  <c r="E49" i="20"/>
  <c r="B30" i="2" s="1"/>
  <c r="P13" i="23"/>
  <c r="B20" i="26"/>
  <c r="B27" i="26"/>
  <c r="D8" i="15"/>
  <c r="D12" i="15"/>
  <c r="D16" i="15"/>
  <c r="D20" i="15"/>
  <c r="D24" i="15"/>
  <c r="D27" i="15"/>
  <c r="D42" i="15"/>
  <c r="D6" i="22"/>
  <c r="D7" i="22" s="1"/>
  <c r="D8" i="22" s="1"/>
  <c r="D9" i="22" s="1"/>
  <c r="D10" i="22" s="1"/>
  <c r="D11" i="22" s="1"/>
  <c r="D12" i="22" s="1"/>
  <c r="D13" i="22" s="1"/>
  <c r="D14" i="22" s="1"/>
  <c r="D15" i="22" s="1"/>
  <c r="M7" i="23"/>
  <c r="M17" i="23" s="1"/>
  <c r="K17" i="23"/>
  <c r="O8" i="23" s="1"/>
  <c r="C52" i="25"/>
  <c r="C51" i="25"/>
  <c r="C49" i="25"/>
  <c r="B10" i="26"/>
  <c r="B17" i="26"/>
  <c r="E8" i="15"/>
  <c r="E12" i="15"/>
  <c r="E16" i="15"/>
  <c r="E20" i="15"/>
  <c r="E24" i="15"/>
  <c r="E27" i="15"/>
  <c r="I39" i="15"/>
  <c r="H39" i="15"/>
  <c r="E42" i="15"/>
  <c r="L17" i="23"/>
  <c r="C48" i="25"/>
  <c r="B24" i="26"/>
  <c r="E7" i="28"/>
  <c r="A6" i="28"/>
  <c r="F7" i="27"/>
  <c r="F7" i="28" s="1"/>
  <c r="A7" i="28"/>
  <c r="C7" i="15"/>
  <c r="G7" i="15" s="1"/>
  <c r="H7" i="15" s="1"/>
  <c r="C11" i="15"/>
  <c r="G11" i="15" s="1"/>
  <c r="H11" i="15" s="1"/>
  <c r="C15" i="15"/>
  <c r="G15" i="15" s="1"/>
  <c r="H15" i="15" s="1"/>
  <c r="C19" i="15"/>
  <c r="G19" i="15" s="1"/>
  <c r="H19" i="15" s="1"/>
  <c r="G20" i="15" s="1"/>
  <c r="H20" i="15" s="1"/>
  <c r="C23" i="15"/>
  <c r="G23" i="15" s="1"/>
  <c r="H23" i="15" s="1"/>
  <c r="G27" i="15"/>
  <c r="C29" i="15"/>
  <c r="G32" i="15"/>
  <c r="C34" i="15"/>
  <c r="E37" i="15"/>
  <c r="B39" i="15"/>
  <c r="G42" i="15"/>
  <c r="P7" i="23"/>
  <c r="M11" i="23"/>
  <c r="B14" i="26"/>
  <c r="B21" i="26"/>
  <c r="D7" i="15"/>
  <c r="D11" i="15"/>
  <c r="D15" i="15"/>
  <c r="D19" i="15"/>
  <c r="D23" i="15"/>
  <c r="H27" i="15"/>
  <c r="E29" i="15"/>
  <c r="H32" i="15"/>
  <c r="D34" i="15"/>
  <c r="C39" i="15"/>
  <c r="D41" i="15"/>
  <c r="C41" i="15"/>
  <c r="B11" i="26"/>
  <c r="B28" i="26"/>
  <c r="E7" i="15"/>
  <c r="I8" i="15"/>
  <c r="E11" i="15"/>
  <c r="I12" i="15"/>
  <c r="E15" i="15"/>
  <c r="I16" i="15"/>
  <c r="E19" i="15"/>
  <c r="I20" i="15"/>
  <c r="E23" i="15"/>
  <c r="I24" i="15"/>
  <c r="G29" i="15"/>
  <c r="E34" i="15"/>
  <c r="D39" i="15"/>
  <c r="M15" i="23"/>
  <c r="C50" i="25"/>
  <c r="B18" i="26"/>
  <c r="B25" i="26"/>
  <c r="H29" i="15"/>
  <c r="E39" i="15"/>
  <c r="B16" i="22"/>
  <c r="B15" i="26"/>
  <c r="M10" i="4" l="1"/>
  <c r="B9" i="7" s="1"/>
  <c r="C9" i="7"/>
  <c r="D10" i="4"/>
  <c r="O15" i="23"/>
  <c r="G24" i="15"/>
  <c r="H24" i="15" s="1"/>
  <c r="C6" i="7"/>
  <c r="D7" i="4"/>
  <c r="G10" i="15"/>
  <c r="H10" i="15" s="1"/>
  <c r="G16" i="15" s="1"/>
  <c r="H16" i="15" s="1"/>
  <c r="M7" i="4"/>
  <c r="B6" i="7" s="1"/>
  <c r="M13" i="4"/>
  <c r="B12" i="7" s="1"/>
  <c r="D13" i="4"/>
  <c r="C12" i="7"/>
  <c r="O11" i="23"/>
  <c r="G13" i="15"/>
  <c r="H13" i="15" s="1"/>
  <c r="C14" i="7"/>
  <c r="D15" i="4"/>
  <c r="M15" i="4"/>
  <c r="B14" i="7" s="1"/>
  <c r="L20" i="23"/>
  <c r="N17" i="23"/>
  <c r="O6" i="23"/>
  <c r="C8" i="7"/>
  <c r="D9" i="4"/>
  <c r="G22" i="15"/>
  <c r="H22" i="15" s="1"/>
  <c r="M9" i="4"/>
  <c r="B8" i="7" s="1"/>
  <c r="E9" i="4"/>
  <c r="O9" i="23"/>
  <c r="C5" i="7"/>
  <c r="D6" i="4"/>
  <c r="E6" i="4" s="1"/>
  <c r="M6" i="4"/>
  <c r="G6" i="15"/>
  <c r="H6" i="15" s="1"/>
  <c r="B13" i="3"/>
  <c r="O16" i="23"/>
  <c r="O14" i="23"/>
  <c r="O12" i="23"/>
  <c r="O17" i="23"/>
  <c r="L19" i="23"/>
  <c r="G5" i="15"/>
  <c r="H5" i="15" s="1"/>
  <c r="G9" i="15" s="1"/>
  <c r="H9" i="15" s="1"/>
  <c r="G17" i="15" s="1"/>
  <c r="H17" i="15" s="1"/>
  <c r="G18" i="15" s="1"/>
  <c r="H18" i="15" s="1"/>
  <c r="C13" i="7"/>
  <c r="D14" i="4"/>
  <c r="E14" i="4" s="1"/>
  <c r="M14" i="4"/>
  <c r="B13" i="7" s="1"/>
  <c r="M11" i="4"/>
  <c r="B10" i="7" s="1"/>
  <c r="C10" i="7"/>
  <c r="D11" i="4"/>
  <c r="G8" i="15"/>
  <c r="H8" i="15" s="1"/>
  <c r="O7" i="23"/>
  <c r="O13" i="23"/>
  <c r="D93" i="17"/>
  <c r="H93" i="17" s="1"/>
  <c r="D89" i="17"/>
  <c r="H89" i="17" s="1"/>
  <c r="D85" i="17"/>
  <c r="H85" i="17" s="1"/>
  <c r="D23" i="19" s="1"/>
  <c r="D95" i="17"/>
  <c r="H95" i="17" s="1"/>
  <c r="D90" i="17"/>
  <c r="H90" i="17" s="1"/>
  <c r="D84" i="17"/>
  <c r="H84" i="17" s="1"/>
  <c r="C23" i="19" s="1"/>
  <c r="D94" i="17"/>
  <c r="H94" i="17" s="1"/>
  <c r="G23" i="19" s="1"/>
  <c r="D83" i="17"/>
  <c r="H83" i="17" s="1"/>
  <c r="D88" i="17"/>
  <c r="H88" i="17" s="1"/>
  <c r="D87" i="17"/>
  <c r="H87" i="17" s="1"/>
  <c r="F23" i="19" s="1"/>
  <c r="D92" i="17"/>
  <c r="H92" i="17" s="1"/>
  <c r="D91" i="17"/>
  <c r="H91" i="17" s="1"/>
  <c r="E23" i="19" s="1"/>
  <c r="D86" i="17"/>
  <c r="H86" i="17" s="1"/>
  <c r="D8" i="4"/>
  <c r="E8" i="4" s="1"/>
  <c r="M8" i="4"/>
  <c r="B7" i="7" s="1"/>
  <c r="G14" i="15"/>
  <c r="H14" i="15" s="1"/>
  <c r="C7" i="7"/>
  <c r="C28" i="26"/>
  <c r="C26" i="26"/>
  <c r="C24" i="26"/>
  <c r="C22" i="26"/>
  <c r="C20" i="26"/>
  <c r="C18" i="26"/>
  <c r="C16" i="26"/>
  <c r="C14" i="26"/>
  <c r="C12" i="26"/>
  <c r="C10" i="26"/>
  <c r="B7" i="26"/>
  <c r="B6" i="26"/>
  <c r="C25" i="26"/>
  <c r="C11" i="26"/>
  <c r="C21" i="26"/>
  <c r="C17" i="26"/>
  <c r="C27" i="26"/>
  <c r="C13" i="26"/>
  <c r="C23" i="26"/>
  <c r="C15" i="26"/>
  <c r="C29" i="26"/>
  <c r="C19" i="26"/>
  <c r="C15" i="7"/>
  <c r="D16" i="4"/>
  <c r="M16" i="4"/>
  <c r="B15" i="7" s="1"/>
  <c r="D9" i="9"/>
  <c r="C28" i="7" s="1"/>
  <c r="D11" i="7"/>
  <c r="E11" i="7" s="1"/>
  <c r="K12" i="4"/>
  <c r="I12" i="4" s="1"/>
  <c r="G21" i="15"/>
  <c r="H21" i="15" s="1"/>
  <c r="O10" i="23"/>
  <c r="D34" i="17" l="1"/>
  <c r="H34" i="17" s="1"/>
  <c r="D43" i="17"/>
  <c r="H43" i="17" s="1"/>
  <c r="D38" i="17"/>
  <c r="H38" i="17" s="1"/>
  <c r="D33" i="17"/>
  <c r="H33" i="17" s="1"/>
  <c r="D42" i="17"/>
  <c r="H42" i="17" s="1"/>
  <c r="G19" i="19" s="1"/>
  <c r="D37" i="17"/>
  <c r="H37" i="17" s="1"/>
  <c r="D32" i="17"/>
  <c r="H32" i="17" s="1"/>
  <c r="C19" i="19" s="1"/>
  <c r="D41" i="17"/>
  <c r="H41" i="17" s="1"/>
  <c r="D36" i="17"/>
  <c r="H36" i="17" s="1"/>
  <c r="B14" i="3" s="1"/>
  <c r="D31" i="17"/>
  <c r="H31" i="17" s="1"/>
  <c r="D39" i="17"/>
  <c r="H39" i="17" s="1"/>
  <c r="E19" i="19" s="1"/>
  <c r="D40" i="17"/>
  <c r="H40" i="17" s="1"/>
  <c r="D35" i="17"/>
  <c r="H35" i="17" s="1"/>
  <c r="D16" i="17"/>
  <c r="H16" i="17" s="1"/>
  <c r="D13" i="17"/>
  <c r="H13" i="17" s="1"/>
  <c r="D10" i="17"/>
  <c r="H10" i="17" s="1"/>
  <c r="D15" i="17"/>
  <c r="H15" i="17" s="1"/>
  <c r="D12" i="17"/>
  <c r="H12" i="17" s="1"/>
  <c r="D9" i="17"/>
  <c r="H9" i="17" s="1"/>
  <c r="D6" i="17"/>
  <c r="H6" i="17" s="1"/>
  <c r="D11" i="17"/>
  <c r="H11" i="17" s="1"/>
  <c r="D7" i="17"/>
  <c r="H7" i="17" s="1"/>
  <c r="D14" i="17"/>
  <c r="H14" i="17" s="1"/>
  <c r="D17" i="17"/>
  <c r="H17" i="17" s="1"/>
  <c r="D5" i="17"/>
  <c r="H5" i="17" s="1"/>
  <c r="D8" i="17"/>
  <c r="H8" i="17" s="1"/>
  <c r="D121" i="17"/>
  <c r="H121" i="17" s="1"/>
  <c r="D117" i="17"/>
  <c r="H117" i="17" s="1"/>
  <c r="E25" i="19" s="1"/>
  <c r="D113" i="17"/>
  <c r="H113" i="17" s="1"/>
  <c r="D109" i="17"/>
  <c r="H109" i="17" s="1"/>
  <c r="D111" i="17"/>
  <c r="H111" i="17" s="1"/>
  <c r="D25" i="19" s="1"/>
  <c r="D116" i="17"/>
  <c r="H116" i="17" s="1"/>
  <c r="D115" i="17"/>
  <c r="H115" i="17" s="1"/>
  <c r="D110" i="17"/>
  <c r="H110" i="17" s="1"/>
  <c r="D120" i="17"/>
  <c r="H120" i="17" s="1"/>
  <c r="G25" i="19" s="1"/>
  <c r="D119" i="17"/>
  <c r="H119" i="17" s="1"/>
  <c r="D114" i="17"/>
  <c r="H114" i="17" s="1"/>
  <c r="D112" i="17"/>
  <c r="H112" i="17" s="1"/>
  <c r="D118" i="17"/>
  <c r="H118" i="17" s="1"/>
  <c r="E29" i="26"/>
  <c r="E27" i="26"/>
  <c r="E25" i="26"/>
  <c r="E23" i="26"/>
  <c r="E21" i="26"/>
  <c r="E19" i="26"/>
  <c r="E17" i="26"/>
  <c r="E15" i="26"/>
  <c r="E13" i="26"/>
  <c r="E11" i="26"/>
  <c r="E18" i="26"/>
  <c r="E28" i="26"/>
  <c r="E14" i="26"/>
  <c r="E24" i="26"/>
  <c r="E10" i="26"/>
  <c r="E20" i="26"/>
  <c r="E16" i="26"/>
  <c r="E26" i="26"/>
  <c r="E22" i="26"/>
  <c r="E12" i="26"/>
  <c r="D6" i="7"/>
  <c r="E6" i="7" s="1"/>
  <c r="E5" i="8"/>
  <c r="K7" i="4"/>
  <c r="I7" i="4" s="1"/>
  <c r="D6" i="9"/>
  <c r="C25" i="7" s="1"/>
  <c r="E9" i="8"/>
  <c r="D14" i="7"/>
  <c r="E14" i="7" s="1"/>
  <c r="K15" i="4"/>
  <c r="I15" i="4" s="1"/>
  <c r="K8" i="4"/>
  <c r="I8" i="4" s="1"/>
  <c r="D7" i="7"/>
  <c r="E7" i="7" s="1"/>
  <c r="D5" i="7"/>
  <c r="E5" i="7" s="1"/>
  <c r="D5" i="9"/>
  <c r="C24" i="7" s="1"/>
  <c r="K6" i="4"/>
  <c r="E15" i="4"/>
  <c r="E7" i="4"/>
  <c r="D7" i="5"/>
  <c r="D5" i="5"/>
  <c r="D6" i="5"/>
  <c r="C7" i="5"/>
  <c r="B8" i="14" s="1"/>
  <c r="B7" i="5"/>
  <c r="B5" i="7"/>
  <c r="B6" i="5"/>
  <c r="B5" i="5"/>
  <c r="B8" i="5" s="1"/>
  <c r="E7" i="5"/>
  <c r="G7" i="5" s="1"/>
  <c r="F9" i="25"/>
  <c r="E13" i="12"/>
  <c r="F13" i="12" s="1"/>
  <c r="E56" i="4"/>
  <c r="D56" i="4"/>
  <c r="J12" i="4"/>
  <c r="C56" i="4"/>
  <c r="G34" i="2"/>
  <c r="F41" i="4"/>
  <c r="H11" i="22"/>
  <c r="D53" i="17"/>
  <c r="H53" i="17" s="1"/>
  <c r="D48" i="17"/>
  <c r="H48" i="17" s="1"/>
  <c r="F20" i="19" s="1"/>
  <c r="D52" i="17"/>
  <c r="H52" i="17" s="1"/>
  <c r="E20" i="19" s="1"/>
  <c r="D47" i="17"/>
  <c r="H47" i="17" s="1"/>
  <c r="D56" i="17"/>
  <c r="H56" i="17" s="1"/>
  <c r="D51" i="17"/>
  <c r="H51" i="17" s="1"/>
  <c r="D46" i="17"/>
  <c r="H46" i="17" s="1"/>
  <c r="D55" i="17"/>
  <c r="H55" i="17" s="1"/>
  <c r="G20" i="19" s="1"/>
  <c r="D50" i="17"/>
  <c r="H50" i="17" s="1"/>
  <c r="D45" i="17"/>
  <c r="H45" i="17" s="1"/>
  <c r="C20" i="19" s="1"/>
  <c r="D44" i="17"/>
  <c r="H44" i="17" s="1"/>
  <c r="D49" i="17"/>
  <c r="H49" i="17" s="1"/>
  <c r="D54" i="17"/>
  <c r="H54" i="17" s="1"/>
  <c r="D9" i="7"/>
  <c r="E9" i="7" s="1"/>
  <c r="K10" i="4"/>
  <c r="I10" i="4" s="1"/>
  <c r="D7" i="9"/>
  <c r="C26" i="7" s="1"/>
  <c r="D8" i="9"/>
  <c r="C27" i="7" s="1"/>
  <c r="D10" i="7"/>
  <c r="E10" i="7" s="1"/>
  <c r="K11" i="4"/>
  <c r="I11" i="4" s="1"/>
  <c r="E6" i="5" s="1"/>
  <c r="G6" i="5" s="1"/>
  <c r="E7" i="8"/>
  <c r="K14" i="4"/>
  <c r="I14" i="4" s="1"/>
  <c r="D13" i="7"/>
  <c r="E13" i="7" s="1"/>
  <c r="D15" i="7"/>
  <c r="E15" i="7" s="1"/>
  <c r="K16" i="4"/>
  <c r="I16" i="4" s="1"/>
  <c r="B23" i="19"/>
  <c r="H23" i="19" s="1"/>
  <c r="K11" i="17"/>
  <c r="F12" i="4"/>
  <c r="E11" i="4"/>
  <c r="D8" i="7"/>
  <c r="E8" i="7" s="1"/>
  <c r="K9" i="4"/>
  <c r="I9" i="4" s="1"/>
  <c r="E6" i="8"/>
  <c r="K13" i="4"/>
  <c r="I13" i="4" s="1"/>
  <c r="D12" i="7"/>
  <c r="E12" i="7" s="1"/>
  <c r="E8" i="8"/>
  <c r="E16" i="4"/>
  <c r="D28" i="26"/>
  <c r="D26" i="26"/>
  <c r="D24" i="26"/>
  <c r="D22" i="26"/>
  <c r="D20" i="26"/>
  <c r="D18" i="26"/>
  <c r="D16" i="26"/>
  <c r="D14" i="26"/>
  <c r="D12" i="26"/>
  <c r="D10" i="26"/>
  <c r="D11" i="26"/>
  <c r="D21" i="26"/>
  <c r="D17" i="26"/>
  <c r="D27" i="26"/>
  <c r="D13" i="26"/>
  <c r="D23" i="26"/>
  <c r="D19" i="26"/>
  <c r="D25" i="26"/>
  <c r="D15" i="26"/>
  <c r="D29" i="26"/>
  <c r="E13" i="4"/>
  <c r="E10" i="4"/>
  <c r="B17" i="29"/>
  <c r="E14" i="29"/>
  <c r="C12" i="29"/>
  <c r="B5" i="29"/>
  <c r="B14" i="29"/>
  <c r="E11" i="29"/>
  <c r="C9" i="29"/>
  <c r="C16" i="29"/>
  <c r="B9" i="29"/>
  <c r="E6" i="29"/>
  <c r="B11" i="29"/>
  <c r="E8" i="29"/>
  <c r="C6" i="29"/>
  <c r="E15" i="29"/>
  <c r="C13" i="29"/>
  <c r="B6" i="29"/>
  <c r="E17" i="29"/>
  <c r="C15" i="29"/>
  <c r="B8" i="29"/>
  <c r="E5" i="29"/>
  <c r="B10" i="19"/>
  <c r="B7" i="19"/>
  <c r="B15" i="29"/>
  <c r="E12" i="29"/>
  <c r="C10" i="29"/>
  <c r="B4" i="21"/>
  <c r="C17" i="29"/>
  <c r="B10" i="29"/>
  <c r="E7" i="29"/>
  <c r="C5" i="29"/>
  <c r="B3" i="21"/>
  <c r="E16" i="29"/>
  <c r="C6" i="19"/>
  <c r="B16" i="29"/>
  <c r="C11" i="19"/>
  <c r="C8" i="29"/>
  <c r="B11" i="19"/>
  <c r="B3" i="19"/>
  <c r="C7" i="29"/>
  <c r="C14" i="29"/>
  <c r="B7" i="29"/>
  <c r="C10" i="19"/>
  <c r="D10" i="19" s="1"/>
  <c r="E13" i="29"/>
  <c r="C9" i="19"/>
  <c r="B13" i="29"/>
  <c r="B12" i="29"/>
  <c r="C8" i="19"/>
  <c r="E9" i="29"/>
  <c r="C7" i="19"/>
  <c r="D7" i="19" s="1"/>
  <c r="C11" i="29"/>
  <c r="E10" i="29"/>
  <c r="B8" i="19"/>
  <c r="B7" i="2"/>
  <c r="B15" i="3"/>
  <c r="B8" i="2" l="1"/>
  <c r="B17" i="3"/>
  <c r="B11" i="2" s="1"/>
  <c r="F12" i="29"/>
  <c r="D12" i="29"/>
  <c r="H15" i="22"/>
  <c r="F13" i="25"/>
  <c r="D60" i="4"/>
  <c r="C60" i="4"/>
  <c r="F45" i="4"/>
  <c r="E17" i="12"/>
  <c r="F17" i="12" s="1"/>
  <c r="K34" i="2"/>
  <c r="E60" i="4"/>
  <c r="J16" i="4"/>
  <c r="B9" i="2"/>
  <c r="B16" i="3"/>
  <c r="B10" i="2" s="1"/>
  <c r="D11" i="29"/>
  <c r="F11" i="29"/>
  <c r="D7" i="29"/>
  <c r="F7" i="29"/>
  <c r="B18" i="29"/>
  <c r="D133" i="17"/>
  <c r="H133" i="17" s="1"/>
  <c r="G26" i="19" s="1"/>
  <c r="D129" i="17"/>
  <c r="H129" i="17" s="1"/>
  <c r="D125" i="17"/>
  <c r="H125" i="17" s="1"/>
  <c r="D127" i="17"/>
  <c r="H127" i="17" s="1"/>
  <c r="D122" i="17"/>
  <c r="H122" i="17" s="1"/>
  <c r="D132" i="17"/>
  <c r="H132" i="17" s="1"/>
  <c r="D131" i="17"/>
  <c r="H131" i="17" s="1"/>
  <c r="D126" i="17"/>
  <c r="H126" i="17" s="1"/>
  <c r="F26" i="19" s="1"/>
  <c r="D130" i="17"/>
  <c r="H130" i="17" s="1"/>
  <c r="E26" i="19" s="1"/>
  <c r="D124" i="17"/>
  <c r="H124" i="17" s="1"/>
  <c r="D128" i="17"/>
  <c r="H128" i="17" s="1"/>
  <c r="D134" i="17"/>
  <c r="H134" i="17" s="1"/>
  <c r="D123" i="17"/>
  <c r="H123" i="17" s="1"/>
  <c r="C26" i="19" s="1"/>
  <c r="D145" i="17"/>
  <c r="H145" i="17" s="1"/>
  <c r="D141" i="17"/>
  <c r="H141" i="17" s="1"/>
  <c r="D137" i="17"/>
  <c r="H137" i="17" s="1"/>
  <c r="D27" i="19" s="1"/>
  <c r="D143" i="17"/>
  <c r="H143" i="17" s="1"/>
  <c r="E27" i="19" s="1"/>
  <c r="D138" i="17"/>
  <c r="H138" i="17" s="1"/>
  <c r="D147" i="17"/>
  <c r="H147" i="17" s="1"/>
  <c r="D142" i="17"/>
  <c r="H142" i="17" s="1"/>
  <c r="D136" i="17"/>
  <c r="H136" i="17" s="1"/>
  <c r="D146" i="17"/>
  <c r="H146" i="17" s="1"/>
  <c r="G27" i="19" s="1"/>
  <c r="D135" i="17"/>
  <c r="H135" i="17" s="1"/>
  <c r="D140" i="17"/>
  <c r="H140" i="17" s="1"/>
  <c r="D144" i="17"/>
  <c r="H144" i="17" s="1"/>
  <c r="D139" i="17"/>
  <c r="H139" i="17" s="1"/>
  <c r="F27" i="19" s="1"/>
  <c r="K8" i="17"/>
  <c r="B20" i="19"/>
  <c r="F9" i="4"/>
  <c r="C25" i="19"/>
  <c r="D17" i="19"/>
  <c r="B19" i="19"/>
  <c r="K7" i="17"/>
  <c r="F8" i="4"/>
  <c r="F10" i="29"/>
  <c r="D10" i="29"/>
  <c r="D69" i="17"/>
  <c r="H69" i="17" s="1"/>
  <c r="D65" i="17"/>
  <c r="H65" i="17" s="1"/>
  <c r="E21" i="19" s="1"/>
  <c r="D61" i="17"/>
  <c r="H61" i="17" s="1"/>
  <c r="F21" i="19" s="1"/>
  <c r="D57" i="17"/>
  <c r="H57" i="17" s="1"/>
  <c r="D63" i="17"/>
  <c r="H63" i="17" s="1"/>
  <c r="D58" i="17"/>
  <c r="H58" i="17" s="1"/>
  <c r="D68" i="17"/>
  <c r="H68" i="17" s="1"/>
  <c r="G21" i="19" s="1"/>
  <c r="D67" i="17"/>
  <c r="H67" i="17" s="1"/>
  <c r="D62" i="17"/>
  <c r="H62" i="17" s="1"/>
  <c r="D66" i="17"/>
  <c r="H66" i="17" s="1"/>
  <c r="D60" i="17"/>
  <c r="H60" i="17" s="1"/>
  <c r="D64" i="17"/>
  <c r="H64" i="17" s="1"/>
  <c r="D59" i="17"/>
  <c r="H59" i="17" s="1"/>
  <c r="D21" i="19" s="1"/>
  <c r="F11" i="25"/>
  <c r="H13" i="22"/>
  <c r="E15" i="12"/>
  <c r="F15" i="12" s="1"/>
  <c r="J14" i="4"/>
  <c r="I34" i="2"/>
  <c r="E58" i="4"/>
  <c r="C58" i="4"/>
  <c r="F43" i="4"/>
  <c r="D58" i="4"/>
  <c r="C17" i="19"/>
  <c r="D17" i="29"/>
  <c r="F17" i="29"/>
  <c r="E11" i="19"/>
  <c r="D11" i="19"/>
  <c r="D105" i="17"/>
  <c r="H105" i="17" s="1"/>
  <c r="D101" i="17"/>
  <c r="H101" i="17" s="1"/>
  <c r="D97" i="17"/>
  <c r="H97" i="17" s="1"/>
  <c r="D106" i="17"/>
  <c r="H106" i="17" s="1"/>
  <c r="D100" i="17"/>
  <c r="H100" i="17" s="1"/>
  <c r="F24" i="19" s="1"/>
  <c r="D99" i="17"/>
  <c r="H99" i="17" s="1"/>
  <c r="D104" i="17"/>
  <c r="H104" i="17" s="1"/>
  <c r="E24" i="19" s="1"/>
  <c r="D103" i="17"/>
  <c r="H103" i="17" s="1"/>
  <c r="D98" i="17"/>
  <c r="H98" i="17" s="1"/>
  <c r="D24" i="19" s="1"/>
  <c r="D108" i="17"/>
  <c r="H108" i="17" s="1"/>
  <c r="D96" i="17"/>
  <c r="H96" i="17" s="1"/>
  <c r="D102" i="17"/>
  <c r="H102" i="17" s="1"/>
  <c r="D107" i="17"/>
  <c r="H107" i="17" s="1"/>
  <c r="G24" i="19" s="1"/>
  <c r="C57" i="4"/>
  <c r="F10" i="25"/>
  <c r="H12" i="22"/>
  <c r="E14" i="12"/>
  <c r="F14" i="12" s="1"/>
  <c r="D57" i="4"/>
  <c r="J13" i="4"/>
  <c r="F42" i="4"/>
  <c r="H34" i="2"/>
  <c r="E57" i="4"/>
  <c r="AB12" i="4"/>
  <c r="G41" i="4"/>
  <c r="AD12" i="4"/>
  <c r="AC12" i="4"/>
  <c r="H7" i="22"/>
  <c r="E9" i="12"/>
  <c r="F9" i="12" s="1"/>
  <c r="F5" i="25"/>
  <c r="E52" i="4"/>
  <c r="D52" i="4"/>
  <c r="C52" i="4"/>
  <c r="J8" i="4"/>
  <c r="F37" i="4"/>
  <c r="C34" i="2"/>
  <c r="F17" i="19"/>
  <c r="D8" i="29"/>
  <c r="F8" i="29"/>
  <c r="B6" i="19"/>
  <c r="E7" i="19"/>
  <c r="H10" i="22"/>
  <c r="F8" i="25"/>
  <c r="F34" i="2"/>
  <c r="F40" i="4"/>
  <c r="J11" i="4"/>
  <c r="E55" i="4"/>
  <c r="D55" i="4"/>
  <c r="E12" i="12"/>
  <c r="F12" i="12" s="1"/>
  <c r="C55" i="4"/>
  <c r="D20" i="19"/>
  <c r="E16" i="12"/>
  <c r="F16" i="12" s="1"/>
  <c r="F12" i="25"/>
  <c r="J15" i="4"/>
  <c r="J34" i="2"/>
  <c r="E59" i="4"/>
  <c r="F44" i="4"/>
  <c r="D59" i="4"/>
  <c r="C59" i="4"/>
  <c r="H14" i="22"/>
  <c r="K13" i="17"/>
  <c r="B25" i="19"/>
  <c r="F14" i="4"/>
  <c r="F13" i="29"/>
  <c r="D13" i="29"/>
  <c r="C20" i="4"/>
  <c r="B15" i="2" s="1"/>
  <c r="F25" i="4"/>
  <c r="C24" i="4"/>
  <c r="C23" i="4"/>
  <c r="I6" i="4"/>
  <c r="F20" i="4"/>
  <c r="D8" i="19"/>
  <c r="F6" i="29"/>
  <c r="D6" i="29"/>
  <c r="B9" i="19"/>
  <c r="D9" i="19"/>
  <c r="D6" i="19"/>
  <c r="C12" i="19"/>
  <c r="E10" i="19"/>
  <c r="F6" i="25"/>
  <c r="E10" i="12"/>
  <c r="F10" i="12" s="1"/>
  <c r="E53" i="4"/>
  <c r="D53" i="4"/>
  <c r="C53" i="4"/>
  <c r="F38" i="4"/>
  <c r="J9" i="4"/>
  <c r="D34" i="2"/>
  <c r="H8" i="22"/>
  <c r="F25" i="19"/>
  <c r="E18" i="29"/>
  <c r="C7" i="14"/>
  <c r="D19" i="19"/>
  <c r="D16" i="29"/>
  <c r="F16" i="29"/>
  <c r="D16" i="21"/>
  <c r="D12" i="21"/>
  <c r="D8" i="21"/>
  <c r="D15" i="21"/>
  <c r="D11" i="21"/>
  <c r="D7" i="21"/>
  <c r="D14" i="21"/>
  <c r="D10" i="21"/>
  <c r="C14" i="21"/>
  <c r="C10" i="21"/>
  <c r="C8" i="21"/>
  <c r="D13" i="21"/>
  <c r="C13" i="21"/>
  <c r="C7" i="21"/>
  <c r="C12" i="21"/>
  <c r="D17" i="21"/>
  <c r="C17" i="21"/>
  <c r="C11" i="21"/>
  <c r="C16" i="21"/>
  <c r="D9" i="21"/>
  <c r="C9" i="21"/>
  <c r="C15" i="21"/>
  <c r="F9" i="29"/>
  <c r="D9" i="29"/>
  <c r="D81" i="17"/>
  <c r="H81" i="17" s="1"/>
  <c r="G22" i="19" s="1"/>
  <c r="D77" i="17"/>
  <c r="H77" i="17" s="1"/>
  <c r="D73" i="17"/>
  <c r="H73" i="17" s="1"/>
  <c r="D79" i="17"/>
  <c r="H79" i="17" s="1"/>
  <c r="D74" i="17"/>
  <c r="H74" i="17" s="1"/>
  <c r="F22" i="19" s="1"/>
  <c r="D78" i="17"/>
  <c r="H78" i="17" s="1"/>
  <c r="E22" i="19" s="1"/>
  <c r="D72" i="17"/>
  <c r="H72" i="17" s="1"/>
  <c r="D22" i="19" s="1"/>
  <c r="D82" i="17"/>
  <c r="H82" i="17" s="1"/>
  <c r="D71" i="17"/>
  <c r="H71" i="17" s="1"/>
  <c r="D76" i="17"/>
  <c r="H76" i="17" s="1"/>
  <c r="D80" i="17"/>
  <c r="H80" i="17" s="1"/>
  <c r="D70" i="17"/>
  <c r="H70" i="17" s="1"/>
  <c r="D75" i="17"/>
  <c r="H75" i="17" s="1"/>
  <c r="C6" i="14"/>
  <c r="D8" i="5"/>
  <c r="E17" i="19"/>
  <c r="E8" i="19"/>
  <c r="C18" i="29"/>
  <c r="F18" i="29" s="1"/>
  <c r="D5" i="29"/>
  <c r="F5" i="29"/>
  <c r="F15" i="29"/>
  <c r="D15" i="29"/>
  <c r="B13" i="12"/>
  <c r="C13" i="12" s="1"/>
  <c r="H12" i="4"/>
  <c r="B56" i="4"/>
  <c r="F11" i="22"/>
  <c r="F7" i="25"/>
  <c r="E11" i="12"/>
  <c r="F11" i="12" s="1"/>
  <c r="H9" i="22"/>
  <c r="C54" i="4"/>
  <c r="J10" i="4"/>
  <c r="E34" i="2"/>
  <c r="F39" i="4"/>
  <c r="E54" i="4"/>
  <c r="D54" i="4"/>
  <c r="C8" i="14"/>
  <c r="D8" i="14" s="1"/>
  <c r="F7" i="5"/>
  <c r="F4" i="25"/>
  <c r="H6" i="22"/>
  <c r="E8" i="12"/>
  <c r="C51" i="4"/>
  <c r="F36" i="4"/>
  <c r="J7" i="4"/>
  <c r="B34" i="2"/>
  <c r="B17" i="14"/>
  <c r="G17" i="19"/>
  <c r="F14" i="29"/>
  <c r="D14" i="29"/>
  <c r="D29" i="17"/>
  <c r="H29" i="17" s="1"/>
  <c r="G18" i="19" s="1"/>
  <c r="D24" i="17"/>
  <c r="H24" i="17" s="1"/>
  <c r="D19" i="17"/>
  <c r="H19" i="17" s="1"/>
  <c r="C18" i="19" s="1"/>
  <c r="D28" i="17"/>
  <c r="H28" i="17" s="1"/>
  <c r="D23" i="17"/>
  <c r="H23" i="17" s="1"/>
  <c r="D18" i="17"/>
  <c r="H18" i="17" s="1"/>
  <c r="D27" i="17"/>
  <c r="H27" i="17" s="1"/>
  <c r="D22" i="17"/>
  <c r="H22" i="17" s="1"/>
  <c r="D26" i="17"/>
  <c r="H26" i="17" s="1"/>
  <c r="E18" i="19" s="1"/>
  <c r="D21" i="17"/>
  <c r="H21" i="17" s="1"/>
  <c r="B12" i="14" s="1"/>
  <c r="D20" i="17"/>
  <c r="H20" i="17" s="1"/>
  <c r="D18" i="19" s="1"/>
  <c r="D30" i="17"/>
  <c r="H30" i="17" s="1"/>
  <c r="D25" i="17"/>
  <c r="H25" i="17" s="1"/>
  <c r="C26" i="30"/>
  <c r="D26" i="30" s="1"/>
  <c r="F26" i="30" s="1"/>
  <c r="C24" i="30"/>
  <c r="D24" i="30" s="1"/>
  <c r="F24" i="30" s="1"/>
  <c r="C22" i="30"/>
  <c r="D22" i="30" s="1"/>
  <c r="F22" i="30" s="1"/>
  <c r="C20" i="30"/>
  <c r="D20" i="30" s="1"/>
  <c r="F20" i="30" s="1"/>
  <c r="C18" i="30"/>
  <c r="D18" i="30" s="1"/>
  <c r="F18" i="30" s="1"/>
  <c r="C16" i="30"/>
  <c r="D16" i="30" s="1"/>
  <c r="F16" i="30" s="1"/>
  <c r="C14" i="30"/>
  <c r="D14" i="30" s="1"/>
  <c r="F14" i="30" s="1"/>
  <c r="C12" i="30"/>
  <c r="D12" i="30" s="1"/>
  <c r="F12" i="30" s="1"/>
  <c r="C10" i="30"/>
  <c r="D10" i="30" s="1"/>
  <c r="F10" i="30" s="1"/>
  <c r="C8" i="30"/>
  <c r="D8" i="30" s="1"/>
  <c r="F8" i="30" s="1"/>
  <c r="C25" i="30"/>
  <c r="D25" i="30" s="1"/>
  <c r="F25" i="30" s="1"/>
  <c r="C23" i="30"/>
  <c r="D23" i="30" s="1"/>
  <c r="F23" i="30" s="1"/>
  <c r="C21" i="30"/>
  <c r="D21" i="30" s="1"/>
  <c r="F21" i="30" s="1"/>
  <c r="C19" i="30"/>
  <c r="D19" i="30" s="1"/>
  <c r="F19" i="30" s="1"/>
  <c r="C17" i="30"/>
  <c r="D17" i="30" s="1"/>
  <c r="F17" i="30" s="1"/>
  <c r="C15" i="30"/>
  <c r="D15" i="30" s="1"/>
  <c r="F15" i="30" s="1"/>
  <c r="C13" i="30"/>
  <c r="D13" i="30" s="1"/>
  <c r="F13" i="30" s="1"/>
  <c r="C11" i="30"/>
  <c r="D11" i="30" s="1"/>
  <c r="F11" i="30" s="1"/>
  <c r="C9" i="30"/>
  <c r="D9" i="30" s="1"/>
  <c r="F9" i="30" s="1"/>
  <c r="C7" i="30"/>
  <c r="D7" i="30" s="1"/>
  <c r="B17" i="19"/>
  <c r="H17" i="19" s="1"/>
  <c r="K5" i="17"/>
  <c r="F6" i="4"/>
  <c r="F19" i="19"/>
  <c r="D12" i="14" l="1"/>
  <c r="E12" i="14"/>
  <c r="AD10" i="4"/>
  <c r="AC10" i="4"/>
  <c r="AB10" i="4"/>
  <c r="G39" i="4"/>
  <c r="C22" i="19"/>
  <c r="F28" i="25"/>
  <c r="F24" i="25"/>
  <c r="C4" i="25"/>
  <c r="B32" i="21"/>
  <c r="B26" i="21"/>
  <c r="F23" i="25"/>
  <c r="B31" i="21"/>
  <c r="B25" i="21"/>
  <c r="F27" i="25"/>
  <c r="F26" i="25"/>
  <c r="C7" i="25"/>
  <c r="B29" i="21"/>
  <c r="B23" i="21"/>
  <c r="F21" i="25"/>
  <c r="C5" i="25"/>
  <c r="F22" i="25"/>
  <c r="F3" i="25"/>
  <c r="B24" i="21"/>
  <c r="B30" i="21"/>
  <c r="B22" i="21"/>
  <c r="F20" i="25"/>
  <c r="B28" i="21"/>
  <c r="F25" i="25"/>
  <c r="F29" i="25"/>
  <c r="B27" i="21"/>
  <c r="E50" i="4"/>
  <c r="E7" i="12"/>
  <c r="D50" i="4"/>
  <c r="C50" i="4"/>
  <c r="I17" i="4"/>
  <c r="J17" i="4" s="1"/>
  <c r="A34" i="2"/>
  <c r="C6" i="25"/>
  <c r="F19" i="25"/>
  <c r="F35" i="4"/>
  <c r="F46" i="4" s="1"/>
  <c r="J6" i="4"/>
  <c r="H5" i="22"/>
  <c r="E5" i="5"/>
  <c r="B24" i="19"/>
  <c r="H24" i="19" s="1"/>
  <c r="K12" i="17"/>
  <c r="F13" i="4"/>
  <c r="H20" i="19"/>
  <c r="G44" i="4"/>
  <c r="AD15" i="4"/>
  <c r="AB15" i="4"/>
  <c r="AC15" i="4"/>
  <c r="G42" i="4"/>
  <c r="AC13" i="4"/>
  <c r="AD13" i="4"/>
  <c r="AB13" i="4"/>
  <c r="B7" i="12"/>
  <c r="C7" i="12" s="1"/>
  <c r="B50" i="4"/>
  <c r="H6" i="4"/>
  <c r="F5" i="22"/>
  <c r="E9" i="19"/>
  <c r="F7" i="22"/>
  <c r="B9" i="12"/>
  <c r="C9" i="12" s="1"/>
  <c r="B52" i="4"/>
  <c r="H8" i="4"/>
  <c r="F16" i="4"/>
  <c r="K15" i="17"/>
  <c r="B27" i="19"/>
  <c r="B13" i="14"/>
  <c r="AD9" i="4"/>
  <c r="G38" i="4"/>
  <c r="AC9" i="4"/>
  <c r="AB9" i="4"/>
  <c r="D26" i="19"/>
  <c r="H19" i="19"/>
  <c r="C27" i="19"/>
  <c r="AC11" i="4"/>
  <c r="AB11" i="4"/>
  <c r="G40" i="4"/>
  <c r="AD11" i="4"/>
  <c r="H25" i="19"/>
  <c r="C24" i="19"/>
  <c r="F8" i="14"/>
  <c r="E8" i="14"/>
  <c r="E17" i="14"/>
  <c r="D17" i="14"/>
  <c r="F18" i="19"/>
  <c r="B22" i="19"/>
  <c r="H22" i="19" s="1"/>
  <c r="K10" i="17"/>
  <c r="F11" i="4"/>
  <c r="C34" i="25"/>
  <c r="C33" i="25"/>
  <c r="C32" i="25"/>
  <c r="F27" i="4"/>
  <c r="F26" i="4"/>
  <c r="F28" i="4" s="1"/>
  <c r="B18" i="2"/>
  <c r="C35" i="25"/>
  <c r="C21" i="19"/>
  <c r="B14" i="14"/>
  <c r="AD8" i="4"/>
  <c r="AC8" i="4"/>
  <c r="AB8" i="4"/>
  <c r="G37" i="4"/>
  <c r="B15" i="14"/>
  <c r="E6" i="19"/>
  <c r="B12" i="19"/>
  <c r="D12" i="19" s="1"/>
  <c r="C4" i="30"/>
  <c r="B32" i="2" s="1"/>
  <c r="F7" i="30"/>
  <c r="AB14" i="4"/>
  <c r="AC14" i="4"/>
  <c r="G43" i="4"/>
  <c r="AD14" i="4"/>
  <c r="F13" i="22"/>
  <c r="B58" i="4"/>
  <c r="H14" i="4"/>
  <c r="B15" i="12"/>
  <c r="C15" i="12" s="1"/>
  <c r="B18" i="19"/>
  <c r="H18" i="19" s="1"/>
  <c r="K6" i="17"/>
  <c r="K16" i="17" s="1"/>
  <c r="F7" i="4"/>
  <c r="AB7" i="4"/>
  <c r="G36" i="4"/>
  <c r="AD7" i="4"/>
  <c r="AC7" i="4"/>
  <c r="C21" i="4"/>
  <c r="B16" i="14"/>
  <c r="K9" i="17"/>
  <c r="B21" i="19"/>
  <c r="F10" i="4"/>
  <c r="B53" i="4"/>
  <c r="B10" i="12"/>
  <c r="C10" i="12" s="1"/>
  <c r="H9" i="4"/>
  <c r="F8" i="22"/>
  <c r="B26" i="19"/>
  <c r="H26" i="19" s="1"/>
  <c r="K14" i="17"/>
  <c r="F15" i="4"/>
  <c r="AD16" i="4"/>
  <c r="AC16" i="4"/>
  <c r="G45" i="4"/>
  <c r="AB16" i="4"/>
  <c r="H27" i="19" l="1"/>
  <c r="F7" i="12"/>
  <c r="F15" i="22"/>
  <c r="B17" i="12"/>
  <c r="C17" i="12" s="1"/>
  <c r="H16" i="4"/>
  <c r="B60" i="4"/>
  <c r="G5" i="5"/>
  <c r="E8" i="5"/>
  <c r="G8" i="5" s="1"/>
  <c r="AC6" i="4"/>
  <c r="AD6" i="4"/>
  <c r="AB6" i="4"/>
  <c r="G35" i="4"/>
  <c r="C22" i="4"/>
  <c r="F6" i="22"/>
  <c r="B8" i="12"/>
  <c r="C8" i="12" s="1"/>
  <c r="F8" i="12" s="1"/>
  <c r="H7" i="4"/>
  <c r="B51" i="4"/>
  <c r="D51" i="4"/>
  <c r="D61" i="4" s="1"/>
  <c r="E51" i="4"/>
  <c r="D15" i="14"/>
  <c r="E15" i="14"/>
  <c r="B11" i="12"/>
  <c r="C11" i="12" s="1"/>
  <c r="C21" i="12" s="1"/>
  <c r="F9" i="22"/>
  <c r="B54" i="4"/>
  <c r="H10" i="4"/>
  <c r="H21" i="19"/>
  <c r="C5" i="5"/>
  <c r="E16" i="14"/>
  <c r="D16" i="14"/>
  <c r="F21" i="4"/>
  <c r="F22" i="4" s="1"/>
  <c r="B16" i="2"/>
  <c r="F10" i="22"/>
  <c r="B12" i="12"/>
  <c r="C12" i="12" s="1"/>
  <c r="B55" i="4"/>
  <c r="H11" i="4"/>
  <c r="H17" i="4" s="1"/>
  <c r="C6" i="5"/>
  <c r="E61" i="4"/>
  <c r="D7" i="12"/>
  <c r="D8" i="12" s="1"/>
  <c r="D9" i="12" s="1"/>
  <c r="D10" i="12" s="1"/>
  <c r="B16" i="12"/>
  <c r="C16" i="12" s="1"/>
  <c r="H15" i="4"/>
  <c r="B59" i="4"/>
  <c r="F14" i="22"/>
  <c r="D14" i="14"/>
  <c r="E14" i="14"/>
  <c r="E13" i="14"/>
  <c r="D13" i="14"/>
  <c r="F17" i="4"/>
  <c r="B14" i="12"/>
  <c r="C14" i="12" s="1"/>
  <c r="B57" i="4"/>
  <c r="F12" i="22"/>
  <c r="H13" i="4"/>
  <c r="B19" i="2" l="1"/>
  <c r="F23" i="4"/>
  <c r="B20" i="2" s="1"/>
  <c r="D11" i="12"/>
  <c r="D12" i="12" s="1"/>
  <c r="D13" i="12" s="1"/>
  <c r="D14" i="12" s="1"/>
  <c r="D15" i="12" s="1"/>
  <c r="D16" i="12" s="1"/>
  <c r="D17" i="12" s="1"/>
  <c r="B6" i="14"/>
  <c r="C8" i="5"/>
  <c r="F8" i="5" s="1"/>
  <c r="F5" i="5"/>
  <c r="B7" i="14"/>
  <c r="F6" i="5"/>
  <c r="C39" i="25"/>
  <c r="C43" i="25" s="1"/>
  <c r="C44" i="25" s="1"/>
  <c r="C8" i="25"/>
  <c r="B17" i="2"/>
  <c r="D7" i="14" l="1"/>
  <c r="E7" i="14"/>
  <c r="F7" i="14"/>
  <c r="D6" i="14"/>
  <c r="F6" i="14"/>
  <c r="E6" i="14"/>
  <c r="C20" i="12"/>
  <c r="C19" i="12"/>
</calcChain>
</file>

<file path=xl/sharedStrings.xml><?xml version="1.0" encoding="utf-8"?>
<sst xmlns="http://schemas.openxmlformats.org/spreadsheetml/2006/main" count="1517" uniqueCount="691">
  <si>
    <t>Дашборды — все диаграммы книги</t>
  </si>
  <si>
    <t>Копии всех диаграмм со всех листов (данные тянутся с исходных листов). Слева указан лист-источник.</t>
  </si>
  <si>
    <t>1. Дашборд</t>
  </si>
  <si>
    <t>2. Дашборд</t>
  </si>
  <si>
    <t>3. Дорожная карта</t>
  </si>
  <si>
    <t>4. Дорожная карта</t>
  </si>
  <si>
    <t>5. Дорожная карта</t>
  </si>
  <si>
    <t>6. Кварталы</t>
  </si>
  <si>
    <t>7. Кварталы</t>
  </si>
  <si>
    <t>8. Квартальный roadmap</t>
  </si>
  <si>
    <t>9. Релизы</t>
  </si>
  <si>
    <t>10. Вехи</t>
  </si>
  <si>
    <t>11. Технический долг</t>
  </si>
  <si>
    <t>12. Технический долг</t>
  </si>
  <si>
    <t>13. Технический долг</t>
  </si>
  <si>
    <t>14. Бюджет</t>
  </si>
  <si>
    <t>15. OKR</t>
  </si>
  <si>
    <t>16. Ёмкость на горизонт</t>
  </si>
  <si>
    <t>17. Гант</t>
  </si>
  <si>
    <t>18. Загрузка по ролям</t>
  </si>
  <si>
    <t>19. Сгорание</t>
  </si>
  <si>
    <t>20. Сгорание</t>
  </si>
  <si>
    <t>21. Качество</t>
  </si>
  <si>
    <t>22. Баги</t>
  </si>
  <si>
    <t>23. Баги</t>
  </si>
  <si>
    <t>24. Баги</t>
  </si>
  <si>
    <t>25. CFD</t>
  </si>
  <si>
    <t>26. Метрики и прогноз</t>
  </si>
  <si>
    <t>27. Метрики и прогноз</t>
  </si>
  <si>
    <t>28. Метрики и прогноз</t>
  </si>
  <si>
    <t>29. Метрики и прогноз</t>
  </si>
  <si>
    <t>30. Метрики и прогноз</t>
  </si>
  <si>
    <t>31. Cycle time</t>
  </si>
  <si>
    <t>32. Риски</t>
  </si>
  <si>
    <t>33. Матрица рисков</t>
  </si>
  <si>
    <t>34. Матрица рисков</t>
  </si>
  <si>
    <t>35. Распределение</t>
  </si>
  <si>
    <t>36. Time to Market</t>
  </si>
  <si>
    <t>Дашборд спринт-планирования</t>
  </si>
  <si>
    <t>Цель спринта:</t>
  </si>
  <si>
    <t>Показатели тянутся с других листов; RAG-цвет — по порогам. Правьте исходные данные.</t>
  </si>
  <si>
    <t>Текущий спринт</t>
  </si>
  <si>
    <t>№ спринта</t>
  </si>
  <si>
    <t>Трудомощность (дн)</t>
  </si>
  <si>
    <t>Трудоёмкость (дн)</t>
  </si>
  <si>
    <t>Загрузка</t>
  </si>
  <si>
    <t>Баланс (дн)</t>
  </si>
  <si>
    <t>Готовность DoD</t>
  </si>
  <si>
    <t>Динамика и прогноз</t>
  </si>
  <si>
    <t>Закрытых спринтов</t>
  </si>
  <si>
    <t>Средняя velocity (дн)</t>
  </si>
  <si>
    <t>Средний % выполнения</t>
  </si>
  <si>
    <t>Остаток бэклога (дн)</t>
  </si>
  <si>
    <t>Спринтов до завершения</t>
  </si>
  <si>
    <t>Ожидаемая дата</t>
  </si>
  <si>
    <t>Качество, точность, риски</t>
  </si>
  <si>
    <t>Коэфф. точности оценок</t>
  </si>
  <si>
    <t>Багов найдено (всего)</t>
  </si>
  <si>
    <t>Багов открыто</t>
  </si>
  <si>
    <t>Заблокировано задач</t>
  </si>
  <si>
    <t>Дней в блоке (всего)</t>
  </si>
  <si>
    <t>Поток и scope</t>
  </si>
  <si>
    <t>Средний cycle time (дн)</t>
  </si>
  <si>
    <t>Задач добавлено (scope)</t>
  </si>
  <si>
    <t>Средний TTM (дн)</t>
  </si>
  <si>
    <t>Velocity по спринтам (для спарклайна):</t>
  </si>
  <si>
    <t>Выделите A34:K34 → Вставка → Спарклайны → График (в любую ячейку).</t>
  </si>
  <si>
    <t>Планирование спринта — параметры</t>
  </si>
  <si>
    <t>Двухнедельный спринт. Жёлтые ячейки — заполняются вручную, серые — считаются формулами.</t>
  </si>
  <si>
    <t>Параметр</t>
  </si>
  <si>
    <t>Значение</t>
  </si>
  <si>
    <t>Комментарий</t>
  </si>
  <si>
    <t>Название спринта</t>
  </si>
  <si>
    <t>Sprint 24</t>
  </si>
  <si>
    <t>текст</t>
  </si>
  <si>
    <t>Дата начала спринта</t>
  </si>
  <si>
    <t>дата (пн)</t>
  </si>
  <si>
    <t>Длительность (рабочих дней)</t>
  </si>
  <si>
    <t>справочно (раб. дни теперь из «Календаря»)</t>
  </si>
  <si>
    <t>Часов в рабочем дне</t>
  </si>
  <si>
    <t>справочно (перевод дни↔часы)</t>
  </si>
  <si>
    <t>Focus factor (коэф. фокуса)</t>
  </si>
  <si>
    <t>доля продуктивного времени, 0–1</t>
  </si>
  <si>
    <t>Дата отсчёта (сегодня):</t>
  </si>
  <si>
    <t>Поставьте =СЕГОДНЯ() для реального времени</t>
  </si>
  <si>
    <t>Сводка спринта</t>
  </si>
  <si>
    <t>Показатель</t>
  </si>
  <si>
    <t>Номер текущего спринта</t>
  </si>
  <si>
    <t>Авто по дате отсчёта (активный спринт)</t>
  </si>
  <si>
    <t>Трудомощность команды (дн)</t>
  </si>
  <si>
    <t>Капасити выбранного спринта (лист «Капасити»)</t>
  </si>
  <si>
    <t>Трудоёмкость спринта (дн)</t>
  </si>
  <si>
    <t>Суммарная оценка запланированных задач</t>
  </si>
  <si>
    <t>Загрузка команды</t>
  </si>
  <si>
    <t>Трудоёмкость / трудомощность. &gt;100% = перегруз</t>
  </si>
  <si>
    <t>Свободное капасити (+) или перегруз (−)</t>
  </si>
  <si>
    <t>Запустить оформление заказа с онлайн-оплатой</t>
  </si>
  <si>
    <t>Одна фраза — зачем этот спринт</t>
  </si>
  <si>
    <t>Definition of Done (критерии готовности)</t>
  </si>
  <si>
    <t>Критерий</t>
  </si>
  <si>
    <t>Выполнено</t>
  </si>
  <si>
    <t>Код прошёл ревью</t>
  </si>
  <si>
    <t>Нет</t>
  </si>
  <si>
    <t>Юнит/интеграционные тесты зелёные</t>
  </si>
  <si>
    <t>Документация обновлена</t>
  </si>
  <si>
    <t>Развёрнуто на stage</t>
  </si>
  <si>
    <t>Принято владельцем продукта</t>
  </si>
  <si>
    <t>Нет открытых блокеров</t>
  </si>
  <si>
    <t>Дорожная карта спринтов — до конца 2026 года</t>
  </si>
  <si>
    <t>Двухнедельные спринты (10 раб. дней), человеко-дни. Velocity и % выполнения — по закрытым спринтам. Жёлтые ячейки — заполняются вручную (пример замените фактом).</t>
  </si>
  <si>
    <t>Старт Спринта 1:</t>
  </si>
  <si>
    <t>№</t>
  </si>
  <si>
    <t>Спринт</t>
  </si>
  <si>
    <t>Начало</t>
  </si>
  <si>
    <t>Конец</t>
  </si>
  <si>
    <t>Раб.
дней</t>
  </si>
  <si>
    <t>Трудомощность
(дн)</t>
  </si>
  <si>
    <t>План трудо-
ёмкости (дн)</t>
  </si>
  <si>
    <t>Загрузка
(план)</t>
  </si>
  <si>
    <t>Факт /
Velocity (дн)</t>
  </si>
  <si>
    <t>%
выполн.</t>
  </si>
  <si>
    <t>Статус</t>
  </si>
  <si>
    <t>Примечание</t>
  </si>
  <si>
    <t>Квартал</t>
  </si>
  <si>
    <t>≥90%</t>
  </si>
  <si>
    <t>70–90%</t>
  </si>
  <si>
    <t>&lt;70%</t>
  </si>
  <si>
    <t>Цель 100%</t>
  </si>
  <si>
    <t>Спринт 1</t>
  </si>
  <si>
    <t>Спринт 2</t>
  </si>
  <si>
    <t>Спринт 3</t>
  </si>
  <si>
    <t>Спринт 4</t>
  </si>
  <si>
    <t>Спринт 5</t>
  </si>
  <si>
    <t>Спринт 6</t>
  </si>
  <si>
    <t>Спринт 7</t>
  </si>
  <si>
    <t>Спринт 8</t>
  </si>
  <si>
    <t>Спринт 9</t>
  </si>
  <si>
    <t>Спринт 10</t>
  </si>
  <si>
    <t>Спринт 11</t>
  </si>
  <si>
    <t>Новогодние праздники — сокращённый спринт</t>
  </si>
  <si>
    <t>ИТОГО / среднее</t>
  </si>
  <si>
    <t>Факт. velocity и выполнение (по закрытым спринтам)</t>
  </si>
  <si>
    <t>Прогноз завершения бэклога</t>
  </si>
  <si>
    <t>Остаток бэклога (незакр., дн)</t>
  </si>
  <si>
    <t>Всего выполнено (дн)</t>
  </si>
  <si>
    <t>Прогноз velocity на спринт</t>
  </si>
  <si>
    <t>Остаток = план незакрытых спринтов / средняя velocity закрытых.</t>
  </si>
  <si>
    <t>Velocity = фактически закрытая работа (дн) за спринт.</t>
  </si>
  <si>
    <t>Velocity мин / макс (дн)</t>
  </si>
  <si>
    <t>% выполнения = Факт / План. Прогноз = средняя velocity закрытых спринтов.</t>
  </si>
  <si>
    <t>Спринтов (оптимист)</t>
  </si>
  <si>
    <t>Спринтов (пессимист)</t>
  </si>
  <si>
    <t>Пороги раскраски (% выполнения)</t>
  </si>
  <si>
    <t>Дата оптим/пессим</t>
  </si>
  <si>
    <t>🟢 Зелёный, ≥</t>
  </si>
  <si>
    <t>🟡 Жёлтый, ≥</t>
  </si>
  <si>
    <t>🔴 Красный — ниже жёлтого порога.</t>
  </si>
  <si>
    <t>Say/Do и перенос задач</t>
  </si>
  <si>
    <t>Задач
план</t>
  </si>
  <si>
    <t>Задач
факт</t>
  </si>
  <si>
    <t>Перенос
задач</t>
  </si>
  <si>
    <t>Say/Do
(задачи)</t>
  </si>
  <si>
    <t>Перенос
(дн)</t>
  </si>
  <si>
    <t>Say/Do
(дни)</t>
  </si>
  <si>
    <t>Добавлено
(дн)</t>
  </si>
  <si>
    <t>% разду-
вания</t>
  </si>
  <si>
    <t>Фактическая загрузка и калибровка Focus factor</t>
  </si>
  <si>
    <t>Капасити
(дн)</t>
  </si>
  <si>
    <t>Факт
(дн)</t>
  </si>
  <si>
    <t>Загрузка
факт</t>
  </si>
  <si>
    <t>Факт
FF</t>
  </si>
  <si>
    <t>Среднее (закрытые) → рекоменд. FF</t>
  </si>
  <si>
    <t>«Факт FF» — ориентир для параметра Focus factor на «Параметрах».</t>
  </si>
  <si>
    <t>Поквартальное планирование</t>
  </si>
  <si>
    <t>Агрегация спринтов по кварталам: ёмкость, план, факт и % выполнения. Кварталы — из дат спринтов.</t>
  </si>
  <si>
    <t>Спринтов</t>
  </si>
  <si>
    <t>План
(дн)</t>
  </si>
  <si>
    <t>Velocity
(дн)</t>
  </si>
  <si>
    <t>% выпол-
нения</t>
  </si>
  <si>
    <t>Ключевые вехи / эпики</t>
  </si>
  <si>
    <t>Q3 2026</t>
  </si>
  <si>
    <t>MVP оформления заказа, интеграция оплаты</t>
  </si>
  <si>
    <t>Q4 2026</t>
  </si>
  <si>
    <t>Уведомления, история, регресс</t>
  </si>
  <si>
    <t>Q1 2027</t>
  </si>
  <si>
    <t>Стабилизация, релиз</t>
  </si>
  <si>
    <t>ИТОГО / год</t>
  </si>
  <si>
    <t>Оценка приоритетов по RICE</t>
  </si>
  <si>
    <t>RICE = (Reach × Impact × Confidence) / Effort. Чем выше балл — тем выше приоритет фичи.</t>
  </si>
  <si>
    <t>ID</t>
  </si>
  <si>
    <t>Фича / инициатива</t>
  </si>
  <si>
    <t>Reach
(польз./кв)</t>
  </si>
  <si>
    <t>Impact
(влияние)</t>
  </si>
  <si>
    <t>Confidence
(увер-ть)</t>
  </si>
  <si>
    <t>Effort
(чел-дни)</t>
  </si>
  <si>
    <t>RICE
score</t>
  </si>
  <si>
    <t>Ранг</t>
  </si>
  <si>
    <t>Приоритет</t>
  </si>
  <si>
    <t>F-01</t>
  </si>
  <si>
    <t>MVP оформления заказа</t>
  </si>
  <si>
    <t>F-02</t>
  </si>
  <si>
    <t>Оплата картой</t>
  </si>
  <si>
    <t>F-03</t>
  </si>
  <si>
    <t>Промокоды и скидки</t>
  </si>
  <si>
    <t>F-04</t>
  </si>
  <si>
    <t>Уведомления (e-mail/push)</t>
  </si>
  <si>
    <t>F-05</t>
  </si>
  <si>
    <t>История заказов</t>
  </si>
  <si>
    <t>F-06</t>
  </si>
  <si>
    <t>Мобильная вёрстка</t>
  </si>
  <si>
    <t>F-07</t>
  </si>
  <si>
    <t>Личный кабинет</t>
  </si>
  <si>
    <t>F-08</t>
  </si>
  <si>
    <t>Рекомендации товаров</t>
  </si>
  <si>
    <t>F-09</t>
  </si>
  <si>
    <t>Экспорт отчётов</t>
  </si>
  <si>
    <t>F-10</t>
  </si>
  <si>
    <t>Мультиязычность</t>
  </si>
  <si>
    <t>Шкалы оценки</t>
  </si>
  <si>
    <t>Impact (влияние на пользователя):</t>
  </si>
  <si>
    <t>3 — массивное · 2 — высокое · 1 — среднее · 0.5 — низкое · 0.25 — минимальное</t>
  </si>
  <si>
    <t>Confidence (уверенность в оценке):</t>
  </si>
  <si>
    <t>100% — высокая · 80% — средняя · 50% — низкая</t>
  </si>
  <si>
    <t>Reach:</t>
  </si>
  <si>
    <t>сколько пользователей затронет фича за квартал</t>
  </si>
  <si>
    <t>Effort:</t>
  </si>
  <si>
    <t>суммарные трудозатраты команды, человеко-дни</t>
  </si>
  <si>
    <t>Приоритет:</t>
  </si>
  <si>
    <t>Высокий ≥ 60% макс. балла · Средний ≥ 30% · иначе Низкий</t>
  </si>
  <si>
    <t>Квартальный roadmap (спринты и вехи по кварталам)</t>
  </si>
  <si>
    <t>Бары спринтов на шкале дат, цвет = квартал. Вехи — в таблице ниже.</t>
  </si>
  <si>
    <t>Длит. (дн)</t>
  </si>
  <si>
    <t>Легенда кварталов:</t>
  </si>
  <si>
    <t>Вехи</t>
  </si>
  <si>
    <t>Веха</t>
  </si>
  <si>
    <t>Дата</t>
  </si>
  <si>
    <t>Релизы</t>
  </si>
  <si>
    <t>Версии релизов и их содержимое (стори/задачи/дефекты) по диапазону спринтов.</t>
  </si>
  <si>
    <t>Релиз</t>
  </si>
  <si>
    <t>Спр. от</t>
  </si>
  <si>
    <t>Спр. до</t>
  </si>
  <si>
    <t>Стори</t>
  </si>
  <si>
    <t>Задач</t>
  </si>
  <si>
    <t>Дефектов</t>
  </si>
  <si>
    <t>Объём (дн)</t>
  </si>
  <si>
    <t>Вех (шт)</t>
  </si>
  <si>
    <t>R-1</t>
  </si>
  <si>
    <t>Внутренний релиз (MVP)</t>
  </si>
  <si>
    <t>Готово</t>
  </si>
  <si>
    <t>R-2</t>
  </si>
  <si>
    <t>Бета для площадок</t>
  </si>
  <si>
    <t>В работе</t>
  </si>
  <si>
    <t>R-3</t>
  </si>
  <si>
    <t>Публичный релиз 1.0</t>
  </si>
  <si>
    <t>Планируется</t>
  </si>
  <si>
    <t>R-4</t>
  </si>
  <si>
    <t>Релиз 1.1 — уведомления</t>
  </si>
  <si>
    <t>R-5</t>
  </si>
  <si>
    <t>GA / Стабилизация</t>
  </si>
  <si>
    <t>Вехи (контрольные точки)</t>
  </si>
  <si>
    <t>Ключевые контрольные точки проекта. Дата = конец спринта.</t>
  </si>
  <si>
    <t>Ответственный</t>
  </si>
  <si>
    <t>V-1</t>
  </si>
  <si>
    <t>Старт проекта</t>
  </si>
  <si>
    <t>Иванов А.</t>
  </si>
  <si>
    <t>V-2</t>
  </si>
  <si>
    <t>Дизайн утверждён</t>
  </si>
  <si>
    <t>Петрова М.</t>
  </si>
  <si>
    <t>V-3</t>
  </si>
  <si>
    <t>Feature freeze</t>
  </si>
  <si>
    <t>Кузнецов Д.</t>
  </si>
  <si>
    <t>V-4</t>
  </si>
  <si>
    <t>Code freeze</t>
  </si>
  <si>
    <t>V-5</t>
  </si>
  <si>
    <t>Go-live / запуск</t>
  </si>
  <si>
    <t>Сидоров К.</t>
  </si>
  <si>
    <t>Статус вех</t>
  </si>
  <si>
    <t>Задержка</t>
  </si>
  <si>
    <t>Технический долг</t>
  </si>
  <si>
    <t>Реестр техдолга: область, тип, влияние, оценка, план спринта, статус.</t>
  </si>
  <si>
    <t>Описание</t>
  </si>
  <si>
    <t>Область</t>
  </si>
  <si>
    <t>Тип</t>
  </si>
  <si>
    <t>Влияние</t>
  </si>
  <si>
    <t>Оценка (дн)</t>
  </si>
  <si>
    <t>Спринт
создан</t>
  </si>
  <si>
    <t>Спринт
погашен</t>
  </si>
  <si>
    <t>TD-1</t>
  </si>
  <si>
    <t>Рефакторинг модуля авторизации</t>
  </si>
  <si>
    <t>Auth</t>
  </si>
  <si>
    <t>Код</t>
  </si>
  <si>
    <t>High</t>
  </si>
  <si>
    <t>Закрыт</t>
  </si>
  <si>
    <t>TD-2</t>
  </si>
  <si>
    <t>Автотесты оформления заказа</t>
  </si>
  <si>
    <t>Checkout</t>
  </si>
  <si>
    <t>Тесты</t>
  </si>
  <si>
    <t>TD-3</t>
  </si>
  <si>
    <t>Убрать дубли в API заказов</t>
  </si>
  <si>
    <t>API</t>
  </si>
  <si>
    <t>Архитектура</t>
  </si>
  <si>
    <t>Medium</t>
  </si>
  <si>
    <t>Открыт</t>
  </si>
  <si>
    <t>TD-4</t>
  </si>
  <si>
    <t>Обновить документацию API</t>
  </si>
  <si>
    <t>Docs</t>
  </si>
  <si>
    <t>Документация</t>
  </si>
  <si>
    <t>Low</t>
  </si>
  <si>
    <t>TD-5</t>
  </si>
  <si>
    <t>Мониторинг и алерты платежей</t>
  </si>
  <si>
    <t>Payments</t>
  </si>
  <si>
    <t>Инфраструктура</t>
  </si>
  <si>
    <t>TD-6</t>
  </si>
  <si>
    <t>Оптимизация запросов БД</t>
  </si>
  <si>
    <t>DB</t>
  </si>
  <si>
    <t>По типу</t>
  </si>
  <si>
    <t>Кол-во</t>
  </si>
  <si>
    <t>По статусу</t>
  </si>
  <si>
    <t>Тренд техдолга (создано / погашено по спринтам)</t>
  </si>
  <si>
    <t>Создано</t>
  </si>
  <si>
    <t>Погашено</t>
  </si>
  <si>
    <t>Открыто (накопит.)</t>
  </si>
  <si>
    <t>Ретроспективы и action items</t>
  </si>
  <si>
    <t>Итоги спринтов и улучшения с трекингом выполнения.</t>
  </si>
  <si>
    <t>Что прошло хорошо</t>
  </si>
  <si>
    <t>Что улучшить</t>
  </si>
  <si>
    <t>Action item</t>
  </si>
  <si>
    <t>Срок</t>
  </si>
  <si>
    <t>Быстрый старт, реалистичная оценка</t>
  </si>
  <si>
    <t>Мало тестовых данных</t>
  </si>
  <si>
    <t>Подготовить набор тест-данных</t>
  </si>
  <si>
    <t>Сделано</t>
  </si>
  <si>
    <t>Хорошее демо</t>
  </si>
  <si>
    <t>Долгий код-ревью</t>
  </si>
  <si>
    <t>SLA на ревью — 1 день</t>
  </si>
  <si>
    <t>Стабильные демо</t>
  </si>
  <si>
    <t>Скоуп рос по ходу</t>
  </si>
  <si>
    <t>Фиксировать скоуп на планировании</t>
  </si>
  <si>
    <t>Слаженная работа QA</t>
  </si>
  <si>
    <t>Блокеры по внешнему API</t>
  </si>
  <si>
    <t>Ранняя интеграция / моки</t>
  </si>
  <si>
    <t>Закрыто action items:</t>
  </si>
  <si>
    <t>% закрытых:</t>
  </si>
  <si>
    <t>Бюджет и стоимость</t>
  </si>
  <si>
    <t>Ставка (₽/чел-день):</t>
  </si>
  <si>
    <t>Бюджет проекта (₽):</t>
  </si>
  <si>
    <t>Капасити (дн)</t>
  </si>
  <si>
    <t>Стоимость (₽)</t>
  </si>
  <si>
    <t>Накопл. стоимость (₽)</t>
  </si>
  <si>
    <t>Velocity (дн)</t>
  </si>
  <si>
    <t>Цена velocity-дня (₽)</t>
  </si>
  <si>
    <t>Всего стоимость (₽):</t>
  </si>
  <si>
    <t>Остаток бюджета (₽):</t>
  </si>
  <si>
    <t>Средняя цена velocity-дня (₽):</t>
  </si>
  <si>
    <t>OKR — цели квартала</t>
  </si>
  <si>
    <t>Objective + Key Results с прогрессом (Текущее / Цель).</t>
  </si>
  <si>
    <t>Objective (цель)</t>
  </si>
  <si>
    <t>Key Result</t>
  </si>
  <si>
    <t>Цель</t>
  </si>
  <si>
    <t>Текущее</t>
  </si>
  <si>
    <t>Прогресс</t>
  </si>
  <si>
    <t>Запустить подписочную модель заказа</t>
  </si>
  <si>
    <t>Готовность MVP чекаута, %</t>
  </si>
  <si>
    <t>Интеграция оплаты, %</t>
  </si>
  <si>
    <t>Обеспечить качество релиза</t>
  </si>
  <si>
    <t>Покрытие автотестами ключевых сценариев, %</t>
  </si>
  <si>
    <t>Масштабировать на площадки</t>
  </si>
  <si>
    <t>Подключённых площадок, шт</t>
  </si>
  <si>
    <t>Уведомления и история заказов, %</t>
  </si>
  <si>
    <t>Планирование ёмкости на горизонт</t>
  </si>
  <si>
    <t>Ёмкость vs спрос по кварталам и ролям; дефицит/профицит и оценка потребности в найме.</t>
  </si>
  <si>
    <t>По кварталам</t>
  </si>
  <si>
    <t>Ёмкость (дн)</t>
  </si>
  <si>
    <t>Спрос (дн)</t>
  </si>
  <si>
    <t>Нужно +чел.</t>
  </si>
  <si>
    <t>По ролям (весь горизонт)</t>
  </si>
  <si>
    <t>Роль</t>
  </si>
  <si>
    <t>Backend</t>
  </si>
  <si>
    <t>Frontend</t>
  </si>
  <si>
    <t>QA</t>
  </si>
  <si>
    <t>DevOps</t>
  </si>
  <si>
    <t>Analyst</t>
  </si>
  <si>
    <t>Designer</t>
  </si>
  <si>
    <t>«Нужно +чел.» = округление вверх дефицита ёмкости к чел-дням на человека за квартал.</t>
  </si>
  <si>
    <t>Диаграмма Ганта (план по спринтам, с зависимостями)</t>
  </si>
  <si>
    <t>Задачи из «Бэклога» (авто, строки 5–44). Длительность бара = оценка задачи. Зависимость сдвигает старт после завершения предшественника.</t>
  </si>
  <si>
    <t>Задача</t>
  </si>
  <si>
    <t>Спр.</t>
  </si>
  <si>
    <t>Исполнитель</t>
  </si>
  <si>
    <t>Зависит от</t>
  </si>
  <si>
    <t>Критич.
путь</t>
  </si>
  <si>
    <t>Внешняя
зависимость</t>
  </si>
  <si>
    <t>Да</t>
  </si>
  <si>
    <t>T-01</t>
  </si>
  <si>
    <t>T-04</t>
  </si>
  <si>
    <t>T-03</t>
  </si>
  <si>
    <t>T-13</t>
  </si>
  <si>
    <t>T-15</t>
  </si>
  <si>
    <t>T-16</t>
  </si>
  <si>
    <t>Легенда спринтов:</t>
  </si>
  <si>
    <t>Стрелки-связи Excel не строит; зависимость видна по сдвигу старта задачи.</t>
  </si>
  <si>
    <t>Карта зависимостей (сверху вниз = порядок выполнения, FS)</t>
  </si>
  <si>
    <t>▼</t>
  </si>
  <si>
    <t>T-02</t>
  </si>
  <si>
    <t>T-07</t>
  </si>
  <si>
    <t>T-17</t>
  </si>
  <si>
    <t>T-14</t>
  </si>
  <si>
    <t>Плашки раскрашены по спринтам (см. легенду выше). Связи — из столбца «Зависит от».</t>
  </si>
  <si>
    <t>Критический путь — красная обводка баров и «Да» в столбце «Критич. путь». Длина проекта: 26 раб./чел-дн.</t>
  </si>
  <si>
    <t>Зависимости от других стримов</t>
  </si>
  <si>
    <t>Межстримовые зависимости задач, историй и фич. Направление, статус (RAG) и риск.</t>
  </si>
  <si>
    <t>Элемент</t>
  </si>
  <si>
    <t>Задача
(Гант)</t>
  </si>
  <si>
    <t>Внешний стрим</t>
  </si>
  <si>
    <t>Направление</t>
  </si>
  <si>
    <t>Что именно</t>
  </si>
  <si>
    <t>Владелец</t>
  </si>
  <si>
    <t>Риск</t>
  </si>
  <si>
    <t>D-01</t>
  </si>
  <si>
    <t>Интеграция платежей</t>
  </si>
  <si>
    <t>Платёжный шлюз</t>
  </si>
  <si>
    <t>Мы зависим</t>
  </si>
  <si>
    <t>API оплаты v2 (токенизация карт)</t>
  </si>
  <si>
    <t>Заблокировано</t>
  </si>
  <si>
    <t>Команда Payments</t>
  </si>
  <si>
    <t>D-02</t>
  </si>
  <si>
    <t>Фича</t>
  </si>
  <si>
    <t>Сертификация PCI DSS</t>
  </si>
  <si>
    <t>Ожидается</t>
  </si>
  <si>
    <t>Security / Payments</t>
  </si>
  <si>
    <t>D-03</t>
  </si>
  <si>
    <t>T-08</t>
  </si>
  <si>
    <t>Инфраструктура / DevOps</t>
  </si>
  <si>
    <t>Сервис рассылок (SMTP + Push)</t>
  </si>
  <si>
    <t>Подтверждено</t>
  </si>
  <si>
    <t>Platform Team</t>
  </si>
  <si>
    <t>D-04</t>
  </si>
  <si>
    <t>API промокодов</t>
  </si>
  <si>
    <t>T-11</t>
  </si>
  <si>
    <t>Каталог / Контент</t>
  </si>
  <si>
    <t>Каталог товаров и цен</t>
  </si>
  <si>
    <t>Получено</t>
  </si>
  <si>
    <t>Catalog Team</t>
  </si>
  <si>
    <t>D-05</t>
  </si>
  <si>
    <t>История</t>
  </si>
  <si>
    <t>Идентификация (SSO)</t>
  </si>
  <si>
    <t>Единый вход (OAuth2/OIDC)</t>
  </si>
  <si>
    <t>IAM Team</t>
  </si>
  <si>
    <t>D-06</t>
  </si>
  <si>
    <t>Экран корзины</t>
  </si>
  <si>
    <t>Мобильное приложение</t>
  </si>
  <si>
    <t>Зависят от нас</t>
  </si>
  <si>
    <t>REST API заказов для мобильного клиента</t>
  </si>
  <si>
    <t>Mobile Team</t>
  </si>
  <si>
    <t>D-07</t>
  </si>
  <si>
    <t>Логирование и метрики</t>
  </si>
  <si>
    <t>T-12</t>
  </si>
  <si>
    <t>Data Platform / Аналитика</t>
  </si>
  <si>
    <t>Шина событий (Kafka topics)</t>
  </si>
  <si>
    <t>Data Platform</t>
  </si>
  <si>
    <t>D-08</t>
  </si>
  <si>
    <t>Витрина заказов для BI</t>
  </si>
  <si>
    <t>Analytics</t>
  </si>
  <si>
    <t>Сводка по статусам</t>
  </si>
  <si>
    <t>Просрочено</t>
  </si>
  <si>
    <t>Капасити команды по спринтам</t>
  </si>
  <si>
    <t>Капасити (дн) = (Раб. дней − Отсутствия) × Доступность × Focus factor, по каждому спринту отдельно. Жёлтые ячейки — заполняются вручную (отсутствия/доступность на спринт).</t>
  </si>
  <si>
    <t>№
спринта</t>
  </si>
  <si>
    <t>Участник</t>
  </si>
  <si>
    <t>Раб. дней
в спринте</t>
  </si>
  <si>
    <t>Отсутствия
(дней)</t>
  </si>
  <si>
    <t>Доступ-
ность</t>
  </si>
  <si>
    <t>Focus
factor</t>
  </si>
  <si>
    <t>Итого
капасити (дн)</t>
  </si>
  <si>
    <t>Орлова Е.</t>
  </si>
  <si>
    <t>Смирнов П.</t>
  </si>
  <si>
    <t>Волкова Н.</t>
  </si>
  <si>
    <t>Морозов И.</t>
  </si>
  <si>
    <t>Новиков А.</t>
  </si>
  <si>
    <t>Фёдорова О.</t>
  </si>
  <si>
    <t>Козлов В.</t>
  </si>
  <si>
    <t>Лебедева Т.</t>
  </si>
  <si>
    <t>Всего</t>
  </si>
  <si>
    <t>Соколов Р.</t>
  </si>
  <si>
    <t>Производственный календарь (нерабочие дни)</t>
  </si>
  <si>
    <t>Раб. дни каждого спринта считаются как ЧИСТРАБДНИ(начало; конец; этот список).</t>
  </si>
  <si>
    <t>Праздник / выходной</t>
  </si>
  <si>
    <t>День народного единства</t>
  </si>
  <si>
    <t>Новый год</t>
  </si>
  <si>
    <t>Новогодние каникулы</t>
  </si>
  <si>
    <t>Загрузка по ролям</t>
  </si>
  <si>
    <t>Капасити — из «Капасити»; спрос — из «Бэклога» по текущему спринту (авто).</t>
  </si>
  <si>
    <t>Текущий спринт:</t>
  </si>
  <si>
    <t>Спрос / План (дн)</t>
  </si>
  <si>
    <t>ИТОГО</t>
  </si>
  <si>
    <t>Капасити по ролям × спринтам (дн)</t>
  </si>
  <si>
    <t>Итого</t>
  </si>
  <si>
    <t>Бэклог спринта (задачи)</t>
  </si>
  <si>
    <t>Оценка (дн) — трудоёмкость задачи в человеко-днях. Остаток пересчитывается по статусу («Готово» → 0).</t>
  </si>
  <si>
    <t>Остаток (дн)</t>
  </si>
  <si>
    <t>Факт (дн)</t>
  </si>
  <si>
    <t>Точность
(Факт/Оценка)</t>
  </si>
  <si>
    <t>Блокер</t>
  </si>
  <si>
    <t>Дней
в блоке</t>
  </si>
  <si>
    <t>Добавлено
после старта</t>
  </si>
  <si>
    <t>Создана</t>
  </si>
  <si>
    <t>В работу</t>
  </si>
  <si>
    <t>Cycle
(дн)</t>
  </si>
  <si>
    <t>Lead
(дн)</t>
  </si>
  <si>
    <t>Возраст
WIP (дн)</t>
  </si>
  <si>
    <t>Проектирование API заказов</t>
  </si>
  <si>
    <t>Экран корзины (вёрстка)</t>
  </si>
  <si>
    <t>T-09</t>
  </si>
  <si>
    <t>Настройка CI/CD</t>
  </si>
  <si>
    <t>T-10</t>
  </si>
  <si>
    <t>Модель данных заказа</t>
  </si>
  <si>
    <t>Тест-кейсы оформления</t>
  </si>
  <si>
    <t>Тех.долг</t>
  </si>
  <si>
    <t>Уведомления по e-mail</t>
  </si>
  <si>
    <t>To Do</t>
  </si>
  <si>
    <t>T-05</t>
  </si>
  <si>
    <t>Рефакторинг авторизации</t>
  </si>
  <si>
    <t>T-06</t>
  </si>
  <si>
    <t>Аналитика воронки</t>
  </si>
  <si>
    <t>Регресс-тестирование релиза</t>
  </si>
  <si>
    <t>Экран оплаты</t>
  </si>
  <si>
    <t>Вебхуки платежей</t>
  </si>
  <si>
    <t>Фильтры каталога</t>
  </si>
  <si>
    <t>T-18</t>
  </si>
  <si>
    <t>Отзывы и рейтинги</t>
  </si>
  <si>
    <t>T-19</t>
  </si>
  <si>
    <t>Рекомендации</t>
  </si>
  <si>
    <t>T-20</t>
  </si>
  <si>
    <t>A/B тесты чекаута</t>
  </si>
  <si>
    <t>ИТОГО трудоёмкость:</t>
  </si>
  <si>
    <t>Коэфф. точности оценок (Факт/Оценка):</t>
  </si>
  <si>
    <t>&gt;1 — систематически недооцениваем; множитель для будущих оценок.</t>
  </si>
  <si>
    <t>Средний Cycle time (дн):</t>
  </si>
  <si>
    <t>Средний Lead time (дн):</t>
  </si>
  <si>
    <t>Диаграмма сгорания (burndown) по задачам</t>
  </si>
  <si>
    <t>Идеальная линия — равномерное сгорание. Фактический остаток обновляется каждый день (жёлтый столбец).</t>
  </si>
  <si>
    <t>Всего работы тек. спринта (дн):</t>
  </si>
  <si>
    <t>Рабочих дней:</t>
  </si>
  <si>
    <t>День</t>
  </si>
  <si>
    <t>Идеальный остаток (дн)</t>
  </si>
  <si>
    <t>Факт. остаток (дн)</t>
  </si>
  <si>
    <t>Как читать:</t>
  </si>
  <si>
    <t>Burn-up: объём vs накопленно сделано</t>
  </si>
  <si>
    <t>Накопл.
сделано (дн)</t>
  </si>
  <si>
    <t>Общий
объём (дн)</t>
  </si>
  <si>
    <t>Качество / дефекты по спринтам</t>
  </si>
  <si>
    <t>Найдено/закрыто/время — автоматически из листа «Баги». Открытых — накопительно.</t>
  </si>
  <si>
    <t>Найдено</t>
  </si>
  <si>
    <t>Закрыто</t>
  </si>
  <si>
    <t>Открытых
(накопит.)</t>
  </si>
  <si>
    <t>Время на
баги (дн)</t>
  </si>
  <si>
    <t>Доля времени
на баги</t>
  </si>
  <si>
    <t>Взвеш.
баги</t>
  </si>
  <si>
    <t>Плотность
(баг/дн)</t>
  </si>
  <si>
    <t>Reopened</t>
  </si>
  <si>
    <t>Реестр багов (связь с задачами)</t>
  </si>
  <si>
    <t>Каждый баг привязан к задаче из «Бэклога» и спринту. Лист «Качество» считает метрики автоматически из этого реестра.</t>
  </si>
  <si>
    <t>Серьёзность</t>
  </si>
  <si>
    <t>Время (дн)</t>
  </si>
  <si>
    <t>Переоткрывался</t>
  </si>
  <si>
    <t>Причина</t>
  </si>
  <si>
    <t>Сводка по багам (по спринтам)</t>
  </si>
  <si>
    <t>B-01</t>
  </si>
  <si>
    <t>Ошибка валидации email</t>
  </si>
  <si>
    <t>Major</t>
  </si>
  <si>
    <t>Интеграция</t>
  </si>
  <si>
    <t>Открыто</t>
  </si>
  <si>
    <t>% закрытых</t>
  </si>
  <si>
    <t>% от всех</t>
  </si>
  <si>
    <t>B-02</t>
  </si>
  <si>
    <t>Падение при пустой корзине</t>
  </si>
  <si>
    <t>Critical</t>
  </si>
  <si>
    <t>B-03</t>
  </si>
  <si>
    <t>Неверный расчёт скидки</t>
  </si>
  <si>
    <t>Требования</t>
  </si>
  <si>
    <t>B-04</t>
  </si>
  <si>
    <t>Съезжает вёрстка на мобильном</t>
  </si>
  <si>
    <t>Minor</t>
  </si>
  <si>
    <t>Тестирование</t>
  </si>
  <si>
    <t>B-05</t>
  </si>
  <si>
    <t>Таймаут платежа</t>
  </si>
  <si>
    <t>B-06</t>
  </si>
  <si>
    <t>Дубли заказов</t>
  </si>
  <si>
    <t>B-07</t>
  </si>
  <si>
    <t>Не приходит письмо-подтверждение</t>
  </si>
  <si>
    <t>B-08</t>
  </si>
  <si>
    <t>Ошибка 500 при оплате</t>
  </si>
  <si>
    <t>B-09</t>
  </si>
  <si>
    <t>Неверный НДС в чеке</t>
  </si>
  <si>
    <t>Данные</t>
  </si>
  <si>
    <t>B-10</t>
  </si>
  <si>
    <t>Кнопка оформления неактивна</t>
  </si>
  <si>
    <t>B-11</t>
  </si>
  <si>
    <t>Переполнение логов</t>
  </si>
  <si>
    <t>B-12</t>
  </si>
  <si>
    <t>Медленный поиск заказов</t>
  </si>
  <si>
    <t>B-13</t>
  </si>
  <si>
    <t>Падает экспорт отчёта</t>
  </si>
  <si>
    <t>Всего багов:</t>
  </si>
  <si>
    <t>% закрытых (всего):</t>
  </si>
  <si>
    <t>Cumulative Flow — задачи по статусам (текущий спринт)</t>
  </si>
  <si>
    <t>Кол-во задач в каждом статусе по дням спринта. Обновляется ежедневно (жёлтые ячейки).</t>
  </si>
  <si>
    <t>WIP-лимит (В работе):</t>
  </si>
  <si>
    <t>Макс. «В работе» (факт):</t>
  </si>
  <si>
    <t>Статус WIP:</t>
  </si>
  <si>
    <t>Aging WIP по задачам — столбец «Возраст WIP» в «Бэклоге».</t>
  </si>
  <si>
    <t>Метрики и прогноз</t>
  </si>
  <si>
    <t>Velocity по спринтам (для графика)</t>
  </si>
  <si>
    <t>Предсказуемость (velocity)</t>
  </si>
  <si>
    <t>Мин / Макс (дн)</t>
  </si>
  <si>
    <t>Разброс (СТАНДОТКЛОН)</t>
  </si>
  <si>
    <t>Коэф. вариации (CV)</t>
  </si>
  <si>
    <t>Throughput (задач «Готово» за спринт)</t>
  </si>
  <si>
    <t>Задач сделано</t>
  </si>
  <si>
    <t>Burn-up (для графика)</t>
  </si>
  <si>
    <t>Сделано (накопл.)</t>
  </si>
  <si>
    <t>Объём (scope)</t>
  </si>
  <si>
    <t>Качество дефектов</t>
  </si>
  <si>
    <t>Найдено багов</t>
  </si>
  <si>
    <t>Закрыто багов</t>
  </si>
  <si>
    <t>DRE (эффективность устранения)</t>
  </si>
  <si>
    <t>Reopened (проникшие)</t>
  </si>
  <si>
    <t>Открыто багов</t>
  </si>
  <si>
    <t>Вероятностный прогноз завершения (по разбросу velocity)</t>
  </si>
  <si>
    <t>Спринтов — оптимист (по макс)</t>
  </si>
  <si>
    <t>Спринтов — реалист (по средней)</t>
  </si>
  <si>
    <t>Спринтов — пессимист (по мин)</t>
  </si>
  <si>
    <t>Оценка «оптимист/реалист/пессимист» — грубая замена Монте-Карло по фактическому разбросу.</t>
  </si>
  <si>
    <t>Health-index проекта</t>
  </si>
  <si>
    <t xml:space="preserve">  % выполнения (норм.)</t>
  </si>
  <si>
    <t xml:space="preserve">  DoD готовность</t>
  </si>
  <si>
    <t xml:space="preserve">  Точность оценок (норм.)</t>
  </si>
  <si>
    <t xml:space="preserve">  Качество (норм.)</t>
  </si>
  <si>
    <t>Итоговый Health-index</t>
  </si>
  <si>
    <t>Парето по причинам багов</t>
  </si>
  <si>
    <t>Накопл. %</t>
  </si>
  <si>
    <t>Контрольная карта Cycle time</t>
  </si>
  <si>
    <t>Cycle time задач (из «Бэклога») с центральной линией и контрольными границами (±3σ).</t>
  </si>
  <si>
    <t>Среднее (CL):</t>
  </si>
  <si>
    <t>σ:</t>
  </si>
  <si>
    <t>UCL (+3σ):</t>
  </si>
  <si>
    <t>LCL (−3σ):</t>
  </si>
  <si>
    <t>Cycle (дн)</t>
  </si>
  <si>
    <t>CL</t>
  </si>
  <si>
    <t>UCL</t>
  </si>
  <si>
    <t>LCL</t>
  </si>
  <si>
    <t>Реестр рисков спринта</t>
  </si>
  <si>
    <t>Балл = Вероятность × Влияние (1–5). ≥15 — высокий, 8–14 — средний, &lt;8 — низкий.</t>
  </si>
  <si>
    <t>#</t>
  </si>
  <si>
    <t>Вероятн.
(1-5)</t>
  </si>
  <si>
    <t>Влияние
(1-5)</t>
  </si>
  <si>
    <t>Балл</t>
  </si>
  <si>
    <t>Уровень</t>
  </si>
  <si>
    <t>Митигация</t>
  </si>
  <si>
    <t>Зависимость от внешнего API оплаты</t>
  </si>
  <si>
    <t>Мок-сервис + ранняя интеграция</t>
  </si>
  <si>
    <t>Отпуска в декабре (Спринт 11)</t>
  </si>
  <si>
    <t>Сокращённый объём, буфер</t>
  </si>
  <si>
    <t>Недооценка интеграции</t>
  </si>
  <si>
    <t>Спайк на оценку</t>
  </si>
  <si>
    <t>Текучесть в QA</t>
  </si>
  <si>
    <t>Кросс-ревью, документация</t>
  </si>
  <si>
    <t>Наблюдение</t>
  </si>
  <si>
    <t>Риски: ранжирование, матрица и диаграмма Исикавы</t>
  </si>
  <si>
    <t>Ранжированный список рисков</t>
  </si>
  <si>
    <t>Вер.</t>
  </si>
  <si>
    <t>Влиян.</t>
  </si>
  <si>
    <t>Матрица рисков (Вероятность × Влияние)</t>
  </si>
  <si>
    <t>Влияние \ Вероятн.</t>
  </si>
  <si>
    <t>Цвет — уровень (зел &lt;8, жёлт 8–14, красн ≥15). Число — сколько рисков в клетке.</t>
  </si>
  <si>
    <t>Соответствие: см. ранжированный список выше (столбцы Вер./Влиян.).</t>
  </si>
  <si>
    <t>Диаграмма Исикавы (причинно-следственная)</t>
  </si>
  <si>
    <t>Распределение задач по исполнителям</t>
  </si>
  <si>
    <t>Из «Бэклога» по текущему спринту. Загрузка = задачи человека / его капасити.</t>
  </si>
  <si>
    <t>Дней</t>
  </si>
  <si>
    <t>Доля дней</t>
  </si>
  <si>
    <t>Блокеры (из «Бэклога»)</t>
  </si>
  <si>
    <t>Всего дней в блоке</t>
  </si>
  <si>
    <t>Средн. дней в блоке</t>
  </si>
  <si>
    <t>Time to Market (TTM)</t>
  </si>
  <si>
    <t>TTM = дата релиза − дата взятия задачи в работу. Цель — 15 дней.</t>
  </si>
  <si>
    <t>Цель TTM (дн):</t>
  </si>
  <si>
    <t>Средний TTM (дн):</t>
  </si>
  <si>
    <t>Дата релиза</t>
  </si>
  <si>
    <t>TTM (дн)</t>
  </si>
  <si>
    <t>Цель (дн)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</si>
</sst>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d\.mm\.yyyy"/>
    <numFmt numFmtId="165" formatCode="#,##0.0"/>
    <numFmt numFmtId="166" formatCode="dd\.mm"/>
    <numFmt numFmtId="167" formatCode="0.0"/>
    <numFmt numFmtId="168" formatCode="dd\.mm\.yy"/>
    <numFmt numFmtId="169" formatCode="#\ ##0"/>
    <numFmt numFmtId="170" formatCode="#\ ##0.0"/>
  </numFmts>
  <fonts count="53" x14ac:knownFonts="1">
    <font>
      <sz val="11"/>
      <color theme="1"/>
      <name val="Calibri"/>
      <family val="2"/>
      <scheme val="minor"/>
    </font>
    <font>
      <b/>
      <sz val="14"/>
      <color rgb="FF1F4E78"/>
      <name val="Arial"/>
    </font>
    <font>
      <i/>
      <sz val="9"/>
      <color rgb="FF808080"/>
      <name val="Arial"/>
    </font>
    <font>
      <b/>
      <sz val="11"/>
      <color rgb="FFFFFFFF"/>
      <name val="Arial"/>
    </font>
    <font>
      <b/>
      <sz val="11"/>
      <name val="Arial"/>
    </font>
    <font>
      <sz val="11"/>
      <color rgb="FF0000FF"/>
      <name val="Arial"/>
    </font>
    <font>
      <sz val="11"/>
      <name val="Arial"/>
    </font>
    <font>
      <b/>
      <sz val="11"/>
      <color rgb="FF1F4E78"/>
      <name val="Arial"/>
    </font>
    <font>
      <sz val="11"/>
      <color rgb="FF0000FF"/>
      <name val="Arial"/>
    </font>
    <font>
      <i/>
      <sz val="9"/>
      <color rgb="FF808080"/>
      <name val="Arial"/>
    </font>
    <font>
      <b/>
      <sz val="14"/>
      <color rgb="FF1F4E78"/>
      <name val="Arial"/>
    </font>
    <font>
      <i/>
      <sz val="9"/>
      <color rgb="FF808080"/>
      <name val="Arial"/>
    </font>
    <font>
      <b/>
      <sz val="11"/>
      <color rgb="FFFFFFFF"/>
      <name val="Arial"/>
    </font>
    <font>
      <sz val="11"/>
      <color rgb="FF0000FF"/>
      <name val="Arial"/>
    </font>
    <font>
      <b/>
      <sz val="12"/>
      <color rgb="FF1F4E78"/>
      <name val="Arial"/>
    </font>
    <font>
      <b/>
      <sz val="16"/>
      <color rgb="FF1F4E78"/>
      <name val="Arial"/>
    </font>
    <font>
      <b/>
      <sz val="12"/>
      <name val="Arial"/>
    </font>
    <font>
      <b/>
      <sz val="12"/>
      <color rgb="FF1F4E78"/>
      <name val="Arial"/>
    </font>
    <font>
      <i/>
      <sz val="9"/>
      <color rgb="FF808080"/>
      <name val="Arial"/>
    </font>
    <font>
      <b/>
      <sz val="11"/>
      <color rgb="FFFFFFFF"/>
      <name val="Arial"/>
    </font>
    <font>
      <sz val="11"/>
      <color rgb="FF0000FF"/>
      <name val="Arial"/>
    </font>
    <font>
      <b/>
      <sz val="14"/>
      <color rgb="FF1F4E78"/>
      <name val="Arial"/>
    </font>
    <font>
      <i/>
      <sz val="9"/>
      <color rgb="FF808080"/>
      <name val="Arial"/>
    </font>
    <font>
      <b/>
      <sz val="11"/>
      <color rgb="FFFFFFFF"/>
      <name val="Arial"/>
    </font>
    <font>
      <sz val="11"/>
      <color rgb="FF0000FF"/>
      <name val="Arial"/>
    </font>
    <font>
      <b/>
      <sz val="12"/>
      <color rgb="FF1F4E78"/>
      <name val="Arial"/>
    </font>
    <font>
      <b/>
      <sz val="12"/>
      <color rgb="FF595959"/>
      <name val="Arial"/>
    </font>
    <font>
      <b/>
      <sz val="11"/>
      <color rgb="FFFFFFFF"/>
      <name val="Arial"/>
    </font>
    <font>
      <i/>
      <sz val="9"/>
      <color rgb="FF808080"/>
      <name val="Arial"/>
    </font>
    <font>
      <b/>
      <sz val="12"/>
      <color rgb="FF1F4E78"/>
      <name val="Arial"/>
    </font>
    <font>
      <b/>
      <sz val="11"/>
      <color rgb="FFFFFFFF"/>
      <name val="Arial"/>
    </font>
    <font>
      <b/>
      <sz val="14"/>
      <color rgb="FF1F4E78"/>
      <name val="Arial"/>
    </font>
    <font>
      <b/>
      <sz val="12"/>
      <color rgb="FF1F4E78"/>
      <name val="Arial"/>
    </font>
    <font>
      <b/>
      <sz val="11"/>
      <color rgb="FFFFFFFF"/>
      <name val="Arial"/>
    </font>
    <font>
      <i/>
      <sz val="9"/>
      <color rgb="FF808080"/>
      <name val="Arial"/>
    </font>
    <font>
      <b/>
      <sz val="11"/>
      <color rgb="FFFFFFFF"/>
      <name val="Arial"/>
    </font>
    <font>
      <b/>
      <sz val="14"/>
      <color rgb="FF1F4E78"/>
      <name val="Arial"/>
    </font>
    <font>
      <i/>
      <sz val="9"/>
      <color rgb="FF808080"/>
      <name val="Arial"/>
    </font>
    <font>
      <sz val="11"/>
      <color rgb="FF0000FF"/>
      <name val="Arial"/>
    </font>
    <font>
      <b/>
      <sz val="12"/>
      <color rgb="FF1F4E78"/>
      <name val="Arial"/>
    </font>
    <font>
      <b/>
      <sz val="11"/>
      <color rgb="FFFFFFFF"/>
      <name val="Arial"/>
    </font>
    <font>
      <sz val="11"/>
      <color rgb="FF0000FF"/>
      <name val="Arial"/>
    </font>
    <font>
      <b/>
      <sz val="14"/>
      <color rgb="FF1F4E78"/>
      <name val="Arial"/>
    </font>
    <font>
      <i/>
      <sz val="9"/>
      <color rgb="FF808080"/>
      <name val="Arial"/>
    </font>
    <font>
      <b/>
      <sz val="12"/>
      <color rgb="FF1F4E78"/>
      <name val="Arial"/>
    </font>
    <font>
      <b/>
      <sz val="14"/>
      <color rgb="FF1F4E78"/>
      <name val="Arial"/>
    </font>
    <font>
      <i/>
      <sz val="9"/>
      <color rgb="FF808080"/>
      <name val="Arial"/>
    </font>
    <font>
      <sz val="11"/>
      <color rgb="FF0000FF"/>
      <name val="Arial"/>
    </font>
    <font>
      <b/>
      <sz val="11"/>
      <color rgb="FFFFFFFF"/>
      <name val="Arial"/>
    </font>
    <font>
      <b/>
      <sz val="11"/>
      <color rgb="FF1F4E78"/>
      <name val="Arial"/>
    </font>
    <font>
      <i/>
      <sz val="10"/>
      <color rgb="FF5A6B82"/>
      <name val="Arial"/>
    </font>
    <font>
      <b/>
      <sz val="10"/>
      <name val="Arial"/>
    </font>
    <font>
      <sz val="10"/>
      <name val="Arial"/>
    </font>
  </fonts>
  <fills count="51">
    <fill>
      <patternFill patternType="none"/>
    </fill>
    <fill>
      <patternFill patternType="gray125"/>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4E78"/>
      </patternFill>
    </fill>
    <fill>
      <patternFill patternType="solid">
        <fgColor rgb="FFFFF2CC"/>
      </patternFill>
    </fill>
    <fill>
      <patternFill patternType="solid">
        <fgColor rgb="FFF2F2F2"/>
      </patternFill>
    </fill>
    <fill>
      <patternFill patternType="solid">
        <fgColor rgb="FFEDEDED"/>
      </patternFill>
    </fill>
    <fill>
      <patternFill patternType="solid">
        <fgColor rgb="FFE2EFDA"/>
      </patternFill>
    </fill>
    <fill>
      <patternFill patternType="solid">
        <fgColor rgb="FFD9E1F2"/>
      </patternFill>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D9E1F2"/>
      </patternFill>
    </fill>
    <fill>
      <patternFill patternType="solid">
        <fgColor rgb="FF1F4E78"/>
      </patternFill>
    </fill>
    <fill>
      <patternFill patternType="solid">
        <fgColor rgb="FFF2F2F2"/>
      </patternFill>
    </fill>
    <fill>
      <patternFill patternType="solid">
        <fgColor rgb="FF4472C4"/>
      </patternFill>
    </fill>
    <fill>
      <patternFill patternType="solid">
        <fgColor rgb="FFED7D31"/>
      </patternFill>
    </fill>
    <fill>
      <patternFill patternType="solid">
        <fgColor rgb="FF70AD47"/>
      </patternFill>
    </fill>
    <fill>
      <patternFill patternType="solid">
        <fgColor rgb="FFFFC000"/>
      </patternFill>
    </fill>
    <fill>
      <patternFill patternType="solid">
        <fgColor rgb="FF7030A0"/>
      </patternFill>
    </fill>
    <fill>
      <patternFill patternType="solid">
        <fgColor rgb="FFFFF2CC"/>
      </patternFill>
    </fill>
    <fill>
      <patternFill patternType="solid">
        <fgColor rgb="FF1F4E78"/>
      </patternFill>
    </fill>
    <fill>
      <patternFill patternType="solid">
        <fgColor rgb="FFFFC7CE"/>
      </patternFill>
    </fill>
    <fill>
      <patternFill patternType="solid">
        <fgColor rgb="FF1F4E78"/>
      </patternFill>
    </fill>
    <fill>
      <patternFill patternType="solid">
        <fgColor rgb="FFF2F2F2"/>
      </patternFill>
    </fill>
    <fill>
      <patternFill patternType="solid">
        <fgColor rgb="FFE2EFDA"/>
      </patternFill>
    </fill>
    <fill>
      <patternFill patternType="solid">
        <fgColor rgb="FF1F4E78"/>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C7CE"/>
      </patternFill>
    </fill>
    <fill>
      <patternFill patternType="solid">
        <fgColor rgb="FF1F4E78"/>
      </patternFill>
    </fill>
    <fill>
      <patternFill patternType="solid">
        <fgColor rgb="FFF2F2F2"/>
      </patternFill>
    </fill>
    <fill>
      <patternFill patternType="solid">
        <fgColor rgb="FFFFF2CC"/>
      </patternFill>
    </fill>
    <fill>
      <patternFill patternType="solid">
        <fgColor rgb="FFE2EFDA"/>
      </patternFill>
    </fill>
    <fill>
      <patternFill patternType="solid">
        <fgColor rgb="FF4472C4"/>
      </patternFill>
    </fill>
    <fill>
      <patternFill patternType="solid">
        <fgColor rgb="FFED7D31"/>
      </patternFill>
    </fill>
    <fill>
      <patternFill patternType="solid">
        <fgColor rgb="FF70AD47"/>
      </patternFill>
    </fill>
    <fill>
      <patternFill patternType="solid">
        <fgColor rgb="FF1F4E78"/>
      </patternFill>
    </fill>
    <fill>
      <patternFill patternType="solid">
        <fgColor rgb="FFFFF2CC"/>
      </patternFill>
    </fill>
    <fill>
      <patternFill patternType="solid">
        <fgColor rgb="FFF2F2F2"/>
      </patternFill>
    </fill>
    <fill>
      <patternFill patternType="solid">
        <fgColor rgb="FFFFF2CC"/>
      </patternFill>
    </fill>
    <fill>
      <patternFill patternType="solid">
        <fgColor rgb="FF1F4E78"/>
      </patternFill>
    </fill>
    <fill>
      <patternFill patternType="solid">
        <fgColor rgb="FFF2F2F2"/>
      </patternFill>
    </fill>
    <fill>
      <patternFill patternType="solid">
        <fgColor rgb="FFD9E1F2"/>
      </patternFill>
    </fill>
  </fills>
  <borders count="1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8"/>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45">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0" fontId="5" fillId="3" borderId="1" xfId="0" applyFont="1" applyFill="1" applyBorder="1" applyAlignment="1">
      <alignment horizontal="center" vertical="center" wrapText="1"/>
    </xf>
    <xf numFmtId="0" fontId="2" fillId="0" borderId="1" xfId="0" applyFont="1" applyBorder="1"/>
    <xf numFmtId="9" fontId="5" fillId="3" borderId="1" xfId="0" applyNumberFormat="1" applyFont="1" applyFill="1" applyBorder="1" applyAlignment="1">
      <alignment horizontal="center" vertical="center" wrapText="1"/>
    </xf>
    <xf numFmtId="9" fontId="6" fillId="4" borderId="1" xfId="0" applyNumberFormat="1" applyFont="1" applyFill="1" applyBorder="1" applyAlignment="1">
      <alignment horizontal="center" vertical="center" wrapText="1"/>
    </xf>
    <xf numFmtId="0" fontId="6" fillId="0" borderId="1" xfId="0" applyFont="1" applyBorder="1" applyAlignment="1">
      <alignment horizontal="center" vertical="center" wrapText="1"/>
    </xf>
    <xf numFmtId="0" fontId="5" fillId="0" borderId="1" xfId="0" applyFont="1" applyBorder="1" applyAlignment="1">
      <alignment horizontal="left" vertical="center" wrapText="1"/>
    </xf>
    <xf numFmtId="0" fontId="0" fillId="5" borderId="1" xfId="0" applyFill="1" applyBorder="1"/>
    <xf numFmtId="0" fontId="4" fillId="5" borderId="1" xfId="0" applyFont="1" applyFill="1" applyBorder="1"/>
    <xf numFmtId="0" fontId="5" fillId="3" borderId="1" xfId="0" applyFont="1" applyFill="1" applyBorder="1" applyAlignment="1">
      <alignment horizontal="left" vertical="center" wrapText="1"/>
    </xf>
    <xf numFmtId="0" fontId="4" fillId="0" borderId="0" xfId="0" applyFont="1"/>
    <xf numFmtId="0" fontId="6" fillId="4" borderId="0" xfId="0" applyFont="1" applyFill="1"/>
    <xf numFmtId="164" fontId="5" fillId="3" borderId="1" xfId="0" applyNumberFormat="1" applyFont="1" applyFill="1" applyBorder="1" applyAlignment="1">
      <alignment horizontal="center" vertical="center" wrapText="1"/>
    </xf>
    <xf numFmtId="164" fontId="6" fillId="4" borderId="0" xfId="0" applyNumberFormat="1" applyFont="1" applyFill="1" applyAlignment="1">
      <alignment horizontal="center" vertical="center" wrapText="1"/>
    </xf>
    <xf numFmtId="164" fontId="6" fillId="0" borderId="1" xfId="0" applyNumberFormat="1" applyFont="1" applyBorder="1" applyAlignment="1">
      <alignment horizontal="center" vertical="center" wrapText="1"/>
    </xf>
    <xf numFmtId="0" fontId="6" fillId="6" borderId="1" xfId="0" applyFont="1" applyFill="1" applyBorder="1" applyAlignment="1">
      <alignment horizontal="left" vertical="center" wrapText="1"/>
    </xf>
    <xf numFmtId="9" fontId="4" fillId="5" borderId="1" xfId="0" applyNumberFormat="1" applyFont="1" applyFill="1" applyBorder="1"/>
    <xf numFmtId="165" fontId="4" fillId="5" borderId="1" xfId="0" applyNumberFormat="1" applyFont="1" applyFill="1" applyBorder="1"/>
    <xf numFmtId="166" fontId="6" fillId="0" borderId="1" xfId="0" applyNumberFormat="1" applyFont="1" applyBorder="1" applyAlignment="1">
      <alignment horizontal="center" vertical="center" wrapText="1"/>
    </xf>
    <xf numFmtId="165" fontId="6" fillId="4" borderId="1" xfId="0" applyNumberFormat="1" applyFont="1" applyFill="1" applyBorder="1" applyAlignment="1">
      <alignment horizontal="center" vertical="center" wrapText="1"/>
    </xf>
    <xf numFmtId="165" fontId="5" fillId="3" borderId="1" xfId="0" applyNumberFormat="1" applyFont="1" applyFill="1" applyBorder="1" applyAlignment="1">
      <alignment horizontal="center" vertical="center" wrapText="1"/>
    </xf>
    <xf numFmtId="165" fontId="4" fillId="4" borderId="0" xfId="0" applyNumberFormat="1" applyFont="1" applyFill="1"/>
    <xf numFmtId="1" fontId="6" fillId="4" borderId="1" xfId="0" applyNumberFormat="1" applyFont="1" applyFill="1" applyBorder="1" applyAlignment="1">
      <alignment horizontal="center" vertical="center" wrapText="1"/>
    </xf>
    <xf numFmtId="9" fontId="0" fillId="0" borderId="0" xfId="0" applyNumberFormat="1"/>
    <xf numFmtId="0" fontId="7" fillId="0" borderId="0" xfId="0" applyFont="1"/>
    <xf numFmtId="0" fontId="4" fillId="0" borderId="2" xfId="0" applyFont="1" applyBorder="1"/>
    <xf numFmtId="9" fontId="8" fillId="7" borderId="2" xfId="0" applyNumberFormat="1" applyFont="1" applyFill="1" applyBorder="1" applyAlignment="1">
      <alignment horizontal="center" vertical="center"/>
    </xf>
    <xf numFmtId="0" fontId="9" fillId="0" borderId="0" xfId="0" applyFont="1"/>
    <xf numFmtId="0" fontId="4" fillId="0" borderId="3" xfId="0" applyFont="1" applyBorder="1"/>
    <xf numFmtId="1" fontId="13" fillId="9" borderId="3" xfId="0" applyNumberFormat="1" applyFont="1" applyFill="1" applyBorder="1" applyAlignment="1">
      <alignment horizontal="center" vertical="center" wrapText="1"/>
    </xf>
    <xf numFmtId="0" fontId="11" fillId="0" borderId="3" xfId="0" applyFont="1" applyBorder="1"/>
    <xf numFmtId="165" fontId="6" fillId="10" borderId="3" xfId="0" applyNumberFormat="1" applyFont="1" applyFill="1" applyBorder="1" applyAlignment="1">
      <alignment horizontal="center" vertical="center" wrapText="1"/>
    </xf>
    <xf numFmtId="9" fontId="6" fillId="10" borderId="3" xfId="0" applyNumberFormat="1" applyFont="1" applyFill="1" applyBorder="1" applyAlignment="1">
      <alignment horizontal="center" vertical="center" wrapText="1"/>
    </xf>
    <xf numFmtId="0" fontId="10" fillId="0" borderId="0" xfId="0" applyFont="1"/>
    <xf numFmtId="0" fontId="11" fillId="0" borderId="0" xfId="0" applyFont="1"/>
    <xf numFmtId="0" fontId="12" fillId="8" borderId="3" xfId="0" applyFont="1" applyFill="1" applyBorder="1" applyAlignment="1">
      <alignment horizontal="center" vertical="center" wrapText="1"/>
    </xf>
    <xf numFmtId="0" fontId="4" fillId="0" borderId="4" xfId="0" applyFont="1" applyBorder="1" applyAlignment="1">
      <alignment horizontal="center" vertical="center" wrapText="1"/>
    </xf>
    <xf numFmtId="0" fontId="13" fillId="0" borderId="4" xfId="0" applyFont="1" applyBorder="1" applyAlignment="1">
      <alignment horizontal="left" vertical="center" wrapText="1"/>
    </xf>
    <xf numFmtId="0" fontId="6" fillId="0" borderId="4" xfId="0" applyFont="1" applyBorder="1" applyAlignment="1">
      <alignment horizontal="center" vertical="center" wrapText="1"/>
    </xf>
    <xf numFmtId="0" fontId="13" fillId="9" borderId="4" xfId="0" applyFont="1" applyFill="1" applyBorder="1" applyAlignment="1">
      <alignment horizontal="center" vertical="center" wrapText="1"/>
    </xf>
    <xf numFmtId="9" fontId="13" fillId="9" borderId="4" xfId="0" applyNumberFormat="1" applyFont="1" applyFill="1" applyBorder="1" applyAlignment="1">
      <alignment horizontal="center" vertical="center" wrapText="1"/>
    </xf>
    <xf numFmtId="9" fontId="6" fillId="0" borderId="4" xfId="0" applyNumberFormat="1" applyFont="1" applyBorder="1" applyAlignment="1">
      <alignment horizontal="center" vertical="center" wrapText="1"/>
    </xf>
    <xf numFmtId="165" fontId="4" fillId="10" borderId="4" xfId="0" applyNumberFormat="1" applyFont="1" applyFill="1" applyBorder="1" applyAlignment="1">
      <alignment horizontal="center" vertical="center" wrapText="1"/>
    </xf>
    <xf numFmtId="0" fontId="6" fillId="0" borderId="3" xfId="0" applyFont="1" applyBorder="1" applyAlignment="1">
      <alignment horizontal="center" vertical="center" wrapText="1"/>
    </xf>
    <xf numFmtId="165" fontId="4" fillId="10" borderId="3" xfId="0" applyNumberFormat="1" applyFont="1" applyFill="1" applyBorder="1" applyAlignment="1">
      <alignment horizontal="center" vertical="center" wrapText="1"/>
    </xf>
    <xf numFmtId="0" fontId="13" fillId="0" borderId="3" xfId="0" applyFont="1" applyBorder="1" applyAlignment="1">
      <alignment horizontal="left" vertical="center" wrapText="1"/>
    </xf>
    <xf numFmtId="0" fontId="13" fillId="9" borderId="3" xfId="0" applyFont="1" applyFill="1" applyBorder="1" applyAlignment="1">
      <alignment horizontal="center" vertical="center" wrapText="1"/>
    </xf>
    <xf numFmtId="9" fontId="13" fillId="9" borderId="3" xfId="0" applyNumberFormat="1" applyFont="1" applyFill="1" applyBorder="1" applyAlignment="1">
      <alignment horizontal="center" vertical="center" wrapText="1"/>
    </xf>
    <xf numFmtId="9" fontId="6" fillId="0" borderId="3" xfId="0" applyNumberFormat="1" applyFont="1" applyBorder="1" applyAlignment="1">
      <alignment horizontal="center" vertical="center" wrapText="1"/>
    </xf>
    <xf numFmtId="0" fontId="4" fillId="12" borderId="3" xfId="0" applyFont="1" applyFill="1" applyBorder="1"/>
    <xf numFmtId="165" fontId="4" fillId="12" borderId="3" xfId="0" applyNumberFormat="1" applyFont="1" applyFill="1" applyBorder="1"/>
    <xf numFmtId="0" fontId="4" fillId="11" borderId="4" xfId="0" applyFont="1" applyFill="1" applyBorder="1" applyAlignment="1">
      <alignment horizontal="center" vertical="center" wrapText="1"/>
    </xf>
    <xf numFmtId="0" fontId="6" fillId="11" borderId="3" xfId="0" applyFont="1" applyFill="1" applyBorder="1" applyAlignment="1">
      <alignment horizontal="center" vertical="center" wrapText="1"/>
    </xf>
    <xf numFmtId="0" fontId="13" fillId="9" borderId="3" xfId="0" applyFont="1" applyFill="1" applyBorder="1" applyAlignment="1">
      <alignment horizontal="left" vertical="center" wrapText="1"/>
    </xf>
    <xf numFmtId="0" fontId="14" fillId="0" borderId="0" xfId="0" applyFont="1"/>
    <xf numFmtId="0" fontId="6" fillId="0" borderId="3" xfId="0" applyFont="1" applyBorder="1"/>
    <xf numFmtId="9" fontId="4" fillId="10"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164" fontId="6" fillId="10" borderId="3" xfId="0" applyNumberFormat="1" applyFont="1" applyFill="1" applyBorder="1" applyAlignment="1">
      <alignment horizontal="center" vertical="center" wrapText="1"/>
    </xf>
    <xf numFmtId="0" fontId="6" fillId="0" borderId="3" xfId="0" applyFont="1" applyBorder="1" applyAlignment="1">
      <alignment horizontal="left" vertical="center" wrapText="1"/>
    </xf>
    <xf numFmtId="0" fontId="6" fillId="10" borderId="3" xfId="0" applyFont="1" applyFill="1" applyBorder="1" applyAlignment="1">
      <alignment horizontal="center" vertical="center" wrapText="1"/>
    </xf>
    <xf numFmtId="0" fontId="0" fillId="12" borderId="3" xfId="0" applyFill="1" applyBorder="1"/>
    <xf numFmtId="9" fontId="4" fillId="12" borderId="3" xfId="0" applyNumberFormat="1" applyFont="1" applyFill="1" applyBorder="1"/>
    <xf numFmtId="1" fontId="0" fillId="10" borderId="0" xfId="0" applyNumberFormat="1" applyFill="1" applyAlignment="1">
      <alignment horizontal="center" vertical="center" wrapText="1"/>
    </xf>
    <xf numFmtId="0" fontId="4" fillId="0" borderId="3" xfId="0" applyFont="1" applyBorder="1" applyAlignment="1">
      <alignment horizontal="left" vertical="center" wrapText="1"/>
    </xf>
    <xf numFmtId="165" fontId="6" fillId="0" borderId="3" xfId="0" applyNumberFormat="1" applyFont="1" applyBorder="1" applyAlignment="1">
      <alignment horizontal="center" vertical="center" wrapText="1"/>
    </xf>
    <xf numFmtId="0" fontId="6" fillId="10" borderId="3" xfId="0" applyFont="1" applyFill="1" applyBorder="1" applyAlignment="1">
      <alignment horizontal="left" vertical="center" wrapText="1"/>
    </xf>
    <xf numFmtId="165" fontId="13" fillId="9" borderId="3" xfId="0" applyNumberFormat="1" applyFont="1" applyFill="1" applyBorder="1" applyAlignment="1">
      <alignment horizontal="center" vertical="center" wrapText="1"/>
    </xf>
    <xf numFmtId="2" fontId="6" fillId="10" borderId="3" xfId="0" applyNumberFormat="1" applyFont="1" applyFill="1" applyBorder="1" applyAlignment="1">
      <alignment horizontal="center" vertical="center" wrapText="1"/>
    </xf>
    <xf numFmtId="2" fontId="4"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0" fontId="15" fillId="0" borderId="0" xfId="0" applyFont="1"/>
    <xf numFmtId="1" fontId="16" fillId="13" borderId="3" xfId="0" applyNumberFormat="1" applyFont="1" applyFill="1" applyBorder="1" applyAlignment="1">
      <alignment horizontal="center" vertical="center" wrapText="1"/>
    </xf>
    <xf numFmtId="165" fontId="16" fillId="13" borderId="3" xfId="0" applyNumberFormat="1" applyFont="1" applyFill="1" applyBorder="1" applyAlignment="1">
      <alignment horizontal="center" vertical="center" wrapText="1"/>
    </xf>
    <xf numFmtId="9" fontId="16" fillId="13" borderId="3" xfId="0" applyNumberFormat="1" applyFont="1" applyFill="1" applyBorder="1" applyAlignment="1">
      <alignment horizontal="center" vertical="center" wrapText="1"/>
    </xf>
    <xf numFmtId="3" fontId="16" fillId="13" borderId="3" xfId="0" applyNumberFormat="1" applyFont="1" applyFill="1" applyBorder="1" applyAlignment="1">
      <alignment horizontal="center" vertical="center" wrapText="1"/>
    </xf>
    <xf numFmtId="164" fontId="16" fillId="13" borderId="3" xfId="0" applyNumberFormat="1" applyFont="1" applyFill="1" applyBorder="1" applyAlignment="1">
      <alignment horizontal="center" vertical="center" wrapText="1"/>
    </xf>
    <xf numFmtId="2" fontId="16" fillId="13" borderId="3" xfId="0" applyNumberFormat="1" applyFont="1" applyFill="1" applyBorder="1" applyAlignment="1">
      <alignment horizontal="center" vertical="center" wrapText="1"/>
    </xf>
    <xf numFmtId="0" fontId="18" fillId="0" borderId="0" xfId="0" applyFont="1"/>
    <xf numFmtId="1" fontId="6" fillId="16" borderId="3" xfId="0" applyNumberFormat="1" applyFont="1" applyFill="1" applyBorder="1" applyAlignment="1">
      <alignment horizontal="center" vertical="center" wrapText="1"/>
    </xf>
    <xf numFmtId="1" fontId="6" fillId="0" borderId="1" xfId="0" applyNumberFormat="1" applyFont="1" applyBorder="1" applyAlignment="1">
      <alignment horizontal="center" vertical="center" wrapText="1"/>
    </xf>
    <xf numFmtId="165" fontId="6" fillId="16" borderId="1" xfId="0" applyNumberFormat="1" applyFont="1" applyFill="1" applyBorder="1" applyAlignment="1">
      <alignment horizontal="center" vertical="center" wrapText="1"/>
    </xf>
    <xf numFmtId="0" fontId="6" fillId="16" borderId="1" xfId="0" applyFont="1" applyFill="1" applyBorder="1" applyAlignment="1">
      <alignment horizontal="center" vertical="center" wrapText="1"/>
    </xf>
    <xf numFmtId="165" fontId="6" fillId="16" borderId="3" xfId="0" applyNumberFormat="1" applyFont="1" applyFill="1" applyBorder="1" applyAlignment="1">
      <alignment horizontal="center" vertical="center" wrapText="1"/>
    </xf>
    <xf numFmtId="0" fontId="4" fillId="0" borderId="7" xfId="0" applyFont="1" applyBorder="1"/>
    <xf numFmtId="49" fontId="6" fillId="16" borderId="7" xfId="0" applyNumberFormat="1" applyFont="1" applyFill="1" applyBorder="1" applyAlignment="1">
      <alignment horizontal="center" vertical="center" wrapText="1"/>
    </xf>
    <xf numFmtId="1" fontId="6" fillId="16" borderId="7" xfId="0" applyNumberFormat="1" applyFont="1" applyFill="1" applyBorder="1" applyAlignment="1">
      <alignment horizontal="center" vertical="center" wrapText="1"/>
    </xf>
    <xf numFmtId="0" fontId="17" fillId="0" borderId="0" xfId="0" applyFont="1"/>
    <xf numFmtId="0" fontId="19" fillId="14" borderId="7" xfId="0" applyFont="1" applyFill="1" applyBorder="1" applyAlignment="1">
      <alignment horizontal="center" vertical="center" wrapText="1"/>
    </xf>
    <xf numFmtId="0" fontId="20" fillId="15" borderId="7" xfId="0" applyFont="1" applyFill="1" applyBorder="1" applyAlignment="1">
      <alignment horizontal="left" vertical="center" wrapText="1"/>
    </xf>
    <xf numFmtId="0" fontId="20" fillId="3" borderId="1" xfId="0" applyFont="1" applyFill="1" applyBorder="1" applyAlignment="1">
      <alignment horizontal="center" vertical="center" wrapText="1"/>
    </xf>
    <xf numFmtId="0" fontId="20" fillId="3" borderId="1" xfId="0" applyFont="1" applyFill="1" applyBorder="1" applyAlignment="1">
      <alignment horizontal="left" vertical="center" wrapText="1"/>
    </xf>
    <xf numFmtId="165" fontId="20" fillId="3" borderId="1" xfId="0" applyNumberFormat="1" applyFont="1" applyFill="1" applyBorder="1" applyAlignment="1">
      <alignment horizontal="center" vertical="center" wrapText="1"/>
    </xf>
    <xf numFmtId="165" fontId="20" fillId="9" borderId="3" xfId="0" applyNumberFormat="1" applyFont="1" applyFill="1" applyBorder="1" applyAlignment="1">
      <alignment horizontal="center" vertical="center" wrapText="1"/>
    </xf>
    <xf numFmtId="1" fontId="20" fillId="15" borderId="7" xfId="0" applyNumberFormat="1" applyFont="1" applyFill="1" applyBorder="1" applyAlignment="1">
      <alignment horizontal="center" vertical="center" wrapText="1"/>
    </xf>
    <xf numFmtId="0" fontId="20" fillId="9" borderId="3" xfId="0" applyFont="1" applyFill="1" applyBorder="1" applyAlignment="1">
      <alignment horizontal="center" vertical="center" wrapText="1"/>
    </xf>
    <xf numFmtId="1" fontId="20" fillId="9" borderId="3" xfId="0" applyNumberFormat="1" applyFont="1" applyFill="1" applyBorder="1" applyAlignment="1">
      <alignment horizontal="center" vertical="center" wrapText="1"/>
    </xf>
    <xf numFmtId="1" fontId="0" fillId="15" borderId="7" xfId="0" applyNumberFormat="1" applyFill="1" applyBorder="1" applyAlignment="1">
      <alignment horizontal="center" vertical="center" wrapText="1"/>
    </xf>
    <xf numFmtId="165" fontId="6" fillId="16" borderId="7" xfId="0" applyNumberFormat="1" applyFont="1" applyFill="1" applyBorder="1" applyAlignment="1">
      <alignment horizontal="center" vertical="center" wrapText="1"/>
    </xf>
    <xf numFmtId="9" fontId="4" fillId="16" borderId="7" xfId="0" applyNumberFormat="1" applyFont="1" applyFill="1" applyBorder="1" applyAlignment="1">
      <alignment horizontal="center" vertical="center" wrapText="1"/>
    </xf>
    <xf numFmtId="165" fontId="4" fillId="17" borderId="7" xfId="0" applyNumberFormat="1" applyFont="1" applyFill="1" applyBorder="1"/>
    <xf numFmtId="9" fontId="4" fillId="17" borderId="7" xfId="0" applyNumberFormat="1" applyFont="1" applyFill="1" applyBorder="1"/>
    <xf numFmtId="1" fontId="16" fillId="18" borderId="7" xfId="0" applyNumberFormat="1" applyFont="1" applyFill="1" applyBorder="1" applyAlignment="1">
      <alignment horizontal="center" vertical="center" wrapText="1"/>
    </xf>
    <xf numFmtId="164" fontId="20" fillId="15" borderId="7" xfId="0" applyNumberFormat="1" applyFont="1" applyFill="1" applyBorder="1" applyAlignment="1">
      <alignment horizontal="center" vertical="center" wrapText="1"/>
    </xf>
    <xf numFmtId="9" fontId="6" fillId="16" borderId="7" xfId="0" applyNumberFormat="1" applyFont="1" applyFill="1" applyBorder="1" applyAlignment="1">
      <alignment horizontal="center" vertical="center" wrapText="1"/>
    </xf>
    <xf numFmtId="0" fontId="20" fillId="15" borderId="7" xfId="0" applyFont="1" applyFill="1" applyBorder="1" applyAlignment="1">
      <alignment horizontal="center" vertical="center" wrapText="1"/>
    </xf>
    <xf numFmtId="0" fontId="6" fillId="0" borderId="7" xfId="0" applyFont="1" applyBorder="1" applyAlignment="1">
      <alignment horizontal="center" vertical="center" wrapText="1"/>
    </xf>
    <xf numFmtId="2" fontId="6" fillId="16" borderId="7" xfId="0" applyNumberFormat="1" applyFont="1" applyFill="1" applyBorder="1" applyAlignment="1">
      <alignment horizontal="center" vertical="center" wrapText="1"/>
    </xf>
    <xf numFmtId="0" fontId="4" fillId="16" borderId="7" xfId="0" applyFont="1" applyFill="1" applyBorder="1" applyAlignment="1">
      <alignment horizontal="center" vertical="center" wrapText="1"/>
    </xf>
    <xf numFmtId="0" fontId="3" fillId="14" borderId="7" xfId="0" applyFont="1" applyFill="1" applyBorder="1" applyAlignment="1">
      <alignment horizontal="center" vertical="center" wrapText="1"/>
    </xf>
    <xf numFmtId="167" fontId="16" fillId="18" borderId="7" xfId="0" applyNumberFormat="1" applyFont="1" applyFill="1" applyBorder="1" applyAlignment="1">
      <alignment horizontal="center" vertical="center" wrapText="1"/>
    </xf>
    <xf numFmtId="167" fontId="6" fillId="0" borderId="0" xfId="0" applyNumberFormat="1" applyFont="1"/>
    <xf numFmtId="0" fontId="21" fillId="0" borderId="0" xfId="0" applyFont="1"/>
    <xf numFmtId="0" fontId="22" fillId="0" borderId="0" xfId="0" applyFont="1"/>
    <xf numFmtId="0" fontId="23" fillId="19" borderId="8" xfId="0" applyFont="1" applyFill="1" applyBorder="1" applyAlignment="1">
      <alignment horizontal="center" vertical="center" wrapText="1"/>
    </xf>
    <xf numFmtId="0" fontId="6" fillId="0" borderId="8" xfId="0" applyFont="1" applyBorder="1" applyAlignment="1">
      <alignment horizontal="center" vertical="center" wrapText="1"/>
    </xf>
    <xf numFmtId="0" fontId="6" fillId="0" borderId="8" xfId="0" applyFont="1" applyBorder="1" applyAlignment="1">
      <alignment horizontal="left" vertical="center" wrapText="1"/>
    </xf>
    <xf numFmtId="164" fontId="6" fillId="20" borderId="8" xfId="0" applyNumberFormat="1" applyFont="1" applyFill="1" applyBorder="1" applyAlignment="1">
      <alignment horizontal="center" vertical="center" wrapText="1"/>
    </xf>
    <xf numFmtId="1" fontId="6" fillId="20" borderId="8" xfId="0" applyNumberFormat="1" applyFont="1" applyFill="1" applyBorder="1" applyAlignment="1">
      <alignment horizontal="center" vertical="center" wrapText="1"/>
    </xf>
    <xf numFmtId="0" fontId="6" fillId="21" borderId="8" xfId="0" applyFont="1" applyFill="1" applyBorder="1" applyAlignment="1">
      <alignment horizontal="center" vertical="center" wrapText="1"/>
    </xf>
    <xf numFmtId="0" fontId="6" fillId="22" borderId="8" xfId="0" applyFont="1" applyFill="1" applyBorder="1" applyAlignment="1">
      <alignment horizontal="center" vertical="center" wrapText="1"/>
    </xf>
    <xf numFmtId="0" fontId="6" fillId="23" borderId="8" xfId="0" applyFont="1" applyFill="1" applyBorder="1" applyAlignment="1">
      <alignment horizontal="center" vertical="center" wrapText="1"/>
    </xf>
    <xf numFmtId="0" fontId="6" fillId="24" borderId="8" xfId="0" applyFont="1" applyFill="1" applyBorder="1" applyAlignment="1">
      <alignment horizontal="center" vertical="center" wrapText="1"/>
    </xf>
    <xf numFmtId="0" fontId="6" fillId="25" borderId="8" xfId="0" applyFont="1" applyFill="1" applyBorder="1" applyAlignment="1">
      <alignment horizontal="center" vertical="center" wrapText="1"/>
    </xf>
    <xf numFmtId="168" fontId="20" fillId="15" borderId="7" xfId="0" applyNumberFormat="1" applyFont="1" applyFill="1" applyBorder="1" applyAlignment="1">
      <alignment horizontal="center" vertical="center" wrapText="1"/>
    </xf>
    <xf numFmtId="168" fontId="0" fillId="15" borderId="7" xfId="0" applyNumberFormat="1" applyFill="1" applyBorder="1" applyAlignment="1">
      <alignment horizontal="center" vertical="center" wrapText="1"/>
    </xf>
    <xf numFmtId="167" fontId="4" fillId="16" borderId="7" xfId="0" applyNumberFormat="1" applyFont="1" applyFill="1" applyBorder="1" applyAlignment="1">
      <alignment horizontal="center" vertical="center" wrapText="1"/>
    </xf>
    <xf numFmtId="0" fontId="24" fillId="26" borderId="8" xfId="0" applyFont="1" applyFill="1" applyBorder="1" applyAlignment="1">
      <alignment horizontal="center" vertical="center" wrapText="1"/>
    </xf>
    <xf numFmtId="0" fontId="25" fillId="0" borderId="0" xfId="0" applyFont="1"/>
    <xf numFmtId="0" fontId="23" fillId="21" borderId="8" xfId="0" applyFont="1" applyFill="1" applyBorder="1" applyAlignment="1">
      <alignment horizontal="center" vertical="center"/>
    </xf>
    <xf numFmtId="0" fontId="23" fillId="22" borderId="8" xfId="0" applyFont="1" applyFill="1" applyBorder="1" applyAlignment="1">
      <alignment horizontal="center" vertical="center"/>
    </xf>
    <xf numFmtId="0" fontId="23" fillId="23" borderId="8" xfId="0" applyFont="1" applyFill="1" applyBorder="1" applyAlignment="1">
      <alignment horizontal="center" vertical="center"/>
    </xf>
    <xf numFmtId="0" fontId="26" fillId="0" borderId="0" xfId="0" applyFont="1" applyAlignment="1">
      <alignment horizontal="center" vertical="center"/>
    </xf>
    <xf numFmtId="0" fontId="23" fillId="24" borderId="8" xfId="0" applyFont="1" applyFill="1" applyBorder="1" applyAlignment="1">
      <alignment horizontal="center" vertical="center"/>
    </xf>
    <xf numFmtId="0" fontId="27" fillId="27" borderId="9" xfId="0" applyFont="1" applyFill="1" applyBorder="1" applyAlignment="1">
      <alignment horizontal="center" vertical="center" wrapText="1"/>
    </xf>
    <xf numFmtId="0" fontId="4" fillId="28" borderId="9" xfId="0" applyFont="1" applyFill="1" applyBorder="1" applyAlignment="1">
      <alignment horizontal="center" vertical="center" wrapText="1"/>
    </xf>
    <xf numFmtId="0" fontId="4" fillId="0" borderId="9" xfId="0" applyFont="1" applyBorder="1" applyAlignment="1">
      <alignment horizontal="center" vertical="center" wrapText="1"/>
    </xf>
    <xf numFmtId="0" fontId="28" fillId="0" borderId="0" xfId="0" applyFont="1"/>
    <xf numFmtId="0" fontId="29" fillId="0" borderId="0" xfId="0" applyFont="1"/>
    <xf numFmtId="0" fontId="30" fillId="29" borderId="10" xfId="0" applyFont="1" applyFill="1" applyBorder="1" applyAlignment="1">
      <alignment horizontal="center" vertical="center" wrapText="1"/>
    </xf>
    <xf numFmtId="0" fontId="6" fillId="0" borderId="10" xfId="0" applyFont="1" applyBorder="1" applyAlignment="1">
      <alignment horizontal="center" vertical="center" wrapText="1"/>
    </xf>
    <xf numFmtId="9" fontId="6" fillId="30" borderId="10" xfId="0" applyNumberFormat="1" applyFont="1" applyFill="1" applyBorder="1" applyAlignment="1">
      <alignment horizontal="center" vertical="center" wrapText="1"/>
    </xf>
    <xf numFmtId="0" fontId="4" fillId="31" borderId="10" xfId="0" applyFont="1" applyFill="1" applyBorder="1"/>
    <xf numFmtId="9" fontId="4" fillId="31" borderId="10" xfId="0" applyNumberFormat="1" applyFont="1" applyFill="1" applyBorder="1"/>
    <xf numFmtId="0" fontId="4" fillId="0" borderId="0" xfId="0" applyFont="1" applyAlignment="1">
      <alignment horizontal="center" vertical="center" wrapText="1"/>
    </xf>
    <xf numFmtId="9" fontId="4" fillId="0" borderId="0" xfId="0" applyNumberFormat="1" applyFont="1" applyAlignment="1">
      <alignment horizontal="center" vertical="center" wrapText="1"/>
    </xf>
    <xf numFmtId="0" fontId="31" fillId="0" borderId="0" xfId="0" applyFont="1"/>
    <xf numFmtId="0" fontId="32" fillId="0" borderId="0" xfId="0" applyFont="1"/>
    <xf numFmtId="0" fontId="33" fillId="32" borderId="11" xfId="0" applyFont="1" applyFill="1" applyBorder="1" applyAlignment="1">
      <alignment horizontal="center" vertical="center" wrapText="1"/>
    </xf>
    <xf numFmtId="0" fontId="4" fillId="0" borderId="11" xfId="0" applyFont="1" applyBorder="1" applyAlignment="1">
      <alignment horizontal="center" vertical="center" wrapText="1"/>
    </xf>
    <xf numFmtId="0" fontId="6" fillId="0" borderId="11" xfId="0" applyFont="1" applyBorder="1" applyAlignment="1">
      <alignment horizontal="left" vertical="center" wrapText="1"/>
    </xf>
    <xf numFmtId="0" fontId="6" fillId="0" borderId="11" xfId="0" applyFont="1" applyBorder="1" applyAlignment="1">
      <alignment horizontal="center" vertical="center" wrapText="1"/>
    </xf>
    <xf numFmtId="0" fontId="4" fillId="33" borderId="11" xfId="0" applyFont="1" applyFill="1" applyBorder="1" applyAlignment="1">
      <alignment horizontal="center" vertical="center" wrapText="1"/>
    </xf>
    <xf numFmtId="0" fontId="4" fillId="34" borderId="11" xfId="0" applyFont="1" applyFill="1" applyBorder="1" applyAlignment="1">
      <alignment horizontal="center" vertical="center" wrapText="1"/>
    </xf>
    <xf numFmtId="0" fontId="4" fillId="35" borderId="11" xfId="0" applyFont="1" applyFill="1" applyBorder="1" applyAlignment="1">
      <alignment horizontal="center" vertical="center" wrapText="1"/>
    </xf>
    <xf numFmtId="0" fontId="4" fillId="36" borderId="11" xfId="0" applyFont="1" applyFill="1" applyBorder="1" applyAlignment="1">
      <alignment horizontal="center" vertical="center" wrapText="1"/>
    </xf>
    <xf numFmtId="0" fontId="34" fillId="0" borderId="0" xfId="0" applyFont="1"/>
    <xf numFmtId="0" fontId="35" fillId="37" borderId="12" xfId="0" applyFont="1" applyFill="1" applyBorder="1" applyAlignment="1">
      <alignment horizontal="center" vertical="center" wrapText="1"/>
    </xf>
    <xf numFmtId="0" fontId="6" fillId="38" borderId="12" xfId="0" applyFont="1" applyFill="1" applyBorder="1" applyAlignment="1">
      <alignment horizontal="center" vertical="center" wrapText="1"/>
    </xf>
    <xf numFmtId="0" fontId="36" fillId="0" borderId="0" xfId="0" applyFont="1"/>
    <xf numFmtId="0" fontId="37" fillId="0" borderId="0" xfId="0" applyFont="1"/>
    <xf numFmtId="0" fontId="4" fillId="0" borderId="12" xfId="0" applyFont="1" applyBorder="1" applyAlignment="1">
      <alignment horizontal="left" vertical="center" wrapText="1"/>
    </xf>
    <xf numFmtId="1" fontId="6" fillId="0" borderId="12" xfId="0" applyNumberFormat="1" applyFont="1" applyBorder="1" applyAlignment="1">
      <alignment horizontal="center" vertical="center" wrapText="1"/>
    </xf>
    <xf numFmtId="165" fontId="6" fillId="38" borderId="12" xfId="0" applyNumberFormat="1" applyFont="1" applyFill="1" applyBorder="1" applyAlignment="1">
      <alignment horizontal="center" vertical="center" wrapText="1"/>
    </xf>
    <xf numFmtId="9" fontId="4" fillId="38" borderId="12" xfId="0" applyNumberFormat="1" applyFont="1" applyFill="1" applyBorder="1" applyAlignment="1">
      <alignment horizontal="center" vertical="center" wrapText="1"/>
    </xf>
    <xf numFmtId="9" fontId="6" fillId="38" borderId="12" xfId="0" applyNumberFormat="1" applyFont="1" applyFill="1" applyBorder="1" applyAlignment="1">
      <alignment horizontal="center" vertical="center" wrapText="1"/>
    </xf>
    <xf numFmtId="0" fontId="38" fillId="39" borderId="12" xfId="0" applyFont="1" applyFill="1" applyBorder="1" applyAlignment="1">
      <alignment horizontal="left" vertical="center" wrapText="1"/>
    </xf>
    <xf numFmtId="0" fontId="4" fillId="40" borderId="12" xfId="0" applyFont="1" applyFill="1" applyBorder="1"/>
    <xf numFmtId="165" fontId="4" fillId="40" borderId="12" xfId="0" applyNumberFormat="1" applyFont="1" applyFill="1" applyBorder="1"/>
    <xf numFmtId="9" fontId="4" fillId="40" borderId="12" xfId="0" applyNumberFormat="1" applyFont="1" applyFill="1" applyBorder="1"/>
    <xf numFmtId="0" fontId="0" fillId="40" borderId="12" xfId="0" applyFill="1" applyBorder="1"/>
    <xf numFmtId="0" fontId="38" fillId="39" borderId="12" xfId="0" applyFont="1" applyFill="1" applyBorder="1" applyAlignment="1">
      <alignment horizontal="center" vertical="center" wrapText="1"/>
    </xf>
    <xf numFmtId="0" fontId="39" fillId="0" borderId="0" xfId="0" applyFont="1"/>
    <xf numFmtId="0" fontId="6" fillId="0" borderId="12" xfId="0" applyFont="1" applyBorder="1" applyAlignment="1">
      <alignment horizontal="center" vertical="center" wrapText="1"/>
    </xf>
    <xf numFmtId="0" fontId="4" fillId="38" borderId="12" xfId="0" applyFont="1" applyFill="1" applyBorder="1" applyAlignment="1">
      <alignment horizontal="center" vertical="center" wrapText="1"/>
    </xf>
    <xf numFmtId="9" fontId="4" fillId="0" borderId="0" xfId="0" applyNumberFormat="1" applyFont="1"/>
    <xf numFmtId="3" fontId="38" fillId="39" borderId="12" xfId="0" applyNumberFormat="1" applyFont="1" applyFill="1" applyBorder="1"/>
    <xf numFmtId="3" fontId="6" fillId="38" borderId="12" xfId="0" applyNumberFormat="1" applyFont="1" applyFill="1" applyBorder="1" applyAlignment="1">
      <alignment horizontal="center" vertical="center" wrapText="1"/>
    </xf>
    <xf numFmtId="3" fontId="4" fillId="0" borderId="0" xfId="0" applyNumberFormat="1" applyFont="1"/>
    <xf numFmtId="165" fontId="4" fillId="38" borderId="12" xfId="0" applyNumberFormat="1" applyFont="1" applyFill="1" applyBorder="1" applyAlignment="1">
      <alignment horizontal="center" vertical="center" wrapText="1"/>
    </xf>
    <xf numFmtId="1" fontId="4" fillId="0" borderId="12" xfId="0" applyNumberFormat="1" applyFont="1" applyBorder="1" applyAlignment="1">
      <alignment horizontal="center" vertical="center" wrapText="1"/>
    </xf>
    <xf numFmtId="0" fontId="0" fillId="39" borderId="12" xfId="0" applyFill="1" applyBorder="1" applyAlignment="1">
      <alignment horizontal="center" vertical="center" wrapText="1"/>
    </xf>
    <xf numFmtId="0" fontId="6" fillId="0" borderId="0" xfId="0" applyFont="1"/>
    <xf numFmtId="0" fontId="4" fillId="0" borderId="12" xfId="0" applyFont="1" applyBorder="1"/>
    <xf numFmtId="165" fontId="6" fillId="0" borderId="0" xfId="0" applyNumberFormat="1" applyFont="1"/>
    <xf numFmtId="1" fontId="4" fillId="38" borderId="12" xfId="0" applyNumberFormat="1" applyFont="1" applyFill="1" applyBorder="1" applyAlignment="1">
      <alignment horizontal="center" vertical="center" wrapText="1"/>
    </xf>
    <xf numFmtId="0" fontId="6" fillId="0" borderId="12" xfId="0" applyFont="1" applyBorder="1" applyAlignment="1">
      <alignment horizontal="left" vertical="center" wrapText="1"/>
    </xf>
    <xf numFmtId="168" fontId="6" fillId="38" borderId="12" xfId="0" applyNumberFormat="1" applyFont="1" applyFill="1" applyBorder="1" applyAlignment="1">
      <alignment horizontal="center" vertical="center" wrapText="1"/>
    </xf>
    <xf numFmtId="1" fontId="6" fillId="38" borderId="12" xfId="0" applyNumberFormat="1" applyFont="1" applyFill="1" applyBorder="1" applyAlignment="1">
      <alignment horizontal="center" vertical="center" wrapText="1"/>
    </xf>
    <xf numFmtId="0" fontId="6" fillId="41" borderId="12" xfId="0" applyFont="1" applyFill="1" applyBorder="1" applyAlignment="1">
      <alignment horizontal="center" vertical="center" wrapText="1"/>
    </xf>
    <xf numFmtId="0" fontId="6" fillId="42" borderId="12" xfId="0" applyFont="1" applyFill="1" applyBorder="1" applyAlignment="1">
      <alignment horizontal="center" vertical="center" wrapText="1"/>
    </xf>
    <xf numFmtId="0" fontId="6" fillId="43" borderId="12" xfId="0" applyFont="1" applyFill="1" applyBorder="1" applyAlignment="1">
      <alignment horizontal="center" vertical="center" wrapText="1"/>
    </xf>
    <xf numFmtId="168" fontId="6" fillId="0" borderId="12" xfId="0" applyNumberFormat="1" applyFont="1" applyBorder="1" applyAlignment="1">
      <alignment horizontal="center" vertical="center" wrapText="1"/>
    </xf>
    <xf numFmtId="167" fontId="4" fillId="38" borderId="0" xfId="0" applyNumberFormat="1" applyFont="1" applyFill="1"/>
    <xf numFmtId="0" fontId="42" fillId="0" borderId="0" xfId="0" applyFont="1"/>
    <xf numFmtId="0" fontId="43" fillId="0" borderId="0" xfId="0" applyFont="1"/>
    <xf numFmtId="0" fontId="40" fillId="44" borderId="13" xfId="0" applyFont="1" applyFill="1" applyBorder="1" applyAlignment="1">
      <alignment horizontal="center" vertical="center" wrapText="1"/>
    </xf>
    <xf numFmtId="0" fontId="41" fillId="45" borderId="13" xfId="0" applyFont="1" applyFill="1" applyBorder="1" applyAlignment="1">
      <alignment horizontal="center" vertical="center" wrapText="1"/>
    </xf>
    <xf numFmtId="0" fontId="41" fillId="45" borderId="13" xfId="0" applyFont="1" applyFill="1" applyBorder="1" applyAlignment="1">
      <alignment horizontal="left" vertical="center" wrapText="1"/>
    </xf>
    <xf numFmtId="164" fontId="6" fillId="46" borderId="13" xfId="0" applyNumberFormat="1" applyFont="1" applyFill="1" applyBorder="1" applyAlignment="1">
      <alignment horizontal="center" vertical="center" wrapText="1"/>
    </xf>
    <xf numFmtId="0" fontId="41" fillId="0" borderId="13" xfId="0" applyFont="1" applyBorder="1" applyAlignment="1">
      <alignment horizontal="center" vertical="center" wrapText="1"/>
    </xf>
    <xf numFmtId="0" fontId="6" fillId="46" borderId="13" xfId="0" applyFont="1" applyFill="1" applyBorder="1" applyAlignment="1">
      <alignment horizontal="center" vertical="center" wrapText="1"/>
    </xf>
    <xf numFmtId="165" fontId="6" fillId="46" borderId="13" xfId="0" applyNumberFormat="1" applyFont="1" applyFill="1" applyBorder="1" applyAlignment="1">
      <alignment horizontal="center" vertical="center" wrapText="1"/>
    </xf>
    <xf numFmtId="0" fontId="44" fillId="0" borderId="0" xfId="0" applyFont="1"/>
    <xf numFmtId="0" fontId="6" fillId="0" borderId="13" xfId="0" applyFont="1" applyBorder="1" applyAlignment="1">
      <alignment horizontal="center" vertical="center" wrapText="1"/>
    </xf>
    <xf numFmtId="0" fontId="4" fillId="46" borderId="13" xfId="0" applyFont="1" applyFill="1" applyBorder="1" applyAlignment="1">
      <alignment horizontal="center" vertical="center" wrapText="1"/>
    </xf>
    <xf numFmtId="165" fontId="41" fillId="45" borderId="13" xfId="0" applyNumberFormat="1" applyFont="1" applyFill="1" applyBorder="1" applyAlignment="1">
      <alignment horizontal="center" vertical="center" wrapText="1"/>
    </xf>
    <xf numFmtId="0" fontId="0" fillId="45" borderId="13" xfId="0" applyFill="1" applyBorder="1" applyAlignment="1">
      <alignment horizontal="center" vertical="center" wrapText="1"/>
    </xf>
    <xf numFmtId="1" fontId="41" fillId="45" borderId="13" xfId="0" applyNumberFormat="1" applyFont="1" applyFill="1" applyBorder="1" applyAlignment="1">
      <alignment horizontal="center" vertical="center" wrapText="1"/>
    </xf>
    <xf numFmtId="0" fontId="45" fillId="0" borderId="0" xfId="0" applyFont="1"/>
    <xf numFmtId="0" fontId="46" fillId="0" borderId="0" xfId="0" applyFont="1"/>
    <xf numFmtId="1" fontId="47" fillId="47" borderId="14" xfId="0" applyNumberFormat="1" applyFont="1" applyFill="1" applyBorder="1" applyAlignment="1">
      <alignment horizontal="center" vertical="center" wrapText="1"/>
    </xf>
    <xf numFmtId="167" fontId="4" fillId="49" borderId="14" xfId="0" applyNumberFormat="1" applyFont="1" applyFill="1" applyBorder="1" applyAlignment="1">
      <alignment horizontal="center" vertical="center" wrapText="1"/>
    </xf>
    <xf numFmtId="0" fontId="48" fillId="48" borderId="14" xfId="0" applyFont="1" applyFill="1" applyBorder="1" applyAlignment="1">
      <alignment horizontal="center" vertical="center" wrapText="1"/>
    </xf>
    <xf numFmtId="0" fontId="6" fillId="0" borderId="14" xfId="0" applyFont="1" applyBorder="1" applyAlignment="1">
      <alignment horizontal="center" vertical="center" wrapText="1"/>
    </xf>
    <xf numFmtId="168" fontId="6" fillId="0" borderId="14" xfId="0" applyNumberFormat="1" applyFont="1" applyBorder="1" applyAlignment="1">
      <alignment horizontal="center" vertical="center" wrapText="1"/>
    </xf>
    <xf numFmtId="1" fontId="6" fillId="49" borderId="14" xfId="0" applyNumberFormat="1" applyFont="1" applyFill="1" applyBorder="1" applyAlignment="1">
      <alignment horizontal="center" vertical="center" wrapText="1"/>
    </xf>
    <xf numFmtId="1" fontId="6" fillId="0" borderId="14" xfId="0" applyNumberFormat="1" applyFont="1" applyBorder="1" applyAlignment="1">
      <alignment horizontal="center" vertical="center" wrapText="1"/>
    </xf>
    <xf numFmtId="0" fontId="49" fillId="0" borderId="0" xfId="0" applyFont="1"/>
    <xf numFmtId="0" fontId="4" fillId="0" borderId="15" xfId="0" applyFont="1" applyBorder="1"/>
    <xf numFmtId="167" fontId="16" fillId="50" borderId="15" xfId="0" applyNumberFormat="1" applyFont="1" applyFill="1" applyBorder="1" applyAlignment="1">
      <alignment horizontal="center" vertical="center"/>
    </xf>
    <xf numFmtId="0" fontId="50" fillId="0" borderId="0" xfId="0" applyFont="1"/>
    <xf numFmtId="0" fontId="48" fillId="48" borderId="16" xfId="0" applyFont="1" applyFill="1" applyBorder="1" applyAlignment="1">
      <alignment horizontal="center" vertical="center" wrapText="1"/>
    </xf>
    <xf numFmtId="0" fontId="4" fillId="0" borderId="16" xfId="0" applyFont="1" applyBorder="1"/>
    <xf numFmtId="0" fontId="6" fillId="0" borderId="16" xfId="0" applyFont="1" applyBorder="1"/>
    <xf numFmtId="169" fontId="6" fillId="0" borderId="16" xfId="0" applyNumberFormat="1" applyFont="1" applyBorder="1" applyAlignment="1">
      <alignment horizontal="center"/>
    </xf>
    <xf numFmtId="0" fontId="6" fillId="0" borderId="16" xfId="0" applyFont="1" applyBorder="1" applyAlignment="1">
      <alignment horizontal="center"/>
    </xf>
    <xf numFmtId="9" fontId="6" fillId="0" borderId="16" xfId="0" applyNumberFormat="1" applyFont="1" applyBorder="1"/>
    <xf numFmtId="170" fontId="4" fillId="0" borderId="16" xfId="0" applyNumberFormat="1" applyFont="1" applyBorder="1"/>
    <xf numFmtId="0" fontId="4" fillId="0" borderId="16" xfId="0" applyFont="1" applyBorder="1" applyAlignment="1">
      <alignment horizontal="center"/>
    </xf>
    <xf numFmtId="0" fontId="51" fillId="0" borderId="0" xfId="0" applyFont="1"/>
    <xf numFmtId="0" fontId="52" fillId="0" borderId="0" xfId="0" applyFont="1"/>
    <xf numFmtId="0" fontId="52" fillId="0" borderId="0" xfId="0" applyFont="1" applyAlignment="1">
      <alignment horizontal="left"/>
    </xf>
    <xf numFmtId="0" fontId="4" fillId="0" borderId="16" xfId="0" applyFont="1" applyBorder="1" applyAlignment="1">
      <alignment vertical="center"/>
    </xf>
    <xf numFmtId="0" fontId="6" fillId="0" borderId="16" xfId="0" applyFont="1" applyBorder="1" applyAlignment="1">
      <alignment vertical="center" wrapText="1"/>
    </xf>
    <xf numFmtId="0" fontId="6" fillId="0" borderId="16" xfId="0" applyFont="1" applyBorder="1" applyAlignment="1">
      <alignment vertical="center"/>
    </xf>
    <xf numFmtId="0" fontId="48" fillId="48" borderId="0" xfId="0" applyFont="1" applyFill="1"/>
    <xf numFmtId="0" fontId="16" fillId="13" borderId="14" xfId="0" applyFont="1" applyFill="1" applyBorder="1" applyAlignment="1">
      <alignment horizontal="left" vertical="center" wrapText="1"/>
    </xf>
    <xf numFmtId="0" fontId="0" fillId="0" borderId="5" xfId="0" applyBorder="1"/>
    <xf numFmtId="0" fontId="0" fillId="0" borderId="6" xfId="0" applyBorder="1"/>
    <xf numFmtId="0" fontId="5" fillId="39" borderId="12" xfId="0" applyFont="1" applyFill="1" applyBorder="1" applyAlignment="1">
      <alignment horizontal="left" vertical="center" wrapText="1"/>
    </xf>
  </cellXfs>
  <cellStyles count="1">
    <cellStyle name="Обычный" xfId="0" builtinId="0"/>
  </cellStyles>
  <dxfs count="47">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E2EFDA"/>
        </patternFill>
      </fill>
    </dxf>
    <dxf>
      <fill>
        <patternFill patternType="solid">
          <fgColor rgb="FFE2EFDA"/>
        </patternFill>
      </fill>
    </dxf>
    <dxf>
      <fill>
        <patternFill patternType="solid">
          <fgColor rgb="FFFFF2CC"/>
        </patternFill>
      </fill>
    </dxf>
    <dxf>
      <fill>
        <patternFill patternType="solid">
          <fgColor rgb="FFF8D7DA"/>
        </patternFill>
      </fill>
    </dxf>
    <dxf>
      <fill>
        <patternFill patternType="solid">
          <fgColor rgb="FFF8D7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F8D7DA"/>
        </patternFill>
      </fill>
    </dxf>
    <dxf>
      <fill>
        <patternFill patternType="solid">
          <fgColor rgb="FFFFF2CC"/>
        </patternFill>
      </fill>
    </dxf>
    <dxf>
      <fill>
        <patternFill patternType="solid">
          <fgColor rgb="FFE2EF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План </a:t>
            </a:r>
            <a:r>
              <a:rPr lang="en-US"/>
              <a:t>vs </a:t>
            </a:r>
            <a:r>
              <a:rPr lang="ru-RU"/>
              <a:t>Факт (</a:t>
            </a:r>
            <a:r>
              <a:rPr lang="en-US"/>
              <a:t>velocity)</a:t>
            </a:r>
          </a:p>
        </c:rich>
      </c:tx>
      <c:overlay val="0"/>
    </c:title>
    <c:autoTitleDeleted val="0"/>
    <c:plotArea>
      <c:layout/>
      <c:lineChart>
        <c:grouping val="standard"/>
        <c:varyColors val="1"/>
        <c:ser>
          <c:idx val="0"/>
          <c:order val="0"/>
          <c:tx>
            <c:strRef>
              <c:f>'Дорожная карта'!$G$5</c:f>
              <c:strCache>
                <c:ptCount val="1"/>
                <c:pt idx="0">
                  <c:v>План трудо-
ёмкости (дн)</c:v>
                </c:pt>
              </c:strCache>
            </c:strRef>
          </c:tx>
          <c:spPr>
            <a:ln>
              <a:solidFill>
                <a:srgbClr val="8EAADB"/>
              </a:solidFill>
              <a:prstDash val="dash"/>
            </a:ln>
          </c:spPr>
          <c:marker>
            <c:symbol val="none"/>
          </c:marker>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карта'!$G$6:$G$16</c:f>
              <c:numCache>
                <c:formatCode>#\ ##0.0</c:formatCode>
                <c:ptCount val="11"/>
                <c:pt idx="0">
                  <c:v>22</c:v>
                </c:pt>
                <c:pt idx="1">
                  <c:v>24</c:v>
                </c:pt>
                <c:pt idx="2">
                  <c:v>29</c:v>
                </c:pt>
                <c:pt idx="3">
                  <c:v>19</c:v>
                </c:pt>
                <c:pt idx="4">
                  <c:v>13</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0-4F7F-4FB6-8F7F-6ADC747A27F9}"/>
            </c:ext>
          </c:extLst>
        </c:ser>
        <c:ser>
          <c:idx val="1"/>
          <c:order val="1"/>
          <c:tx>
            <c:strRef>
              <c:f>'Дорожная карта'!$I$5</c:f>
              <c:strCache>
                <c:ptCount val="1"/>
                <c:pt idx="0">
                  <c:v>Факт /
Velocity (дн)</c:v>
                </c:pt>
              </c:strCache>
            </c:strRef>
          </c:tx>
          <c:spPr>
            <a:ln w="28000">
              <a:solidFill>
                <a:srgbClr val="C00000"/>
              </a:solidFill>
              <a:prstDash val="solid"/>
            </a:ln>
          </c:spPr>
          <c:marker>
            <c:symbol val="none"/>
          </c:marker>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карта'!$I$6:$I$16</c:f>
              <c:numCache>
                <c:formatCode>#\ ##0.0</c:formatCode>
                <c:ptCount val="11"/>
                <c:pt idx="0">
                  <c:v>17</c:v>
                </c:pt>
                <c:pt idx="1">
                  <c:v>21</c:v>
                </c:pt>
                <c:pt idx="2">
                  <c:v>0</c:v>
                </c:pt>
                <c:pt idx="3">
                  <c:v>0</c:v>
                </c:pt>
                <c:pt idx="4">
                  <c:v>0</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1-4F7F-4FB6-8F7F-6ADC747A27F9}"/>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Трудомощность </a:t>
            </a:r>
            <a:r>
              <a:rPr lang="en-US"/>
              <a:t>vs </a:t>
            </a:r>
            <a:r>
              <a:rPr lang="ru-RU"/>
              <a:t>План (дн)</a:t>
            </a:r>
          </a:p>
        </c:rich>
      </c:tx>
      <c:overlay val="0"/>
    </c:title>
    <c:autoTitleDeleted val="0"/>
    <c:plotArea>
      <c:layout/>
      <c:barChart>
        <c:barDir val="col"/>
        <c:grouping val="clustered"/>
        <c:varyColors val="1"/>
        <c:ser>
          <c:idx val="0"/>
          <c:order val="0"/>
          <c:tx>
            <c:strRef>
              <c:f>'Дорожная карта'!$F$5</c:f>
              <c:strCache>
                <c:ptCount val="1"/>
                <c:pt idx="0">
                  <c:v>Трудомощность
(дн)</c:v>
                </c:pt>
              </c:strCache>
            </c:strRef>
          </c:tx>
          <c:spPr>
            <a:solidFill>
              <a:srgbClr val="8EAADB"/>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карта'!$F$6:$F$16</c:f>
              <c:numCache>
                <c:formatCode>#\ ##0.0</c:formatCode>
                <c:ptCount val="11"/>
                <c:pt idx="0">
                  <c:v>92.800000000000011</c:v>
                </c:pt>
                <c:pt idx="1">
                  <c:v>95.2</c:v>
                </c:pt>
                <c:pt idx="2">
                  <c:v>95.2</c:v>
                </c:pt>
                <c:pt idx="3">
                  <c:v>95.2</c:v>
                </c:pt>
                <c:pt idx="4">
                  <c:v>93.2</c:v>
                </c:pt>
                <c:pt idx="5">
                  <c:v>95.2</c:v>
                </c:pt>
                <c:pt idx="6">
                  <c:v>85.680000000000021</c:v>
                </c:pt>
                <c:pt idx="7">
                  <c:v>91.2</c:v>
                </c:pt>
                <c:pt idx="8">
                  <c:v>95.2</c:v>
                </c:pt>
                <c:pt idx="9">
                  <c:v>95.2</c:v>
                </c:pt>
                <c:pt idx="10">
                  <c:v>85.680000000000021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566-4433-909F-6311AE59715C}"/>
            </c:ext>
          </c:extLst>
        </c:ser>
        <c:ser>
          <c:idx val="1"/>
          <c:order val="1"/>
          <c:tx>
            <c:strRef>
              <c:f>'Дорожная карта'!$G$5</c:f>
              <c:strCache>
                <c:ptCount val="1"/>
                <c:pt idx="0">
                  <c:v>План трудо-
ёмкости (дн)</c:v>
                </c:pt>
              </c:strCache>
            </c:strRef>
          </c:tx>
          <c:spPr>
            <a:solidFill>
              <a:srgbClr val="FFC000"/>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карта'!$G$6:$G$16</c:f>
              <c:numCache>
                <c:formatCode>#\ ##0.0</c:formatCode>
                <c:ptCount val="11"/>
                <c:pt idx="0">
                  <c:v>22</c:v>
                </c:pt>
                <c:pt idx="1">
                  <c:v>24</c:v>
                </c:pt>
                <c:pt idx="2">
                  <c:v>29</c:v>
                </c:pt>
                <c:pt idx="3">
                  <c:v>19</c:v>
                </c:pt>
                <c:pt idx="4">
                  <c:v>13</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566-4433-909F-6311AE59715C}"/>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Трудомощность </a:t>
            </a:r>
            <a:r>
              <a:rPr lang="en-US"/>
              <a:t>vs </a:t>
            </a:r>
            <a:r>
              <a:rPr lang="ru-RU"/>
              <a:t>План (дни)</a:t>
            </a:r>
          </a:p>
        </c:rich>
      </c:tx>
      <c:overlay val="0"/>
    </c:title>
    <c:autoTitleDeleted val="0"/>
    <c:plotArea>
      <c:layout/>
      <c:barChart>
        <c:barDir val="col"/>
        <c:grouping val="clustered"/>
        <c:varyColors val="1"/>
        <c:ser>
          <c:idx val="0"/>
          <c:order val="0"/>
          <c:tx>
            <c:strRef>
              <c:f>'Дорожная карта'!$F$5</c:f>
              <c:strCache>
                <c:ptCount val="1"/>
                <c:pt idx="0">
                  <c:v>Трудомощность
(дн)</c:v>
                </c:pt>
              </c:strCache>
            </c:strRef>
          </c:tx>
          <c:spPr>
            <a:solidFill>
              <a:srgbClr val="8EAADB"/>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карта'!$F$6:$F$16</c:f>
              <c:numCache>
                <c:formatCode>#\ ##0.0</c:formatCode>
                <c:ptCount val="11"/>
                <c:pt idx="0">
                  <c:v>92.800000000000011</c:v>
                </c:pt>
                <c:pt idx="1">
                  <c:v>95.2</c:v>
                </c:pt>
                <c:pt idx="2">
                  <c:v>95.2</c:v>
                </c:pt>
                <c:pt idx="3">
                  <c:v>95.2</c:v>
                </c:pt>
                <c:pt idx="4">
                  <c:v>93.2</c:v>
                </c:pt>
                <c:pt idx="5">
                  <c:v>95.2</c:v>
                </c:pt>
                <c:pt idx="6">
                  <c:v>85.680000000000021</c:v>
                </c:pt>
                <c:pt idx="7">
                  <c:v>91.2</c:v>
                </c:pt>
                <c:pt idx="8">
                  <c:v>95.2</c:v>
                </c:pt>
                <c:pt idx="9">
                  <c:v>95.2</c:v>
                </c:pt>
                <c:pt idx="10">
                  <c:v>85.680000000000021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094-4D66-85E4-CF0F2E9BFC48}"/>
            </c:ext>
          </c:extLst>
        </c:ser>
        <c:ser>
          <c:idx val="1"/>
          <c:order val="1"/>
          <c:tx>
            <c:strRef>
              <c:f>'Дорожная карта'!$G$5</c:f>
              <c:strCache>
                <c:ptCount val="1"/>
                <c:pt idx="0">
                  <c:v>План трудо-
ёмкости (дн)</c:v>
                </c:pt>
              </c:strCache>
            </c:strRef>
          </c:tx>
          <c:spPr>
            <a:solidFill>
              <a:srgbClr val="FFC000"/>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карта'!$G$6:$G$16</c:f>
              <c:numCache>
                <c:formatCode>#\ ##0.0</c:formatCode>
                <c:ptCount val="11"/>
                <c:pt idx="0">
                  <c:v>22</c:v>
                </c:pt>
                <c:pt idx="1">
                  <c:v>24</c:v>
                </c:pt>
                <c:pt idx="2">
                  <c:v>29</c:v>
                </c:pt>
                <c:pt idx="3">
                  <c:v>19</c:v>
                </c:pt>
                <c:pt idx="4">
                  <c:v>13</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094-4D66-85E4-CF0F2E9BFC48}"/>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План </a:t>
            </a:r>
            <a:r>
              <a:rPr lang="en-US"/>
              <a:t>vs </a:t>
            </a:r>
            <a:r>
              <a:rPr lang="ru-RU"/>
              <a:t>Факт (</a:t>
            </a:r>
            <a:r>
              <a:rPr lang="en-US"/>
              <a:t>velocity) </a:t>
            </a:r>
            <a:r>
              <a:rPr lang="ru-RU"/>
              <a:t>по спринтам</a:t>
            </a:r>
          </a:p>
        </c:rich>
      </c:tx>
      <c:overlay val="0"/>
    </c:title>
    <c:autoTitleDeleted val="0"/>
    <c:plotArea>
      <c:layout/>
      <c:lineChart>
        <c:grouping val="standard"/>
        <c:varyColors val="1"/>
        <c:ser>
          <c:idx val="0"/>
          <c:order val="0"/>
          <c:tx>
            <c:strRef>
              <c:f>'Дорожная карта'!$G$5</c:f>
              <c:strCache>
                <c:ptCount val="1"/>
                <c:pt idx="0">
                  <c:v>План трудо-
ёмкости (дн)</c:v>
                </c:pt>
              </c:strCache>
            </c:strRef>
          </c:tx>
          <c:spPr>
            <a:ln>
              <a:solidFill>
                <a:srgbClr val="8EAADB"/>
              </a:solidFill>
              <a:prstDash val="dash"/>
            </a:ln>
          </c:spPr>
          <c:marker>
            <c:symbol val="none"/>
          </c:marker>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карта'!$G$6:$G$16</c:f>
              <c:numCache>
                <c:formatCode>#\ ##0.0</c:formatCode>
                <c:ptCount val="11"/>
                <c:pt idx="0">
                  <c:v>22</c:v>
                </c:pt>
                <c:pt idx="1">
                  <c:v>24</c:v>
                </c:pt>
                <c:pt idx="2">
                  <c:v>29</c:v>
                </c:pt>
                <c:pt idx="3">
                  <c:v>19</c:v>
                </c:pt>
                <c:pt idx="4">
                  <c:v>13</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0-318A-4AC1-83A9-590425A61898}"/>
            </c:ext>
          </c:extLst>
        </c:ser>
        <c:ser>
          <c:idx val="1"/>
          <c:order val="1"/>
          <c:tx>
            <c:strRef>
              <c:f>'Дорожная карта'!$I$5</c:f>
              <c:strCache>
                <c:ptCount val="1"/>
                <c:pt idx="0">
                  <c:v>Факт /
Velocity (дн)</c:v>
                </c:pt>
              </c:strCache>
            </c:strRef>
          </c:tx>
          <c:spPr>
            <a:ln w="28000">
              <a:solidFill>
                <a:srgbClr val="C00000"/>
              </a:solidFill>
              <a:prstDash val="solid"/>
            </a:ln>
          </c:spPr>
          <c:marker>
            <c:symbol val="none"/>
          </c:marker>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карта'!$I$6:$I$16</c:f>
              <c:numCache>
                <c:formatCode>#\ ##0.0</c:formatCode>
                <c:ptCount val="11"/>
                <c:pt idx="0">
                  <c:v>17</c:v>
                </c:pt>
                <c:pt idx="1">
                  <c:v>21</c:v>
                </c:pt>
                <c:pt idx="2">
                  <c:v>0</c:v>
                </c:pt>
                <c:pt idx="3">
                  <c:v>0</c:v>
                </c:pt>
                <c:pt idx="4">
                  <c:v>0</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1-318A-4AC1-83A9-590425A61898}"/>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 выполнения по спринтам (цвет по порогам, цель 100%)</a:t>
            </a:r>
          </a:p>
        </c:rich>
      </c:tx>
      <c:overlay val="0"/>
    </c:title>
    <c:autoTitleDeleted val="0"/>
    <c:plotArea>
      <c:layout/>
      <c:barChart>
        <c:barDir val="col"/>
        <c:grouping val="clustered"/>
        <c:varyColors val="1"/>
        <c:ser>
          <c:idx val="0"/>
          <c:order val="0"/>
          <c:tx>
            <c:strRef>
              <c:f>'Дорожная карта'!$AB$5</c:f>
              <c:strCache>
                <c:ptCount val="1"/>
                <c:pt idx="0">
                  <c:v>≥90%</c:v>
                </c:pt>
              </c:strCache>
            </c:strRef>
          </c:tx>
          <c:spPr>
            <a:solidFill>
              <a:srgbClr val="70AD47"/>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карта'!$AB$6:$AB$16</c:f>
              <c:numCache>
                <c:formatCode>0%</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539-4347-8A28-D47807B80DD4}"/>
            </c:ext>
          </c:extLst>
        </c:ser>
        <c:ser>
          <c:idx val="1"/>
          <c:order val="1"/>
          <c:tx>
            <c:strRef>
              <c:f>'Дорожная карта'!$AC$5</c:f>
              <c:strCache>
                <c:ptCount val="1"/>
                <c:pt idx="0">
                  <c:v>70–90%</c:v>
                </c:pt>
              </c:strCache>
            </c:strRef>
          </c:tx>
          <c:spPr>
            <a:solidFill>
              <a:srgbClr val="FFC000"/>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карта'!$AC$6:$AC$16</c:f>
              <c:numCache>
                <c:formatCode>0%</c:formatCode>
                <c:ptCount val="11"/>
                <c:pt idx="0">
                  <c:v>0.77272727272727271</c:v>
                </c:pt>
                <c:pt idx="1">
                  <c:v>0.875</c:v>
                </c:pt>
                <c:pt idx="2">
                  <c:v>#N/A</c:v>
                </c:pt>
                <c:pt idx="3">
                  <c:v>#N/A</c:v>
                </c:pt>
                <c:pt idx="4">
                  <c:v>#N/A</c:v>
                </c:pt>
                <c:pt idx="5">
                  <c:v>#N/A</c:v>
                </c:pt>
                <c:pt idx="6">
                  <c:v>#N/A</c:v>
                </c:pt>
                <c:pt idx="7">
                  <c:v>#N/A</c:v>
                </c:pt>
                <c:pt idx="8">
                  <c:v>#N/A</c:v>
                </c:pt>
                <c:pt idx="9">
                  <c:v>#N/A</c:v>
                </c:pt>
                <c:pt idx="10">
                  <c:v>#N/A</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539-4347-8A28-D47807B80DD4}"/>
            </c:ext>
          </c:extLst>
        </c:ser>
        <c:ser>
          <c:idx val="2"/>
          <c:order val="2"/>
          <c:tx>
            <c:strRef>
              <c:f>'Дорожная карта'!$AD$5</c:f>
              <c:strCache>
                <c:ptCount val="1"/>
                <c:pt idx="0">
                  <c:v>&lt;70%</c:v>
                </c:pt>
              </c:strCache>
            </c:strRef>
          </c:tx>
          <c:spPr>
            <a:solidFill>
              <a:srgbClr val="C00000"/>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карта'!$AD$6:$AD$16</c:f>
              <c:numCache>
                <c:formatCode>0%</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539-4347-8A28-D47807B80DD4}"/>
            </c:ext>
          </c:extLst>
        </c:ser>
        <c:dLbls>
          <c:showLegendKey val="0"/>
          <c:showVal val="0"/>
          <c:showCatName val="0"/>
          <c:showSerName val="0"/>
          <c:showPercent val="0"/>
          <c:showBubbleSize val="0"/>
        </c:dLbls>
        <c:gapWidth val="60"/>
        <c:overlap val="100"/>
        <c:axId val="10"/>
        <c:axId val="100"/>
      </c:barChart>
      <c:lineChart>
        <c:grouping val="standard"/>
        <c:varyColors val="1"/>
        <c:ser>
          <c:idx val="3"/>
          <c:order val="3"/>
          <c:tx>
            <c:strRef>
              <c:f>'Дорожная карта'!$AE$5</c:f>
              <c:strCache>
                <c:ptCount val="1"/>
                <c:pt idx="0">
                  <c:v>Цель 100%</c:v>
                </c:pt>
              </c:strCache>
            </c:strRef>
          </c:tx>
          <c:spPr>
            <a:ln w="38100">
              <a:solidFill>
                <a:srgbClr val="404040"/>
              </a:solidFill>
              <a:prstDash val="dash"/>
            </a:ln>
          </c:spPr>
          <c:marker>
            <c:symbol val="none"/>
          </c:marker>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карта'!$AE$6:$AE$16</c:f>
              <c:numCache>
                <c:formatCode>0%</c:formatCode>
                <c:ptCount val="11"/>
                <c:pt idx="0">
                  <c:v>1</c:v>
                </c:pt>
                <c:pt idx="1">
                  <c:v>1</c:v>
                </c:pt>
                <c:pt idx="2">
                  <c:v>1</c:v>
                </c:pt>
                <c:pt idx="3">
                  <c:v>1</c:v>
                </c:pt>
                <c:pt idx="4">
                  <c:v>1</c:v>
                </c:pt>
                <c:pt idx="5">
                  <c:v>1</c:v>
                </c:pt>
                <c:pt idx="6">
                  <c:v>1</c:v>
                </c:pt>
                <c:pt idx="7">
                  <c:v>1</c:v>
                </c:pt>
                <c:pt idx="8">
                  <c:v>1</c:v>
                </c:pt>
                <c:pt idx="9">
                  <c:v>1</c:v>
                </c:pt>
                <c:pt idx="10">
                  <c:v>1</c:v>
                </c:pt>
              </c:numCache>
            </c:numRef>
          </c:val>
          <c:smooth val="1"/>
          <c:extLst>
            <c:ext xmlns:c16="http://schemas.microsoft.com/office/drawing/2014/chart" uri="{C3380CC4-5D6E-409C-BE32-E72D297353CC}">
              <c16:uniqueId val="{00000003-6539-4347-8A28-D47807B80DD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max val="1.1000000000000001"/>
          <c:min val="0"/>
        </c:scaling>
        <c:delete val="0"/>
        <c:axPos val="l"/>
        <c:majorGridlines/>
        <c:title>
          <c:tx>
            <c:rich>
              <a:bodyPr/>
              <a:lstStyle/>
              <a:p>
                <a:pPr>
                  <a:defRPr/>
                </a:pPr>
                <a:r>
                  <a:rPr lang="ru-RU"/>
                  <a:t>% выполнения</a:t>
                </a:r>
              </a:p>
            </c:rich>
          </c:tx>
          <c:overlay val="1"/>
        </c:title>
        <c:numFmt formatCode="0%" sourceLinked="0"/>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Ёмкость / План / Факт по кварталам</a:t>
            </a:r>
          </a:p>
        </c:rich>
      </c:tx>
      <c:overlay val="0"/>
    </c:title>
    <c:autoTitleDeleted val="0"/>
    <c:plotArea>
      <c:layout/>
      <c:barChart>
        <c:barDir val="col"/>
        <c:grouping val="clustered"/>
        <c:varyColors val="1"/>
        <c:ser>
          <c:idx val="0"/>
          <c:order val="0"/>
          <c:tx>
            <c:strRef>
              <c:f>Кварталы!$C$4</c:f>
              <c:strCache>
                <c:ptCount val="1"/>
                <c:pt idx="0">
                  <c:v>Трудомощность
(дн)</c:v>
                </c:pt>
              </c:strCache>
            </c:strRef>
          </c:tx>
          <c:spPr>
            <a:solidFill>
              <a:srgbClr val="8EAADB"/>
            </a:solidFill>
            <a:ln>
              <a:prstDash val="solid"/>
            </a:ln>
          </c:spPr>
          <c:invertIfNegative val="1"/>
          <c:cat>
            <c:strRef>
              <c:f>Кварталы!$A$5:$A$7</c:f>
              <c:strCache>
                <c:ptCount val="3"/>
                <c:pt idx="0">
                  <c:v>Q3 2026</c:v>
                </c:pt>
                <c:pt idx="1">
                  <c:v>Q4 2026</c:v>
                </c:pt>
                <c:pt idx="2">
                  <c:v>Q1 2027</c:v>
                </c:pt>
              </c:strCache>
            </c:strRef>
          </c:cat>
          <c:val>
            <c:numRef>
              <c:f>Кварталы!$C$5:$C$7</c:f>
              <c:numCache>
                <c:formatCode>#\ ##0.0</c:formatCode>
                <c:ptCount val="3"/>
                <c:pt idx="0">
                  <c:v>471.59999999999997</c:v>
                </c:pt>
                <c:pt idx="1">
                  <c:v>548.16000000000008</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BFC-42C7-911C-932BCD1ACE4D}"/>
            </c:ext>
          </c:extLst>
        </c:ser>
        <c:ser>
          <c:idx val="1"/>
          <c:order val="1"/>
          <c:tx>
            <c:strRef>
              <c:f>Кварталы!$D$4</c:f>
              <c:strCache>
                <c:ptCount val="1"/>
                <c:pt idx="0">
                  <c:v>План
(дн)</c:v>
                </c:pt>
              </c:strCache>
            </c:strRef>
          </c:tx>
          <c:spPr>
            <a:solidFill>
              <a:srgbClr val="FFC000"/>
            </a:solidFill>
            <a:ln>
              <a:prstDash val="solid"/>
            </a:ln>
          </c:spPr>
          <c:invertIfNegative val="1"/>
          <c:cat>
            <c:strRef>
              <c:f>Кварталы!$A$5:$A$7</c:f>
              <c:strCache>
                <c:ptCount val="3"/>
                <c:pt idx="0">
                  <c:v>Q3 2026</c:v>
                </c:pt>
                <c:pt idx="1">
                  <c:v>Q4 2026</c:v>
                </c:pt>
                <c:pt idx="2">
                  <c:v>Q1 2027</c:v>
                </c:pt>
              </c:strCache>
            </c:strRef>
          </c:cat>
          <c:val>
            <c:numRef>
              <c:f>Кварталы!$D$5:$D$7</c:f>
              <c:numCache>
                <c:formatCode>#\ ##0.0</c:formatCode>
                <c:ptCount val="3"/>
                <c:pt idx="0">
                  <c:v>107</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BFC-42C7-911C-932BCD1ACE4D}"/>
            </c:ext>
          </c:extLst>
        </c:ser>
        <c:ser>
          <c:idx val="2"/>
          <c:order val="2"/>
          <c:tx>
            <c:strRef>
              <c:f>Кварталы!$E$4</c:f>
              <c:strCache>
                <c:ptCount val="1"/>
                <c:pt idx="0">
                  <c:v>Velocity
(дн)</c:v>
                </c:pt>
              </c:strCache>
            </c:strRef>
          </c:tx>
          <c:spPr>
            <a:solidFill>
              <a:srgbClr val="C00000"/>
            </a:solidFill>
            <a:ln>
              <a:prstDash val="solid"/>
            </a:ln>
          </c:spPr>
          <c:invertIfNegative val="1"/>
          <c:cat>
            <c:strRef>
              <c:f>Кварталы!$A$5:$A$7</c:f>
              <c:strCache>
                <c:ptCount val="3"/>
                <c:pt idx="0">
                  <c:v>Q3 2026</c:v>
                </c:pt>
                <c:pt idx="1">
                  <c:v>Q4 2026</c:v>
                </c:pt>
                <c:pt idx="2">
                  <c:v>Q1 2027</c:v>
                </c:pt>
              </c:strCache>
            </c:strRef>
          </c:cat>
          <c:val>
            <c:numRef>
              <c:f>Кварталы!$E$5:$E$7</c:f>
              <c:numCache>
                <c:formatCode>#\ ##0.0</c:formatCode>
                <c:ptCount val="3"/>
                <c:pt idx="0">
                  <c:v>38</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BFC-42C7-911C-932BCD1ACE4D}"/>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 ##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 выполнения по кварталам</a:t>
            </a:r>
          </a:p>
        </c:rich>
      </c:tx>
      <c:overlay val="0"/>
    </c:title>
    <c:autoTitleDeleted val="0"/>
    <c:plotArea>
      <c:layout/>
      <c:barChart>
        <c:barDir val="col"/>
        <c:grouping val="clustered"/>
        <c:varyColors val="1"/>
        <c:ser>
          <c:idx val="0"/>
          <c:order val="0"/>
          <c:tx>
            <c:strRef>
              <c:f>Кварталы!$G$4</c:f>
              <c:strCache>
                <c:ptCount val="1"/>
                <c:pt idx="0">
                  <c:v>% выпол-
нения</c:v>
                </c:pt>
              </c:strCache>
            </c:strRef>
          </c:tx>
          <c:spPr>
            <a:solidFill>
              <a:srgbClr val="70AD47"/>
            </a:solidFill>
            <a:ln>
              <a:prstDash val="solid"/>
            </a:ln>
          </c:spPr>
          <c:invertIfNegative val="1"/>
          <c:cat>
            <c:strRef>
              <c:f>Кварталы!$A$5:$A$7</c:f>
              <c:strCache>
                <c:ptCount val="3"/>
                <c:pt idx="0">
                  <c:v>Q3 2026</c:v>
                </c:pt>
                <c:pt idx="1">
                  <c:v>Q4 2026</c:v>
                </c:pt>
                <c:pt idx="2">
                  <c:v>Q1 2027</c:v>
                </c:pt>
              </c:strCache>
            </c:strRef>
          </c:cat>
          <c:val>
            <c:numRef>
              <c:f>Кварталы!$G$5:$G$7</c:f>
              <c:numCache>
                <c:formatCode>0%</c:formatCode>
                <c:ptCount val="3"/>
                <c:pt idx="0">
                  <c:v>0.35514018691588783</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6FD-4526-BF1F-9BCF566900FC}"/>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Roadmap </a:t>
            </a:r>
            <a:r>
              <a:rPr lang="ru-RU"/>
              <a:t>спринтов по кварталам</a:t>
            </a:r>
          </a:p>
        </c:rich>
      </c:tx>
      <c:overlay val="0"/>
    </c:title>
    <c:autoTitleDeleted val="0"/>
    <c:plotArea>
      <c:layout/>
      <c:barChart>
        <c:barDir val="bar"/>
        <c:grouping val="stacked"/>
        <c:varyColors val="1"/>
        <c:ser>
          <c:idx val="0"/>
          <c:order val="0"/>
          <c:tx>
            <c:strRef>
              <c:f>'Квартальный roadmap'!$C$4</c:f>
              <c:strCache>
                <c:ptCount val="1"/>
                <c:pt idx="0">
                  <c:v>Начало</c:v>
                </c:pt>
              </c:strCache>
            </c:strRef>
          </c:tx>
          <c:spPr>
            <a:noFill/>
            <a:ln>
              <a:noFill/>
              <a:prstDash val="solid"/>
            </a:ln>
          </c:spPr>
          <c:invertIfNegative val="1"/>
          <c:cat>
            <c:strRef>
              <c:f>'Квартальный roadmap'!$A$5:$A$15</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'Квартальный roadmap'!$C$5:$C$15</c:f>
              <c:numCache>
                <c:formatCode>dd\.mm\.yy</c:formatCode>
                <c:ptCount val="11"/>
                <c:pt idx="0">
                  <c:v>46237</c:v>
                </c:pt>
                <c:pt idx="1">
                  <c:v>46251</c:v>
                </c:pt>
                <c:pt idx="2">
                  <c:v>46265</c:v>
                </c:pt>
                <c:pt idx="3">
                  <c:v>46279</c:v>
                </c:pt>
                <c:pt idx="4">
                  <c:v>46293</c:v>
                </c:pt>
                <c:pt idx="5">
                  <c:v>46307</c:v>
                </c:pt>
                <c:pt idx="6">
                  <c:v>46321</c:v>
                </c:pt>
                <c:pt idx="7">
                  <c:v>46335</c:v>
                </c:pt>
                <c:pt idx="8">
                  <c:v>46349</c:v>
                </c:pt>
                <c:pt idx="9">
                  <c:v>46363</c:v>
                </c:pt>
                <c:pt idx="10">
                  <c:v>46377</c:v>
                </c:pt>
              </c:numCache>
            </c:numRef>
          </c:val>
          <c:extLst>
            <c:ext xmlns:c16="http://schemas.microsoft.com/office/drawing/2014/chart" uri="{C3380CC4-5D6E-409C-BE32-E72D297353CC}">
              <c16:uniqueId val="{00000000-2E0A-4D24-B642-0CCFB79D089D}"/>
            </c:ext>
          </c:extLst>
        </c:ser>
        <c:ser>
          <c:idx val="1"/>
          <c:order val="1"/>
          <c:tx>
            <c:strRef>
              <c:f>'Квартальный roadmap'!$E$4</c:f>
              <c:strCache>
                <c:ptCount val="1"/>
                <c:pt idx="0">
                  <c:v>Длит. (дн)</c:v>
                </c:pt>
              </c:strCache>
            </c:strRef>
          </c:tx>
          <c:spPr>
            <a:solidFill>
              <a:srgbClr val="4472C4"/>
            </a:solidFill>
            <a:ln>
              <a:prstDash val="solid"/>
            </a:ln>
          </c:spPr>
          <c:invertIfNegative val="1"/>
          <c:dPt>
            <c:idx val="0"/>
            <c:invertIfNegative val="1"/>
            <c:bubble3D val="0"/>
            <c:spPr>
              <a:ln>
                <a:prstDash val="solid"/>
              </a:ln>
            </c:spPr>
            <c:extLst>
              <c:ext xmlns:c16="http://schemas.microsoft.com/office/drawing/2014/chart" uri="{C3380CC4-5D6E-409C-BE32-E72D297353CC}">
                <c16:uniqueId val="{00000002-2E0A-4D24-B642-0CCFB79D089D}"/>
              </c:ext>
            </c:extLst>
          </c:dPt>
          <c:dPt>
            <c:idx val="1"/>
            <c:invertIfNegative val="1"/>
            <c:bubble3D val="0"/>
            <c:spPr>
              <a:ln>
                <a:prstDash val="solid"/>
              </a:ln>
            </c:spPr>
            <c:extLst>
              <c:ext xmlns:c16="http://schemas.microsoft.com/office/drawing/2014/chart" uri="{C3380CC4-5D6E-409C-BE32-E72D297353CC}">
                <c16:uniqueId val="{00000004-2E0A-4D24-B642-0CCFB79D089D}"/>
              </c:ext>
            </c:extLst>
          </c:dPt>
          <c:dPt>
            <c:idx val="2"/>
            <c:invertIfNegative val="1"/>
            <c:bubble3D val="0"/>
            <c:spPr>
              <a:ln>
                <a:prstDash val="solid"/>
              </a:ln>
            </c:spPr>
            <c:extLst>
              <c:ext xmlns:c16="http://schemas.microsoft.com/office/drawing/2014/chart" uri="{C3380CC4-5D6E-409C-BE32-E72D297353CC}">
                <c16:uniqueId val="{00000006-2E0A-4D24-B642-0CCFB79D089D}"/>
              </c:ext>
            </c:extLst>
          </c:dPt>
          <c:dPt>
            <c:idx val="3"/>
            <c:invertIfNegative val="1"/>
            <c:bubble3D val="0"/>
            <c:spPr>
              <a:ln>
                <a:prstDash val="solid"/>
              </a:ln>
            </c:spPr>
            <c:extLst>
              <c:ext xmlns:c16="http://schemas.microsoft.com/office/drawing/2014/chart" uri="{C3380CC4-5D6E-409C-BE32-E72D297353CC}">
                <c16:uniqueId val="{00000008-2E0A-4D24-B642-0CCFB79D089D}"/>
              </c:ext>
            </c:extLst>
          </c:dPt>
          <c:dPt>
            <c:idx val="4"/>
            <c:invertIfNegative val="1"/>
            <c:bubble3D val="0"/>
            <c:spPr>
              <a:ln>
                <a:prstDash val="solid"/>
              </a:ln>
            </c:spPr>
            <c:extLst>
              <c:ext xmlns:c16="http://schemas.microsoft.com/office/drawing/2014/chart" uri="{C3380CC4-5D6E-409C-BE32-E72D297353CC}">
                <c16:uniqueId val="{0000000A-2E0A-4D24-B642-0CCFB79D089D}"/>
              </c:ext>
            </c:extLst>
          </c:dPt>
          <c:dPt>
            <c:idx val="5"/>
            <c:invertIfNegative val="1"/>
            <c:bubble3D val="0"/>
            <c:spPr>
              <a:solidFill>
                <a:srgbClr val="ED7D31"/>
              </a:solidFill>
              <a:ln>
                <a:prstDash val="solid"/>
              </a:ln>
            </c:spPr>
            <c:extLst>
              <c:ext xmlns:c16="http://schemas.microsoft.com/office/drawing/2014/chart" uri="{C3380CC4-5D6E-409C-BE32-E72D297353CC}">
                <c16:uniqueId val="{0000000C-2E0A-4D24-B642-0CCFB79D089D}"/>
              </c:ext>
            </c:extLst>
          </c:dPt>
          <c:dPt>
            <c:idx val="6"/>
            <c:invertIfNegative val="1"/>
            <c:bubble3D val="0"/>
            <c:spPr>
              <a:solidFill>
                <a:srgbClr val="ED7D31"/>
              </a:solidFill>
              <a:ln>
                <a:prstDash val="solid"/>
              </a:ln>
            </c:spPr>
            <c:extLst>
              <c:ext xmlns:c16="http://schemas.microsoft.com/office/drawing/2014/chart" uri="{C3380CC4-5D6E-409C-BE32-E72D297353CC}">
                <c16:uniqueId val="{0000000E-2E0A-4D24-B642-0CCFB79D089D}"/>
              </c:ext>
            </c:extLst>
          </c:dPt>
          <c:dPt>
            <c:idx val="7"/>
            <c:invertIfNegative val="1"/>
            <c:bubble3D val="0"/>
            <c:spPr>
              <a:solidFill>
                <a:srgbClr val="ED7D31"/>
              </a:solidFill>
              <a:ln>
                <a:prstDash val="solid"/>
              </a:ln>
            </c:spPr>
            <c:extLst>
              <c:ext xmlns:c16="http://schemas.microsoft.com/office/drawing/2014/chart" uri="{C3380CC4-5D6E-409C-BE32-E72D297353CC}">
                <c16:uniqueId val="{00000010-2E0A-4D24-B642-0CCFB79D089D}"/>
              </c:ext>
            </c:extLst>
          </c:dPt>
          <c:dPt>
            <c:idx val="8"/>
            <c:invertIfNegative val="1"/>
            <c:bubble3D val="0"/>
            <c:spPr>
              <a:solidFill>
                <a:srgbClr val="ED7D31"/>
              </a:solidFill>
              <a:ln>
                <a:prstDash val="solid"/>
              </a:ln>
            </c:spPr>
            <c:extLst>
              <c:ext xmlns:c16="http://schemas.microsoft.com/office/drawing/2014/chart" uri="{C3380CC4-5D6E-409C-BE32-E72D297353CC}">
                <c16:uniqueId val="{00000012-2E0A-4D24-B642-0CCFB79D089D}"/>
              </c:ext>
            </c:extLst>
          </c:dPt>
          <c:dPt>
            <c:idx val="9"/>
            <c:invertIfNegative val="1"/>
            <c:bubble3D val="0"/>
            <c:spPr>
              <a:solidFill>
                <a:srgbClr val="ED7D31"/>
              </a:solidFill>
              <a:ln>
                <a:prstDash val="solid"/>
              </a:ln>
            </c:spPr>
            <c:extLst>
              <c:ext xmlns:c16="http://schemas.microsoft.com/office/drawing/2014/chart" uri="{C3380CC4-5D6E-409C-BE32-E72D297353CC}">
                <c16:uniqueId val="{00000014-2E0A-4D24-B642-0CCFB79D089D}"/>
              </c:ext>
            </c:extLst>
          </c:dPt>
          <c:dPt>
            <c:idx val="10"/>
            <c:invertIfNegative val="1"/>
            <c:bubble3D val="0"/>
            <c:spPr>
              <a:solidFill>
                <a:srgbClr val="ED7D31"/>
              </a:solidFill>
              <a:ln>
                <a:prstDash val="solid"/>
              </a:ln>
            </c:spPr>
            <c:extLst>
              <c:ext xmlns:c16="http://schemas.microsoft.com/office/drawing/2014/chart" uri="{C3380CC4-5D6E-409C-BE32-E72D297353CC}">
                <c16:uniqueId val="{00000016-2E0A-4D24-B642-0CCFB79D089D}"/>
              </c:ext>
            </c:extLst>
          </c:dPt>
          <c:cat>
            <c:strRef>
              <c:f>'Квартальный roadmap'!$A$5:$A$15</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'Квартальный roadmap'!$E$5:$E$15</c:f>
              <c:numCache>
                <c:formatCode>0</c:formatCode>
                <c:ptCount val="11"/>
                <c:pt idx="0">
                  <c:v>11</c:v>
                </c:pt>
                <c:pt idx="1">
                  <c:v>11</c:v>
                </c:pt>
                <c:pt idx="2">
                  <c:v>11</c:v>
                </c:pt>
                <c:pt idx="3">
                  <c:v>11</c:v>
                </c:pt>
                <c:pt idx="4">
                  <c:v>11</c:v>
                </c:pt>
                <c:pt idx="5">
                  <c:v>11</c:v>
                </c:pt>
                <c:pt idx="6">
                  <c:v>11</c:v>
                </c:pt>
                <c:pt idx="7">
                  <c:v>11</c:v>
                </c:pt>
                <c:pt idx="8">
                  <c:v>11</c:v>
                </c:pt>
                <c:pt idx="9">
                  <c:v>11</c:v>
                </c:pt>
                <c:pt idx="10">
                  <c:v>11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2E0A-4D24-B642-0CCFB79D089D}"/>
            </c:ext>
          </c:extLst>
        </c:ser>
        <c:dLbls>
          <c:showLegendKey val="0"/>
          <c:showVal val="0"/>
          <c:showCatName val="0"/>
          <c:showSerName val="0"/>
          <c:showPercent val="0"/>
          <c:showBubbleSize val="0"/>
        </c:dLbls>
        <c:gapWidth val="1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max val="46397"/>
          <c:min val="46235"/>
        </c:scaling>
        <c:delete val="0"/>
        <c:axPos val="t"/>
        <c:numFmt formatCode="dd\.mm"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Содержимое релизов (стори / задачи / дефекты)</a:t>
            </a:r>
          </a:p>
        </c:rich>
      </c:tx>
      <c:overlay val="0"/>
    </c:title>
    <c:autoTitleDeleted val="0"/>
    <c:plotArea>
      <c:layout/>
      <c:barChart>
        <c:barDir val="col"/>
        <c:grouping val="clustered"/>
        <c:varyColors val="1"/>
        <c:ser>
          <c:idx val="0"/>
          <c:order val="0"/>
          <c:tx>
            <c:strRef>
              <c:f>Релизы!$G$4</c:f>
              <c:strCache>
                <c:ptCount val="1"/>
                <c:pt idx="0">
                  <c:v>Стори</c:v>
                </c:pt>
              </c:strCache>
            </c:strRef>
          </c:tx>
          <c:spPr>
            <a:solidFill>
              <a:srgbClr val="4472C4"/>
            </a:solidFill>
            <a:ln>
              <a:prstDash val="solid"/>
            </a:ln>
          </c:spPr>
          <c:invertIfNegative val="1"/>
          <c:cat>
            <c:strRef>
              <c:f>Релизы!$B$5:$B$9</c:f>
              <c:strCache>
                <c:ptCount val="5"/>
                <c:pt idx="0">
                  <c:v>Внутренний релиз (MVP)</c:v>
                </c:pt>
                <c:pt idx="1">
                  <c:v>Бета для площадок</c:v>
                </c:pt>
                <c:pt idx="2">
                  <c:v>Публичный релиз 1.0</c:v>
                </c:pt>
                <c:pt idx="3">
                  <c:v>Релиз 1.1 — уведомления</c:v>
                </c:pt>
                <c:pt idx="4">
                  <c:v>GA / Стабилизация</c:v>
                </c:pt>
              </c:strCache>
            </c:strRef>
          </c:cat>
          <c:val>
            <c:numRef>
              <c:f>Релизы!$G$5:$G$9</c:f>
              <c:numCache>
                <c:formatCode>General</c:formatCode>
                <c:ptCount val="5"/>
                <c:pt idx="0">
                  <c:v>3</c:v>
                </c:pt>
                <c:pt idx="1">
                  <c:v>3</c:v>
                </c:pt>
                <c:pt idx="2">
                  <c:v>1</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079-4FF8-BF83-1D6EDC9C0AF5}"/>
            </c:ext>
          </c:extLst>
        </c:ser>
        <c:ser>
          <c:idx val="1"/>
          <c:order val="1"/>
          <c:tx>
            <c:strRef>
              <c:f>Релизы!$H$4</c:f>
              <c:strCache>
                <c:ptCount val="1"/>
                <c:pt idx="0">
                  <c:v>Задач</c:v>
                </c:pt>
              </c:strCache>
            </c:strRef>
          </c:tx>
          <c:spPr>
            <a:solidFill>
              <a:srgbClr val="70AD47"/>
            </a:solidFill>
            <a:ln>
              <a:prstDash val="solid"/>
            </a:ln>
          </c:spPr>
          <c:invertIfNegative val="1"/>
          <c:cat>
            <c:strRef>
              <c:f>Релизы!$B$5:$B$9</c:f>
              <c:strCache>
                <c:ptCount val="5"/>
                <c:pt idx="0">
                  <c:v>Внутренний релиз (MVP)</c:v>
                </c:pt>
                <c:pt idx="1">
                  <c:v>Бета для площадок</c:v>
                </c:pt>
                <c:pt idx="2">
                  <c:v>Публичный релиз 1.0</c:v>
                </c:pt>
                <c:pt idx="3">
                  <c:v>Релиз 1.1 — уведомления</c:v>
                </c:pt>
                <c:pt idx="4">
                  <c:v>GA / Стабилизация</c:v>
                </c:pt>
              </c:strCache>
            </c:strRef>
          </c:cat>
          <c:val>
            <c:numRef>
              <c:f>Релизы!$H$5:$H$9</c:f>
              <c:numCache>
                <c:formatCode>General</c:formatCode>
                <c:ptCount val="5"/>
                <c:pt idx="0">
                  <c:v>5</c:v>
                </c:pt>
                <c:pt idx="1">
                  <c:v>5</c:v>
                </c:pt>
                <c:pt idx="2">
                  <c:v>1</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079-4FF8-BF83-1D6EDC9C0AF5}"/>
            </c:ext>
          </c:extLst>
        </c:ser>
        <c:ser>
          <c:idx val="2"/>
          <c:order val="2"/>
          <c:tx>
            <c:strRef>
              <c:f>Релизы!$I$4</c:f>
              <c:strCache>
                <c:ptCount val="1"/>
                <c:pt idx="0">
                  <c:v>Дефектов</c:v>
                </c:pt>
              </c:strCache>
            </c:strRef>
          </c:tx>
          <c:spPr>
            <a:solidFill>
              <a:srgbClr val="C00000"/>
            </a:solidFill>
            <a:ln>
              <a:prstDash val="solid"/>
            </a:ln>
          </c:spPr>
          <c:invertIfNegative val="1"/>
          <c:cat>
            <c:strRef>
              <c:f>Релизы!$B$5:$B$9</c:f>
              <c:strCache>
                <c:ptCount val="5"/>
                <c:pt idx="0">
                  <c:v>Внутренний релиз (MVP)</c:v>
                </c:pt>
                <c:pt idx="1">
                  <c:v>Бета для площадок</c:v>
                </c:pt>
                <c:pt idx="2">
                  <c:v>Публичный релиз 1.0</c:v>
                </c:pt>
                <c:pt idx="3">
                  <c:v>Релиз 1.1 — уведомления</c:v>
                </c:pt>
                <c:pt idx="4">
                  <c:v>GA / Стабилизация</c:v>
                </c:pt>
              </c:strCache>
            </c:strRef>
          </c:cat>
          <c:val>
            <c:numRef>
              <c:f>Релизы!$I$5:$I$9</c:f>
              <c:numCache>
                <c:formatCode>General</c:formatCode>
                <c:ptCount val="5"/>
                <c:pt idx="0">
                  <c:v>11</c:v>
                </c:pt>
                <c:pt idx="1">
                  <c:v>2</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079-4FF8-BF83-1D6EDC9C0AF5}"/>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Вехи по статусу</a:t>
            </a:r>
          </a:p>
        </c:rich>
      </c:tx>
      <c:overlay val="0"/>
    </c:title>
    <c:autoTitleDeleted val="0"/>
    <c:plotArea>
      <c:layout/>
      <c:barChart>
        <c:barDir val="col"/>
        <c:grouping val="clustered"/>
        <c:varyColors val="1"/>
        <c:ser>
          <c:idx val="0"/>
          <c:order val="0"/>
          <c:spPr>
            <a:solidFill>
              <a:srgbClr val="1F4E78"/>
            </a:solidFill>
            <a:ln>
              <a:prstDash val="solid"/>
            </a:ln>
          </c:spPr>
          <c:invertIfNegative val="1"/>
          <c:cat>
            <c:strRef>
              <c:f>Вехи!$A$12:$A$15</c:f>
              <c:strCache>
                <c:ptCount val="4"/>
                <c:pt idx="0">
                  <c:v>Планируется</c:v>
                </c:pt>
                <c:pt idx="1">
                  <c:v>В работе</c:v>
                </c:pt>
                <c:pt idx="2">
                  <c:v>Готово</c:v>
                </c:pt>
                <c:pt idx="3">
                  <c:v>Задержка</c:v>
                </c:pt>
              </c:strCache>
            </c:strRef>
          </c:cat>
          <c:val>
            <c:numRef>
              <c:f>Вехи!$B$12:$B$15</c:f>
              <c:numCache>
                <c:formatCode>General</c:formatCode>
                <c:ptCount val="4"/>
                <c:pt idx="0">
                  <c:v>3</c:v>
                </c:pt>
                <c:pt idx="1">
                  <c:v>0</c:v>
                </c:pt>
                <c:pt idx="2">
                  <c:v>2</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488-4A65-9619-D5B1040DC95C}"/>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Техдолг: оценка (дн) по типу</a:t>
            </a:r>
          </a:p>
        </c:rich>
      </c:tx>
      <c:overlay val="0"/>
    </c:title>
    <c:autoTitleDeleted val="0"/>
    <c:plotArea>
      <c:layout/>
      <c:barChart>
        <c:barDir val="col"/>
        <c:grouping val="clustered"/>
        <c:varyColors val="1"/>
        <c:ser>
          <c:idx val="0"/>
          <c:order val="0"/>
          <c:tx>
            <c:strRef>
              <c:f>'Технический долг'!$B$13</c:f>
              <c:strCache>
                <c:ptCount val="1"/>
                <c:pt idx="0">
                  <c:v>Оценка (дн)</c:v>
                </c:pt>
              </c:strCache>
            </c:strRef>
          </c:tx>
          <c:spPr>
            <a:solidFill>
              <a:srgbClr val="ED7D31"/>
            </a:solidFill>
            <a:ln>
              <a:prstDash val="solid"/>
            </a:ln>
          </c:spPr>
          <c:invertIfNegative val="1"/>
          <c:cat>
            <c:strRef>
              <c:f>'Технический долг'!$A$14:$A$18</c:f>
              <c:strCache>
                <c:ptCount val="5"/>
                <c:pt idx="0">
                  <c:v>Архитектура</c:v>
                </c:pt>
                <c:pt idx="1">
                  <c:v>Код</c:v>
                </c:pt>
                <c:pt idx="2">
                  <c:v>Тесты</c:v>
                </c:pt>
                <c:pt idx="3">
                  <c:v>Инфраструктура</c:v>
                </c:pt>
                <c:pt idx="4">
                  <c:v>Документация</c:v>
                </c:pt>
              </c:strCache>
            </c:strRef>
          </c:cat>
          <c:val>
            <c:numRef>
              <c:f>'Технический долг'!$B$14:$B$18</c:f>
              <c:numCache>
                <c:formatCode>#\ ##0.0</c:formatCode>
                <c:ptCount val="5"/>
                <c:pt idx="0">
                  <c:v>2</c:v>
                </c:pt>
                <c:pt idx="1">
                  <c:v>6</c:v>
                </c:pt>
                <c:pt idx="2">
                  <c:v>2</c:v>
                </c:pt>
                <c:pt idx="3">
                  <c:v>2</c:v>
                </c:pt>
                <c:pt idx="4">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ED8-4006-A934-5CAE74C09010}"/>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 ##0.0"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Техдолг по статусу</a:t>
            </a:r>
          </a:p>
        </c:rich>
      </c:tx>
      <c:overlay val="0"/>
    </c:title>
    <c:autoTitleDeleted val="0"/>
    <c:plotArea>
      <c:layout/>
      <c:barChart>
        <c:barDir val="col"/>
        <c:grouping val="clustered"/>
        <c:varyColors val="1"/>
        <c:ser>
          <c:idx val="0"/>
          <c:order val="0"/>
          <c:tx>
            <c:strRef>
              <c:f>'Технический долг'!$B$21</c:f>
              <c:strCache>
                <c:ptCount val="1"/>
                <c:pt idx="0">
                  <c:v>Кол-во</c:v>
                </c:pt>
              </c:strCache>
            </c:strRef>
          </c:tx>
          <c:spPr>
            <a:solidFill>
              <a:srgbClr val="4472C4"/>
            </a:solidFill>
            <a:ln>
              <a:prstDash val="solid"/>
            </a:ln>
          </c:spPr>
          <c:invertIfNegative val="1"/>
          <c:cat>
            <c:strRef>
              <c:f>'Технический долг'!$A$22:$A$24</c:f>
              <c:strCache>
                <c:ptCount val="3"/>
                <c:pt idx="0">
                  <c:v>Открыт</c:v>
                </c:pt>
                <c:pt idx="1">
                  <c:v>В работе</c:v>
                </c:pt>
                <c:pt idx="2">
                  <c:v>Закрыт</c:v>
                </c:pt>
              </c:strCache>
            </c:strRef>
          </c:cat>
          <c:val>
            <c:numRef>
              <c:f>'Технический долг'!$B$22:$B$24</c:f>
              <c:numCache>
                <c:formatCode>General</c:formatCode>
                <c:ptCount val="3"/>
                <c:pt idx="0">
                  <c:v>3</c:v>
                </c:pt>
                <c:pt idx="1">
                  <c:v>1</c:v>
                </c:pt>
                <c:pt idx="2">
                  <c:v>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B6C-4CD2-9FDB-689B779D9E1D}"/>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Тренд техдолга: создано / погашено / открыто</a:t>
            </a:r>
          </a:p>
        </c:rich>
      </c:tx>
      <c:overlay val="0"/>
    </c:title>
    <c:autoTitleDeleted val="0"/>
    <c:plotArea>
      <c:layout/>
      <c:barChart>
        <c:barDir val="col"/>
        <c:grouping val="clustered"/>
        <c:varyColors val="1"/>
        <c:ser>
          <c:idx val="0"/>
          <c:order val="0"/>
          <c:tx>
            <c:strRef>
              <c:f>'Технический долг'!$B$28</c:f>
              <c:strCache>
                <c:ptCount val="1"/>
                <c:pt idx="0">
                  <c:v>Создано</c:v>
                </c:pt>
              </c:strCache>
            </c:strRef>
          </c:tx>
          <c:spPr>
            <a:solidFill>
              <a:srgbClr val="C00000"/>
            </a:solidFill>
            <a:ln>
              <a:prstDash val="solid"/>
            </a:ln>
          </c:spPr>
          <c:invertIfNegative val="1"/>
          <c:cat>
            <c:numRef>
              <c:f>'Технический долг'!$A$29:$A$39</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'Технический долг'!$B$29:$B$39</c:f>
              <c:numCache>
                <c:formatCode>General</c:formatCode>
                <c:ptCount val="11"/>
                <c:pt idx="0">
                  <c:v>1</c:v>
                </c:pt>
                <c:pt idx="1">
                  <c:v>1</c:v>
                </c:pt>
                <c:pt idx="2">
                  <c:v>2</c:v>
                </c:pt>
                <c:pt idx="3">
                  <c:v>1</c:v>
                </c:pt>
                <c:pt idx="4">
                  <c:v>1</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C16-4FDD-A412-B2399B72C512}"/>
            </c:ext>
          </c:extLst>
        </c:ser>
        <c:ser>
          <c:idx val="1"/>
          <c:order val="1"/>
          <c:tx>
            <c:strRef>
              <c:f>'Технический долг'!$C$28</c:f>
              <c:strCache>
                <c:ptCount val="1"/>
                <c:pt idx="0">
                  <c:v>Погашено</c:v>
                </c:pt>
              </c:strCache>
            </c:strRef>
          </c:tx>
          <c:spPr>
            <a:solidFill>
              <a:srgbClr val="70AD47"/>
            </a:solidFill>
            <a:ln>
              <a:prstDash val="solid"/>
            </a:ln>
          </c:spPr>
          <c:invertIfNegative val="1"/>
          <c:cat>
            <c:numRef>
              <c:f>'Технический долг'!$A$29:$A$39</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'Технический долг'!$C$29:$C$39</c:f>
              <c:numCache>
                <c:formatCode>General</c:formatCode>
                <c:ptCount val="11"/>
                <c:pt idx="0">
                  <c:v>0</c:v>
                </c:pt>
                <c:pt idx="1">
                  <c:v>0</c:v>
                </c:pt>
                <c:pt idx="2">
                  <c:v>1</c:v>
                </c:pt>
                <c:pt idx="3">
                  <c:v>1</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C16-4FDD-A412-B2399B72C512}"/>
            </c:ext>
          </c:extLst>
        </c:ser>
        <c:dLbls>
          <c:showLegendKey val="0"/>
          <c:showVal val="0"/>
          <c:showCatName val="0"/>
          <c:showSerName val="0"/>
          <c:showPercent val="0"/>
          <c:showBubbleSize val="0"/>
        </c:dLbls>
        <c:gapWidth val="150"/>
        <c:axId val="10"/>
        <c:axId val="100"/>
      </c:barChart>
      <c:lineChart>
        <c:grouping val="standard"/>
        <c:varyColors val="1"/>
        <c:ser>
          <c:idx val="2"/>
          <c:order val="2"/>
          <c:tx>
            <c:strRef>
              <c:f>'Технический долг'!$D$28</c:f>
              <c:strCache>
                <c:ptCount val="1"/>
                <c:pt idx="0">
                  <c:v>Открыто (накопит.)</c:v>
                </c:pt>
              </c:strCache>
            </c:strRef>
          </c:tx>
          <c:spPr>
            <a:ln w="28000">
              <a:solidFill>
                <a:srgbClr val="1F4E78"/>
              </a:solidFill>
              <a:prstDash val="solid"/>
            </a:ln>
          </c:spPr>
          <c:marker>
            <c:symbol val="none"/>
          </c:marker>
          <c:cat>
            <c:numRef>
              <c:f>'Технический долг'!$A$29:$A$39</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'Технический долг'!$D$29:$D$39</c:f>
              <c:numCache>
                <c:formatCode>General</c:formatCode>
                <c:ptCount val="11"/>
                <c:pt idx="0">
                  <c:v>1</c:v>
                </c:pt>
                <c:pt idx="1">
                  <c:v>2</c:v>
                </c:pt>
                <c:pt idx="2">
                  <c:v>3</c:v>
                </c:pt>
                <c:pt idx="3">
                  <c:v>3</c:v>
                </c:pt>
                <c:pt idx="4">
                  <c:v>4</c:v>
                </c:pt>
                <c:pt idx="5">
                  <c:v>4</c:v>
                </c:pt>
                <c:pt idx="6">
                  <c:v>4</c:v>
                </c:pt>
                <c:pt idx="7">
                  <c:v>4</c:v>
                </c:pt>
                <c:pt idx="8">
                  <c:v>4</c:v>
                </c:pt>
                <c:pt idx="9">
                  <c:v>4</c:v>
                </c:pt>
                <c:pt idx="10">
                  <c:v>4</c:v>
                </c:pt>
              </c:numCache>
            </c:numRef>
          </c:val>
          <c:smooth val="1"/>
          <c:extLst>
            <c:ext xmlns:c16="http://schemas.microsoft.com/office/drawing/2014/chart" uri="{C3380CC4-5D6E-409C-BE32-E72D297353CC}">
              <c16:uniqueId val="{00000002-CC16-4FDD-A412-B2399B72C51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Расход бюджета (накопл.)</a:t>
            </a:r>
          </a:p>
        </c:rich>
      </c:tx>
      <c:overlay val="0"/>
    </c:title>
    <c:autoTitleDeleted val="0"/>
    <c:plotArea>
      <c:layout/>
      <c:lineChart>
        <c:grouping val="standard"/>
        <c:varyColors val="1"/>
        <c:ser>
          <c:idx val="0"/>
          <c:order val="0"/>
          <c:tx>
            <c:strRef>
              <c:f>Бюджет!$D$6</c:f>
              <c:strCache>
                <c:ptCount val="1"/>
                <c:pt idx="0">
                  <c:v>Накопл. стоимость (₽)</c:v>
                </c:pt>
              </c:strCache>
            </c:strRef>
          </c:tx>
          <c:spPr>
            <a:ln w="28000">
              <a:solidFill>
                <a:srgbClr val="C00000"/>
              </a:solidFill>
              <a:prstDash val="solid"/>
            </a:ln>
          </c:spPr>
          <c:marker>
            <c:symbol val="none"/>
          </c:marker>
          <c:cat>
            <c:numRef>
              <c:f>Бюджет!$A$7:$A$17</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Бюджет!$D$7:$D$17</c:f>
              <c:numCache>
                <c:formatCode>#,##0</c:formatCode>
                <c:ptCount val="11"/>
                <c:pt idx="0">
                  <c:v>742400.00000000012</c:v>
                </c:pt>
                <c:pt idx="1">
                  <c:v>1504000</c:v>
                </c:pt>
                <c:pt idx="2">
                  <c:v>2265600</c:v>
                </c:pt>
                <c:pt idx="3">
                  <c:v>3027200</c:v>
                </c:pt>
                <c:pt idx="4">
                  <c:v>3772800</c:v>
                </c:pt>
                <c:pt idx="5">
                  <c:v>4534400</c:v>
                </c:pt>
                <c:pt idx="6">
                  <c:v>5219840</c:v>
                </c:pt>
                <c:pt idx="7">
                  <c:v>5949440</c:v>
                </c:pt>
                <c:pt idx="8">
                  <c:v>6711040</c:v>
                </c:pt>
                <c:pt idx="9">
                  <c:v>7472640</c:v>
                </c:pt>
                <c:pt idx="10">
                  <c:v>8158080</c:v>
                </c:pt>
              </c:numCache>
            </c:numRef>
          </c:val>
          <c:smooth val="1"/>
          <c:extLst>
            <c:ext xmlns:c16="http://schemas.microsoft.com/office/drawing/2014/chart" uri="{C3380CC4-5D6E-409C-BE32-E72D297353CC}">
              <c16:uniqueId val="{00000000-8950-4979-A4FB-BC1BFEEF38A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Прогресс </a:t>
            </a:r>
            <a:r>
              <a:rPr lang="en-US"/>
              <a:t>Key Results</a:t>
            </a:r>
          </a:p>
        </c:rich>
      </c:tx>
      <c:overlay val="0"/>
    </c:title>
    <c:autoTitleDeleted val="0"/>
    <c:plotArea>
      <c:layout/>
      <c:barChart>
        <c:barDir val="bar"/>
        <c:grouping val="clustered"/>
        <c:varyColors val="1"/>
        <c:ser>
          <c:idx val="0"/>
          <c:order val="0"/>
          <c:tx>
            <c:strRef>
              <c:f>OKR!$F$4</c:f>
              <c:strCache>
                <c:ptCount val="1"/>
                <c:pt idx="0">
                  <c:v>Прогресс</c:v>
                </c:pt>
              </c:strCache>
            </c:strRef>
          </c:tx>
          <c:spPr>
            <a:solidFill>
              <a:srgbClr val="70AD47"/>
            </a:solidFill>
            <a:ln>
              <a:prstDash val="solid"/>
            </a:ln>
          </c:spPr>
          <c:invertIfNegative val="1"/>
          <c:cat>
            <c:strRef>
              <c:f>OKR!$C$5:$C$9</c:f>
              <c:strCache>
                <c:ptCount val="5"/>
                <c:pt idx="0">
                  <c:v>Готовность MVP чекаута, %</c:v>
                </c:pt>
                <c:pt idx="1">
                  <c:v>Интеграция оплаты, %</c:v>
                </c:pt>
                <c:pt idx="2">
                  <c:v>Покрытие автотестами ключевых сценариев, %</c:v>
                </c:pt>
                <c:pt idx="3">
                  <c:v>Подключённых площадок, шт</c:v>
                </c:pt>
                <c:pt idx="4">
                  <c:v>Уведомления и история заказов, %</c:v>
                </c:pt>
              </c:strCache>
            </c:strRef>
          </c:cat>
          <c:val>
            <c:numRef>
              <c:f>OKR!$F$5:$F$9</c:f>
              <c:numCache>
                <c:formatCode>0%</c:formatCode>
                <c:ptCount val="5"/>
                <c:pt idx="0">
                  <c:v>0.7</c:v>
                </c:pt>
                <c:pt idx="1">
                  <c:v>0.6</c:v>
                </c:pt>
                <c:pt idx="2">
                  <c:v>0.5625</c:v>
                </c:pt>
                <c:pt idx="3">
                  <c:v>0.3</c:v>
                </c:pt>
                <c:pt idx="4">
                  <c:v>0.2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E16-420C-A5E5-5A576552D62E}"/>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Ёмкость </a:t>
            </a:r>
            <a:r>
              <a:rPr lang="en-US"/>
              <a:t>vs </a:t>
            </a:r>
            <a:r>
              <a:rPr lang="ru-RU"/>
              <a:t>Спрос по кварталам</a:t>
            </a:r>
          </a:p>
        </c:rich>
      </c:tx>
      <c:overlay val="0"/>
    </c:title>
    <c:autoTitleDeleted val="0"/>
    <c:plotArea>
      <c:layout/>
      <c:barChart>
        <c:barDir val="col"/>
        <c:grouping val="clustered"/>
        <c:varyColors val="1"/>
        <c:ser>
          <c:idx val="0"/>
          <c:order val="0"/>
          <c:tx>
            <c:strRef>
              <c:f>'Ёмкость на горизонт'!$B$5</c:f>
              <c:strCache>
                <c:ptCount val="1"/>
                <c:pt idx="0">
                  <c:v>Ёмкость (дн)</c:v>
                </c:pt>
              </c:strCache>
            </c:strRef>
          </c:tx>
          <c:spPr>
            <a:solidFill>
              <a:srgbClr val="8EAADB"/>
            </a:solidFill>
            <a:ln>
              <a:prstDash val="solid"/>
            </a:ln>
          </c:spPr>
          <c:invertIfNegative val="1"/>
          <c:cat>
            <c:strRef>
              <c:f>'Ёмкость на горизонт'!$A$6:$A$8</c:f>
              <c:strCache>
                <c:ptCount val="3"/>
                <c:pt idx="0">
                  <c:v>Q3 2026</c:v>
                </c:pt>
                <c:pt idx="1">
                  <c:v>Q4 2026</c:v>
                </c:pt>
                <c:pt idx="2">
                  <c:v>Q1 2027</c:v>
                </c:pt>
              </c:strCache>
            </c:strRef>
          </c:cat>
          <c:val>
            <c:numRef>
              <c:f>'Ёмкость на горизонт'!$B$6:$B$8</c:f>
              <c:numCache>
                <c:formatCode>#\ ##0.0</c:formatCode>
                <c:ptCount val="3"/>
                <c:pt idx="0">
                  <c:v>471.59999999999997</c:v>
                </c:pt>
                <c:pt idx="1">
                  <c:v>548.16000000000008</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DCA-4811-8124-DF0FE8BEE115}"/>
            </c:ext>
          </c:extLst>
        </c:ser>
        <c:ser>
          <c:idx val="1"/>
          <c:order val="1"/>
          <c:tx>
            <c:strRef>
              <c:f>'Ёмкость на горизонт'!$C$5</c:f>
              <c:strCache>
                <c:ptCount val="1"/>
                <c:pt idx="0">
                  <c:v>Спрос (дн)</c:v>
                </c:pt>
              </c:strCache>
            </c:strRef>
          </c:tx>
          <c:spPr>
            <a:solidFill>
              <a:srgbClr val="FFC000"/>
            </a:solidFill>
            <a:ln>
              <a:prstDash val="solid"/>
            </a:ln>
          </c:spPr>
          <c:invertIfNegative val="1"/>
          <c:cat>
            <c:strRef>
              <c:f>'Ёмкость на горизонт'!$A$6:$A$8</c:f>
              <c:strCache>
                <c:ptCount val="3"/>
                <c:pt idx="0">
                  <c:v>Q3 2026</c:v>
                </c:pt>
                <c:pt idx="1">
                  <c:v>Q4 2026</c:v>
                </c:pt>
                <c:pt idx="2">
                  <c:v>Q1 2027</c:v>
                </c:pt>
              </c:strCache>
            </c:strRef>
          </c:cat>
          <c:val>
            <c:numRef>
              <c:f>'Ёмкость на горизонт'!$C$6:$C$8</c:f>
              <c:numCache>
                <c:formatCode>#\ ##0.0</c:formatCode>
                <c:ptCount val="3"/>
                <c:pt idx="0">
                  <c:v>107</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DCA-4811-8124-DF0FE8BEE115}"/>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 ##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Диаграмма Ганта — задачи по спринтам (цвет = спринт)</a:t>
            </a:r>
          </a:p>
        </c:rich>
      </c:tx>
      <c:layout>
        <c:manualLayout>
          <c:xMode val="edge"/>
          <c:yMode val="edge"/>
          <c:x val="0.22"/>
          <c:y val="0.96"/>
        </c:manualLayout>
      </c:layout>
      <c:overlay val="0"/>
    </c:title>
    <c:autoTitleDeleted val="0"/>
    <c:plotArea>
      <c:layout/>
      <c:barChart>
        <c:barDir val="bar"/>
        <c:grouping val="stacked"/>
        <c:varyColors val="1"/>
        <c:ser>
          <c:idx val="0"/>
          <c:order val="0"/>
          <c:tx>
            <c:strRef>
              <c:f>Гант!$G$4</c:f>
              <c:strCache>
                <c:ptCount val="1"/>
                <c:pt idx="0">
                  <c:v>Начало</c:v>
                </c:pt>
              </c:strCache>
            </c:strRef>
          </c:tx>
          <c:spPr>
            <a:noFill/>
            <a:ln>
              <a:noFill/>
              <a:prstDash val="solid"/>
            </a:ln>
          </c:spPr>
          <c:invertIfNegative val="1"/>
          <c:cat>
            <c:strRef>
              <c:f>Гант!$B$5:$B$44</c:f>
              <c:strCache>
                <c:ptCount val="20"/>
                <c:pt idx="0">
                  <c:v>Проектирование API заказов</c:v>
                </c:pt>
                <c:pt idx="1">
                  <c:v>Экран корзины (вёрстка)</c:v>
                </c:pt>
                <c:pt idx="2">
                  <c:v>Настройка CI/CD</c:v>
                </c:pt>
                <c:pt idx="3">
                  <c:v>Модель данных заказа</c:v>
                </c:pt>
                <c:pt idx="4">
                  <c:v>Интеграция платежей</c:v>
                </c:pt>
                <c:pt idx="5">
                  <c:v>Тест-кейсы оформления</c:v>
                </c:pt>
                <c:pt idx="6">
                  <c:v>Уведомления по e-mail</c:v>
                </c:pt>
                <c:pt idx="7">
                  <c:v>API промокодов</c:v>
                </c:pt>
                <c:pt idx="8">
                  <c:v>Логирование и метрики</c:v>
                </c:pt>
                <c:pt idx="9">
                  <c:v>Рефакторинг авторизации</c:v>
                </c:pt>
                <c:pt idx="10">
                  <c:v>Аналитика воронки</c:v>
                </c:pt>
                <c:pt idx="11">
                  <c:v>Регресс-тестирование релиза</c:v>
                </c:pt>
                <c:pt idx="12">
                  <c:v>Экран оплаты</c:v>
                </c:pt>
                <c:pt idx="13">
                  <c:v>Вебхуки платежей</c:v>
                </c:pt>
                <c:pt idx="14">
                  <c:v>История заказов</c:v>
                </c:pt>
                <c:pt idx="15">
                  <c:v>Личный кабинет</c:v>
                </c:pt>
                <c:pt idx="16">
                  <c:v>Фильтры каталога</c:v>
                </c:pt>
                <c:pt idx="17">
                  <c:v>Отзывы и рейтинги</c:v>
                </c:pt>
                <c:pt idx="18">
                  <c:v>Рекомендации</c:v>
                </c:pt>
                <c:pt idx="19">
                  <c:v>A/B тесты чекаута</c:v>
                </c:pt>
              </c:strCache>
            </c:strRef>
          </c:cat>
          <c:val>
            <c:numRef>
              <c:f>Гант!$G$5:$G$44</c:f>
              <c:numCache>
                <c:formatCode>dd\.mm\.yyyy</c:formatCode>
                <c:ptCount val="40"/>
                <c:pt idx="0">
                  <c:v>46237</c:v>
                </c:pt>
                <c:pt idx="1">
                  <c:v>46242</c:v>
                </c:pt>
                <c:pt idx="2">
                  <c:v>46237</c:v>
                </c:pt>
                <c:pt idx="3">
                  <c:v>46237</c:v>
                </c:pt>
                <c:pt idx="4">
                  <c:v>46251</c:v>
                </c:pt>
                <c:pt idx="5">
                  <c:v>46251</c:v>
                </c:pt>
                <c:pt idx="6">
                  <c:v>46251</c:v>
                </c:pt>
                <c:pt idx="7">
                  <c:v>46251</c:v>
                </c:pt>
                <c:pt idx="8">
                  <c:v>46251</c:v>
                </c:pt>
                <c:pt idx="9">
                  <c:v>46265</c:v>
                </c:pt>
                <c:pt idx="10">
                  <c:v>46265</c:v>
                </c:pt>
                <c:pt idx="11">
                  <c:v>46265</c:v>
                </c:pt>
                <c:pt idx="12">
                  <c:v>46265</c:v>
                </c:pt>
                <c:pt idx="13">
                  <c:v>46273</c:v>
                </c:pt>
                <c:pt idx="14">
                  <c:v>46265</c:v>
                </c:pt>
                <c:pt idx="15">
                  <c:v>46279</c:v>
                </c:pt>
                <c:pt idx="16">
                  <c:v>46287</c:v>
                </c:pt>
                <c:pt idx="17">
                  <c:v>46279</c:v>
                </c:pt>
                <c:pt idx="18">
                  <c:v>46293</c:v>
                </c:pt>
                <c:pt idx="19">
                  <c:v>46293</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extLst>
            <c:ext xmlns:c16="http://schemas.microsoft.com/office/drawing/2014/chart" uri="{C3380CC4-5D6E-409C-BE32-E72D297353CC}">
              <c16:uniqueId val="{00000000-3752-4B26-ADF4-B63A5D910066}"/>
            </c:ext>
          </c:extLst>
        </c:ser>
        <c:ser>
          <c:idx val="1"/>
          <c:order val="1"/>
          <c:tx>
            <c:strRef>
              <c:f>Гант!$I$4</c:f>
              <c:strCache>
                <c:ptCount val="1"/>
                <c:pt idx="0">
                  <c:v>Длит. (дн)</c:v>
                </c:pt>
              </c:strCache>
            </c:strRef>
          </c:tx>
          <c:spPr>
            <a:solidFill>
              <a:srgbClr val="4472C4"/>
            </a:solidFill>
            <a:ln>
              <a:prstDash val="solid"/>
            </a:ln>
          </c:spPr>
          <c:invertIfNegative val="1"/>
          <c:dPt>
            <c:idx val="0"/>
            <c:invertIfNegative val="1"/>
            <c:bubble3D val="0"/>
            <c:spPr>
              <a:solidFill>
                <a:srgbClr val="4472C4"/>
              </a:solidFill>
              <a:ln w="34925">
                <a:solidFill>
                  <a:srgbClr val="C00000"/>
                </a:solidFill>
                <a:prstDash val="solid"/>
              </a:ln>
            </c:spPr>
            <c:extLst>
              <c:ext xmlns:c16="http://schemas.microsoft.com/office/drawing/2014/chart" uri="{C3380CC4-5D6E-409C-BE32-E72D297353CC}">
                <c16:uniqueId val="{00000002-3752-4B26-ADF4-B63A5D910066}"/>
              </c:ext>
            </c:extLst>
          </c:dPt>
          <c:dPt>
            <c:idx val="1"/>
            <c:invertIfNegative val="1"/>
            <c:bubble3D val="0"/>
            <c:spPr>
              <a:ln>
                <a:prstDash val="solid"/>
              </a:ln>
            </c:spPr>
            <c:extLst>
              <c:ext xmlns:c16="http://schemas.microsoft.com/office/drawing/2014/chart" uri="{C3380CC4-5D6E-409C-BE32-E72D297353CC}">
                <c16:uniqueId val="{00000004-3752-4B26-ADF4-B63A5D910066}"/>
              </c:ext>
            </c:extLst>
          </c:dPt>
          <c:dPt>
            <c:idx val="2"/>
            <c:invertIfNegative val="1"/>
            <c:bubble3D val="0"/>
            <c:spPr>
              <a:ln>
                <a:prstDash val="solid"/>
              </a:ln>
            </c:spPr>
            <c:extLst>
              <c:ext xmlns:c16="http://schemas.microsoft.com/office/drawing/2014/chart" uri="{C3380CC4-5D6E-409C-BE32-E72D297353CC}">
                <c16:uniqueId val="{00000006-3752-4B26-ADF4-B63A5D910066}"/>
              </c:ext>
            </c:extLst>
          </c:dPt>
          <c:dPt>
            <c:idx val="3"/>
            <c:invertIfNegative val="1"/>
            <c:bubble3D val="0"/>
            <c:spPr>
              <a:ln>
                <a:prstDash val="solid"/>
              </a:ln>
            </c:spPr>
            <c:extLst>
              <c:ext xmlns:c16="http://schemas.microsoft.com/office/drawing/2014/chart" uri="{C3380CC4-5D6E-409C-BE32-E72D297353CC}">
                <c16:uniqueId val="{00000008-3752-4B26-ADF4-B63A5D910066}"/>
              </c:ext>
            </c:extLst>
          </c:dPt>
          <c:dPt>
            <c:idx val="4"/>
            <c:invertIfNegative val="1"/>
            <c:bubble3D val="0"/>
            <c:spPr>
              <a:solidFill>
                <a:srgbClr val="ED7D31"/>
              </a:solidFill>
              <a:ln w="34925">
                <a:solidFill>
                  <a:srgbClr val="C00000"/>
                </a:solidFill>
                <a:prstDash val="solid"/>
              </a:ln>
            </c:spPr>
            <c:extLst>
              <c:ext xmlns:c16="http://schemas.microsoft.com/office/drawing/2014/chart" uri="{C3380CC4-5D6E-409C-BE32-E72D297353CC}">
                <c16:uniqueId val="{0000000A-3752-4B26-ADF4-B63A5D910066}"/>
              </c:ext>
            </c:extLst>
          </c:dPt>
          <c:dPt>
            <c:idx val="5"/>
            <c:invertIfNegative val="1"/>
            <c:bubble3D val="0"/>
            <c:spPr>
              <a:solidFill>
                <a:srgbClr val="ED7D31"/>
              </a:solidFill>
              <a:ln>
                <a:prstDash val="solid"/>
              </a:ln>
            </c:spPr>
            <c:extLst>
              <c:ext xmlns:c16="http://schemas.microsoft.com/office/drawing/2014/chart" uri="{C3380CC4-5D6E-409C-BE32-E72D297353CC}">
                <c16:uniqueId val="{0000000C-3752-4B26-ADF4-B63A5D910066}"/>
              </c:ext>
            </c:extLst>
          </c:dPt>
          <c:dPt>
            <c:idx val="6"/>
            <c:invertIfNegative val="1"/>
            <c:bubble3D val="0"/>
            <c:spPr>
              <a:solidFill>
                <a:srgbClr val="ED7D31"/>
              </a:solidFill>
              <a:ln>
                <a:prstDash val="solid"/>
              </a:ln>
            </c:spPr>
            <c:extLst>
              <c:ext xmlns:c16="http://schemas.microsoft.com/office/drawing/2014/chart" uri="{C3380CC4-5D6E-409C-BE32-E72D297353CC}">
                <c16:uniqueId val="{0000000E-3752-4B26-ADF4-B63A5D910066}"/>
              </c:ext>
            </c:extLst>
          </c:dPt>
          <c:dPt>
            <c:idx val="7"/>
            <c:invertIfNegative val="1"/>
            <c:bubble3D val="0"/>
            <c:spPr>
              <a:solidFill>
                <a:srgbClr val="ED7D31"/>
              </a:solidFill>
              <a:ln>
                <a:prstDash val="solid"/>
              </a:ln>
            </c:spPr>
            <c:extLst>
              <c:ext xmlns:c16="http://schemas.microsoft.com/office/drawing/2014/chart" uri="{C3380CC4-5D6E-409C-BE32-E72D297353CC}">
                <c16:uniqueId val="{00000010-3752-4B26-ADF4-B63A5D910066}"/>
              </c:ext>
            </c:extLst>
          </c:dPt>
          <c:dPt>
            <c:idx val="8"/>
            <c:invertIfNegative val="1"/>
            <c:bubble3D val="0"/>
            <c:spPr>
              <a:solidFill>
                <a:srgbClr val="ED7D31"/>
              </a:solidFill>
              <a:ln>
                <a:prstDash val="solid"/>
              </a:ln>
            </c:spPr>
            <c:extLst>
              <c:ext xmlns:c16="http://schemas.microsoft.com/office/drawing/2014/chart" uri="{C3380CC4-5D6E-409C-BE32-E72D297353CC}">
                <c16:uniqueId val="{00000012-3752-4B26-ADF4-B63A5D910066}"/>
              </c:ext>
            </c:extLst>
          </c:dPt>
          <c:dPt>
            <c:idx val="9"/>
            <c:invertIfNegative val="1"/>
            <c:bubble3D val="0"/>
            <c:spPr>
              <a:solidFill>
                <a:srgbClr val="70AD47"/>
              </a:solidFill>
              <a:ln>
                <a:prstDash val="solid"/>
              </a:ln>
            </c:spPr>
            <c:extLst>
              <c:ext xmlns:c16="http://schemas.microsoft.com/office/drawing/2014/chart" uri="{C3380CC4-5D6E-409C-BE32-E72D297353CC}">
                <c16:uniqueId val="{00000014-3752-4B26-ADF4-B63A5D910066}"/>
              </c:ext>
            </c:extLst>
          </c:dPt>
          <c:dPt>
            <c:idx val="10"/>
            <c:invertIfNegative val="1"/>
            <c:bubble3D val="0"/>
            <c:spPr>
              <a:solidFill>
                <a:srgbClr val="70AD47"/>
              </a:solidFill>
              <a:ln>
                <a:prstDash val="solid"/>
              </a:ln>
            </c:spPr>
            <c:extLst>
              <c:ext xmlns:c16="http://schemas.microsoft.com/office/drawing/2014/chart" uri="{C3380CC4-5D6E-409C-BE32-E72D297353CC}">
                <c16:uniqueId val="{00000016-3752-4B26-ADF4-B63A5D910066}"/>
              </c:ext>
            </c:extLst>
          </c:dPt>
          <c:dPt>
            <c:idx val="11"/>
            <c:invertIfNegative val="1"/>
            <c:bubble3D val="0"/>
            <c:spPr>
              <a:solidFill>
                <a:srgbClr val="70AD47"/>
              </a:solidFill>
              <a:ln>
                <a:prstDash val="solid"/>
              </a:ln>
            </c:spPr>
            <c:extLst>
              <c:ext xmlns:c16="http://schemas.microsoft.com/office/drawing/2014/chart" uri="{C3380CC4-5D6E-409C-BE32-E72D297353CC}">
                <c16:uniqueId val="{00000018-3752-4B26-ADF4-B63A5D910066}"/>
              </c:ext>
            </c:extLst>
          </c:dPt>
          <c:dPt>
            <c:idx val="12"/>
            <c:invertIfNegative val="1"/>
            <c:bubble3D val="0"/>
            <c:spPr>
              <a:solidFill>
                <a:srgbClr val="70AD47"/>
              </a:solidFill>
              <a:ln w="34925">
                <a:solidFill>
                  <a:srgbClr val="C00000"/>
                </a:solidFill>
                <a:prstDash val="solid"/>
              </a:ln>
            </c:spPr>
            <c:extLst>
              <c:ext xmlns:c16="http://schemas.microsoft.com/office/drawing/2014/chart" uri="{C3380CC4-5D6E-409C-BE32-E72D297353CC}">
                <c16:uniqueId val="{0000001A-3752-4B26-ADF4-B63A5D910066}"/>
              </c:ext>
            </c:extLst>
          </c:dPt>
          <c:dPt>
            <c:idx val="13"/>
            <c:invertIfNegative val="1"/>
            <c:bubble3D val="0"/>
            <c:spPr>
              <a:solidFill>
                <a:srgbClr val="70AD47"/>
              </a:solidFill>
              <a:ln w="34925">
                <a:solidFill>
                  <a:srgbClr val="C00000"/>
                </a:solidFill>
                <a:prstDash val="solid"/>
              </a:ln>
            </c:spPr>
            <c:extLst>
              <c:ext xmlns:c16="http://schemas.microsoft.com/office/drawing/2014/chart" uri="{C3380CC4-5D6E-409C-BE32-E72D297353CC}">
                <c16:uniqueId val="{0000001C-3752-4B26-ADF4-B63A5D910066}"/>
              </c:ext>
            </c:extLst>
          </c:dPt>
          <c:dPt>
            <c:idx val="14"/>
            <c:invertIfNegative val="1"/>
            <c:bubble3D val="0"/>
            <c:spPr>
              <a:solidFill>
                <a:srgbClr val="70AD47"/>
              </a:solidFill>
              <a:ln>
                <a:prstDash val="solid"/>
              </a:ln>
            </c:spPr>
            <c:extLst>
              <c:ext xmlns:c16="http://schemas.microsoft.com/office/drawing/2014/chart" uri="{C3380CC4-5D6E-409C-BE32-E72D297353CC}">
                <c16:uniqueId val="{0000001E-3752-4B26-ADF4-B63A5D910066}"/>
              </c:ext>
            </c:extLst>
          </c:dPt>
          <c:dPt>
            <c:idx val="15"/>
            <c:invertIfNegative val="1"/>
            <c:bubble3D val="0"/>
            <c:spPr>
              <a:solidFill>
                <a:srgbClr val="FFC000"/>
              </a:solidFill>
              <a:ln>
                <a:prstDash val="solid"/>
              </a:ln>
            </c:spPr>
            <c:extLst>
              <c:ext xmlns:c16="http://schemas.microsoft.com/office/drawing/2014/chart" uri="{C3380CC4-5D6E-409C-BE32-E72D297353CC}">
                <c16:uniqueId val="{00000020-3752-4B26-ADF4-B63A5D910066}"/>
              </c:ext>
            </c:extLst>
          </c:dPt>
          <c:dPt>
            <c:idx val="16"/>
            <c:invertIfNegative val="1"/>
            <c:bubble3D val="0"/>
            <c:spPr>
              <a:solidFill>
                <a:srgbClr val="FFC000"/>
              </a:solidFill>
              <a:ln>
                <a:prstDash val="solid"/>
              </a:ln>
            </c:spPr>
            <c:extLst>
              <c:ext xmlns:c16="http://schemas.microsoft.com/office/drawing/2014/chart" uri="{C3380CC4-5D6E-409C-BE32-E72D297353CC}">
                <c16:uniqueId val="{00000022-3752-4B26-ADF4-B63A5D910066}"/>
              </c:ext>
            </c:extLst>
          </c:dPt>
          <c:dPt>
            <c:idx val="17"/>
            <c:invertIfNegative val="1"/>
            <c:bubble3D val="0"/>
            <c:spPr>
              <a:solidFill>
                <a:srgbClr val="FFC000"/>
              </a:solidFill>
              <a:ln>
                <a:prstDash val="solid"/>
              </a:ln>
            </c:spPr>
            <c:extLst>
              <c:ext xmlns:c16="http://schemas.microsoft.com/office/drawing/2014/chart" uri="{C3380CC4-5D6E-409C-BE32-E72D297353CC}">
                <c16:uniqueId val="{00000024-3752-4B26-ADF4-B63A5D910066}"/>
              </c:ext>
            </c:extLst>
          </c:dPt>
          <c:dPt>
            <c:idx val="18"/>
            <c:invertIfNegative val="1"/>
            <c:bubble3D val="0"/>
            <c:spPr>
              <a:solidFill>
                <a:srgbClr val="7030A0"/>
              </a:solidFill>
              <a:ln>
                <a:prstDash val="solid"/>
              </a:ln>
            </c:spPr>
            <c:extLst>
              <c:ext xmlns:c16="http://schemas.microsoft.com/office/drawing/2014/chart" uri="{C3380CC4-5D6E-409C-BE32-E72D297353CC}">
                <c16:uniqueId val="{00000026-3752-4B26-ADF4-B63A5D910066}"/>
              </c:ext>
            </c:extLst>
          </c:dPt>
          <c:dPt>
            <c:idx val="19"/>
            <c:invertIfNegative val="1"/>
            <c:bubble3D val="0"/>
            <c:spPr>
              <a:solidFill>
                <a:srgbClr val="7030A0"/>
              </a:solidFill>
              <a:ln>
                <a:prstDash val="solid"/>
              </a:ln>
            </c:spPr>
            <c:extLst>
              <c:ext xmlns:c16="http://schemas.microsoft.com/office/drawing/2014/chart" uri="{C3380CC4-5D6E-409C-BE32-E72D297353CC}">
                <c16:uniqueId val="{00000028-3752-4B26-ADF4-B63A5D910066}"/>
              </c:ext>
            </c:extLst>
          </c:dPt>
          <c:cat>
            <c:strRef>
              <c:f>Гант!$B$5:$B$44</c:f>
              <c:strCache>
                <c:ptCount val="20"/>
                <c:pt idx="0">
                  <c:v>Проектирование API заказов</c:v>
                </c:pt>
                <c:pt idx="1">
                  <c:v>Экран корзины (вёрстка)</c:v>
                </c:pt>
                <c:pt idx="2">
                  <c:v>Настройка CI/CD</c:v>
                </c:pt>
                <c:pt idx="3">
                  <c:v>Модель данных заказа</c:v>
                </c:pt>
                <c:pt idx="4">
                  <c:v>Интеграция платежей</c:v>
                </c:pt>
                <c:pt idx="5">
                  <c:v>Тест-кейсы оформления</c:v>
                </c:pt>
                <c:pt idx="6">
                  <c:v>Уведомления по e-mail</c:v>
                </c:pt>
                <c:pt idx="7">
                  <c:v>API промокодов</c:v>
                </c:pt>
                <c:pt idx="8">
                  <c:v>Логирование и метрики</c:v>
                </c:pt>
                <c:pt idx="9">
                  <c:v>Рефакторинг авторизации</c:v>
                </c:pt>
                <c:pt idx="10">
                  <c:v>Аналитика воронки</c:v>
                </c:pt>
                <c:pt idx="11">
                  <c:v>Регресс-тестирование релиза</c:v>
                </c:pt>
                <c:pt idx="12">
                  <c:v>Экран оплаты</c:v>
                </c:pt>
                <c:pt idx="13">
                  <c:v>Вебхуки платежей</c:v>
                </c:pt>
                <c:pt idx="14">
                  <c:v>История заказов</c:v>
                </c:pt>
                <c:pt idx="15">
                  <c:v>Личный кабинет</c:v>
                </c:pt>
                <c:pt idx="16">
                  <c:v>Фильтры каталога</c:v>
                </c:pt>
                <c:pt idx="17">
                  <c:v>Отзывы и рейтинги</c:v>
                </c:pt>
                <c:pt idx="18">
                  <c:v>Рекомендации</c:v>
                </c:pt>
                <c:pt idx="19">
                  <c:v>A/B тесты чекаута</c:v>
                </c:pt>
              </c:strCache>
            </c:strRef>
          </c:cat>
          <c:val>
            <c:numRef>
              <c:f>Гант!$I$5:$I$44</c:f>
              <c:numCache>
                <c:formatCode>0</c:formatCode>
                <c:ptCount val="40"/>
                <c:pt idx="0">
                  <c:v>5</c:v>
                </c:pt>
                <c:pt idx="1">
                  <c:v>8</c:v>
                </c:pt>
                <c:pt idx="2">
                  <c:v>4</c:v>
                </c:pt>
                <c:pt idx="3">
                  <c:v>5</c:v>
                </c:pt>
                <c:pt idx="4">
                  <c:v>8</c:v>
                </c:pt>
                <c:pt idx="5">
                  <c:v>4</c:v>
                </c:pt>
                <c:pt idx="6">
                  <c:v>4</c:v>
                </c:pt>
                <c:pt idx="7">
                  <c:v>5</c:v>
                </c:pt>
                <c:pt idx="8">
                  <c:v>3</c:v>
                </c:pt>
                <c:pt idx="9">
                  <c:v>3</c:v>
                </c:pt>
                <c:pt idx="10">
                  <c:v>3</c:v>
                </c:pt>
                <c:pt idx="11">
                  <c:v>5</c:v>
                </c:pt>
                <c:pt idx="12">
                  <c:v>8</c:v>
                </c:pt>
                <c:pt idx="13">
                  <c:v>5</c:v>
                </c:pt>
                <c:pt idx="14">
                  <c:v>5</c:v>
                </c:pt>
                <c:pt idx="15">
                  <c:v>8</c:v>
                </c:pt>
                <c:pt idx="16">
                  <c:v>6</c:v>
                </c:pt>
                <c:pt idx="17">
                  <c:v>5</c:v>
                </c:pt>
                <c:pt idx="18">
                  <c:v>8</c:v>
                </c:pt>
                <c:pt idx="19">
                  <c:v>5</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29-3752-4B26-ADF4-B63A5D910066}"/>
            </c:ext>
          </c:extLst>
        </c:ser>
        <c:dLbls>
          <c:showLegendKey val="0"/>
          <c:showVal val="0"/>
          <c:showCatName val="0"/>
          <c:showSerName val="0"/>
          <c:showPercent val="0"/>
          <c:showBubbleSize val="0"/>
        </c:dLbls>
        <c:gapWidth val="1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max val="46332"/>
          <c:min val="46237"/>
        </c:scaling>
        <c:delete val="0"/>
        <c:axPos val="t"/>
        <c:numFmt formatCode="dd\.mm"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Капасити </a:t>
            </a:r>
            <a:r>
              <a:rPr lang="en-US"/>
              <a:t>vs </a:t>
            </a:r>
            <a:r>
              <a:rPr lang="ru-RU"/>
              <a:t>Спрос по ролям (текущий спринт)</a:t>
            </a:r>
          </a:p>
        </c:rich>
      </c:tx>
      <c:overlay val="0"/>
    </c:title>
    <c:autoTitleDeleted val="0"/>
    <c:plotArea>
      <c:layout/>
      <c:barChart>
        <c:barDir val="col"/>
        <c:grouping val="clustered"/>
        <c:varyColors val="1"/>
        <c:ser>
          <c:idx val="0"/>
          <c:order val="0"/>
          <c:tx>
            <c:strRef>
              <c:f>'Загрузка по ролям'!$B$5</c:f>
              <c:strCache>
                <c:ptCount val="1"/>
                <c:pt idx="0">
                  <c:v>Капасити (дн)</c:v>
                </c:pt>
              </c:strCache>
            </c:strRef>
          </c:tx>
          <c:spPr>
            <a:solidFill>
              <a:srgbClr val="8EAADB"/>
            </a:solidFill>
            <a:ln>
              <a:prstDash val="solid"/>
            </a:ln>
          </c:spPr>
          <c:invertIfNegative val="1"/>
          <c:cat>
            <c:strRef>
              <c:f>'Загрузка по ролям'!$A$6:$A$11</c:f>
              <c:strCache>
                <c:ptCount val="6"/>
                <c:pt idx="0">
                  <c:v>Backend</c:v>
                </c:pt>
                <c:pt idx="1">
                  <c:v>Frontend</c:v>
                </c:pt>
                <c:pt idx="2">
                  <c:v>QA</c:v>
                </c:pt>
                <c:pt idx="3">
                  <c:v>DevOps</c:v>
                </c:pt>
                <c:pt idx="4">
                  <c:v>Analyst</c:v>
                </c:pt>
                <c:pt idx="5">
                  <c:v>Designer</c:v>
                </c:pt>
              </c:strCache>
            </c:strRef>
          </c:cat>
          <c:val>
            <c:numRef>
              <c:f>'Загрузка по ролям'!$B$6:$B$11</c:f>
              <c:numCache>
                <c:formatCode>#\ ##0.0</c:formatCode>
                <c:ptCount val="6"/>
                <c:pt idx="0">
                  <c:v>32</c:v>
                </c:pt>
                <c:pt idx="1">
                  <c:v>24</c:v>
                </c:pt>
                <c:pt idx="2">
                  <c:v>14.4</c:v>
                </c:pt>
                <c:pt idx="3">
                  <c:v>6.4</c:v>
                </c:pt>
                <c:pt idx="4">
                  <c:v>12</c:v>
                </c:pt>
                <c:pt idx="5">
                  <c:v>6.4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C0E-4A42-8091-97E5F0AC6ECB}"/>
            </c:ext>
          </c:extLst>
        </c:ser>
        <c:ser>
          <c:idx val="1"/>
          <c:order val="1"/>
          <c:tx>
            <c:strRef>
              <c:f>'Загрузка по ролям'!$C$5</c:f>
              <c:strCache>
                <c:ptCount val="1"/>
                <c:pt idx="0">
                  <c:v>Спрос / План (дн)</c:v>
                </c:pt>
              </c:strCache>
            </c:strRef>
          </c:tx>
          <c:spPr>
            <a:solidFill>
              <a:srgbClr val="C00000"/>
            </a:solidFill>
            <a:ln>
              <a:prstDash val="solid"/>
            </a:ln>
          </c:spPr>
          <c:invertIfNegative val="1"/>
          <c:cat>
            <c:strRef>
              <c:f>'Загрузка по ролям'!$A$6:$A$11</c:f>
              <c:strCache>
                <c:ptCount val="6"/>
                <c:pt idx="0">
                  <c:v>Backend</c:v>
                </c:pt>
                <c:pt idx="1">
                  <c:v>Frontend</c:v>
                </c:pt>
                <c:pt idx="2">
                  <c:v>QA</c:v>
                </c:pt>
                <c:pt idx="3">
                  <c:v>DevOps</c:v>
                </c:pt>
                <c:pt idx="4">
                  <c:v>Analyst</c:v>
                </c:pt>
                <c:pt idx="5">
                  <c:v>Designer</c:v>
                </c:pt>
              </c:strCache>
            </c:strRef>
          </c:cat>
          <c:val>
            <c:numRef>
              <c:f>'Загрузка по ролям'!$C$6:$C$11</c:f>
              <c:numCache>
                <c:formatCode>#\ ##0.0</c:formatCode>
                <c:ptCount val="6"/>
                <c:pt idx="0">
                  <c:v>8</c:v>
                </c:pt>
                <c:pt idx="1">
                  <c:v>13</c:v>
                </c:pt>
                <c:pt idx="2">
                  <c:v>5</c:v>
                </c:pt>
                <c:pt idx="3">
                  <c:v>0</c:v>
                </c:pt>
                <c:pt idx="4">
                  <c:v>3</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C0E-4A42-8091-97E5F0AC6ECB}"/>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ru-RU"/>
                  <a:t>Роль</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Burndown — </a:t>
            </a:r>
            <a:r>
              <a:rPr lang="ru-RU"/>
              <a:t>сгорание задач (дни)</a:t>
            </a:r>
          </a:p>
        </c:rich>
      </c:tx>
      <c:overlay val="0"/>
    </c:title>
    <c:autoTitleDeleted val="0"/>
    <c:plotArea>
      <c:layout/>
      <c:lineChart>
        <c:grouping val="standard"/>
        <c:varyColors val="1"/>
        <c:ser>
          <c:idx val="0"/>
          <c:order val="0"/>
          <c:tx>
            <c:strRef>
              <c:f>Сгорание!$C$6</c:f>
              <c:strCache>
                <c:ptCount val="1"/>
                <c:pt idx="0">
                  <c:v>Идеальный остаток (дн)</c:v>
                </c:pt>
              </c:strCache>
            </c:strRef>
          </c:tx>
          <c:spPr>
            <a:ln>
              <a:solidFill>
                <a:srgbClr val="808080"/>
              </a:solidFill>
              <a:prstDash val="dash"/>
            </a:ln>
          </c:spPr>
          <c:marker>
            <c:symbol val="circle"/>
            <c:size val="6"/>
            <c:spPr>
              <a:ln>
                <a:prstDash val="solid"/>
              </a:ln>
            </c:spPr>
          </c:marker>
          <c:cat>
            <c:numRef>
              <c:f>Сгорание!$A$7:$A$17</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Сгорание!$C$7:$C$17</c:f>
              <c:numCache>
                <c:formatCode>#\ ##0.0</c:formatCode>
                <c:ptCount val="11"/>
                <c:pt idx="0">
                  <c:v>29</c:v>
                </c:pt>
                <c:pt idx="1">
                  <c:v>26.1</c:v>
                </c:pt>
                <c:pt idx="2">
                  <c:v>23.2</c:v>
                </c:pt>
                <c:pt idx="3">
                  <c:v>20.3</c:v>
                </c:pt>
                <c:pt idx="4">
                  <c:v>17.399999999999999</c:v>
                </c:pt>
                <c:pt idx="5">
                  <c:v>14.5</c:v>
                </c:pt>
                <c:pt idx="6">
                  <c:v>11.6</c:v>
                </c:pt>
                <c:pt idx="7">
                  <c:v>8.6999999999999993</c:v>
                </c:pt>
                <c:pt idx="8">
                  <c:v>5.8</c:v>
                </c:pt>
                <c:pt idx="9">
                  <c:v>2.9</c:v>
                </c:pt>
                <c:pt idx="10">
                  <c:v>0</c:v>
                </c:pt>
              </c:numCache>
            </c:numRef>
          </c:val>
          <c:smooth val="0"/>
          <c:extLst>
            <c:ext xmlns:c16="http://schemas.microsoft.com/office/drawing/2014/chart" uri="{C3380CC4-5D6E-409C-BE32-E72D297353CC}">
              <c16:uniqueId val="{00000000-5169-402D-8332-825E805A4C64}"/>
            </c:ext>
          </c:extLst>
        </c:ser>
        <c:ser>
          <c:idx val="1"/>
          <c:order val="1"/>
          <c:tx>
            <c:strRef>
              <c:f>Сгорание!$D$6</c:f>
              <c:strCache>
                <c:ptCount val="1"/>
                <c:pt idx="0">
                  <c:v>Факт. остаток (дн)</c:v>
                </c:pt>
              </c:strCache>
            </c:strRef>
          </c:tx>
          <c:spPr>
            <a:ln w="28000">
              <a:solidFill>
                <a:srgbClr val="C00000"/>
              </a:solidFill>
              <a:prstDash val="solid"/>
            </a:ln>
          </c:spPr>
          <c:marker>
            <c:symbol val="circle"/>
            <c:size val="6"/>
            <c:spPr>
              <a:ln>
                <a:prstDash val="solid"/>
              </a:ln>
            </c:spPr>
          </c:marker>
          <c:cat>
            <c:numRef>
              <c:f>Сгорание!$A$7:$A$17</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Сгорание!$D$7:$D$17</c:f>
              <c:numCache>
                <c:formatCode>#\ ##0.0</c:formatCode>
                <c:ptCount val="11"/>
                <c:pt idx="0">
                  <c:v>29</c:v>
                </c:pt>
                <c:pt idx="1">
                  <c:v>28.4</c:v>
                </c:pt>
                <c:pt idx="2">
                  <c:v>26.1</c:v>
                </c:pt>
                <c:pt idx="3">
                  <c:v>24.9</c:v>
                </c:pt>
                <c:pt idx="4">
                  <c:v>20.9</c:v>
                </c:pt>
                <c:pt idx="5">
                  <c:v>17.399999999999999</c:v>
                </c:pt>
                <c:pt idx="6">
                  <c:v>16</c:v>
                </c:pt>
                <c:pt idx="7">
                  <c:v>11.6</c:v>
                </c:pt>
                <c:pt idx="8">
                  <c:v>8.1</c:v>
                </c:pt>
                <c:pt idx="9">
                  <c:v>3.5</c:v>
                </c:pt>
                <c:pt idx="10">
                  <c:v>0</c:v>
                </c:pt>
              </c:numCache>
            </c:numRef>
          </c:val>
          <c:smooth val="0"/>
          <c:extLst>
            <c:ext xmlns:c16="http://schemas.microsoft.com/office/drawing/2014/chart" uri="{C3380CC4-5D6E-409C-BE32-E72D297353CC}">
              <c16:uniqueId val="{00000001-5169-402D-8332-825E805A4C6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title>
          <c:tx>
            <c:rich>
              <a:bodyPr/>
              <a:lstStyle/>
              <a:p>
                <a:pPr>
                  <a:defRPr/>
                </a:pPr>
                <a:r>
                  <a:rPr lang="ru-RU"/>
                  <a:t>День спринта</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Остаток (дни)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Burn-up: </a:t>
            </a:r>
            <a:r>
              <a:rPr lang="ru-RU"/>
              <a:t>объём </a:t>
            </a:r>
            <a:r>
              <a:rPr lang="en-US"/>
              <a:t>vs </a:t>
            </a:r>
            <a:r>
              <a:rPr lang="ru-RU"/>
              <a:t>сделано</a:t>
            </a:r>
          </a:p>
        </c:rich>
      </c:tx>
      <c:overlay val="0"/>
    </c:title>
    <c:autoTitleDeleted val="0"/>
    <c:plotArea>
      <c:layout/>
      <c:lineChart>
        <c:grouping val="standard"/>
        <c:varyColors val="1"/>
        <c:ser>
          <c:idx val="0"/>
          <c:order val="0"/>
          <c:tx>
            <c:strRef>
              <c:f>Сгорание!$B$21</c:f>
              <c:strCache>
                <c:ptCount val="1"/>
                <c:pt idx="0">
                  <c:v>Накопл.
сделано (дн)</c:v>
                </c:pt>
              </c:strCache>
            </c:strRef>
          </c:tx>
          <c:spPr>
            <a:ln w="28000">
              <a:solidFill>
                <a:srgbClr val="70AD47"/>
              </a:solidFill>
              <a:prstDash val="solid"/>
            </a:ln>
          </c:spPr>
          <c:marker>
            <c:symbol val="circle"/>
            <c:size val="6"/>
            <c:spPr>
              <a:ln>
                <a:prstDash val="solid"/>
              </a:ln>
            </c:spPr>
          </c:marker>
          <c:cat>
            <c:numRef>
              <c:f>Сгорание!$A$22:$A$32</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Сгорание!$B$22:$B$32</c:f>
              <c:numCache>
                <c:formatCode>#\ ##0.0</c:formatCode>
                <c:ptCount val="11"/>
                <c:pt idx="0">
                  <c:v>17</c:v>
                </c:pt>
                <c:pt idx="1">
                  <c:v>38</c:v>
                </c:pt>
                <c:pt idx="2">
                  <c:v>38</c:v>
                </c:pt>
                <c:pt idx="3">
                  <c:v>38</c:v>
                </c:pt>
                <c:pt idx="4">
                  <c:v>38</c:v>
                </c:pt>
                <c:pt idx="5">
                  <c:v>38</c:v>
                </c:pt>
                <c:pt idx="6">
                  <c:v>38</c:v>
                </c:pt>
                <c:pt idx="7">
                  <c:v>38</c:v>
                </c:pt>
                <c:pt idx="8">
                  <c:v>38</c:v>
                </c:pt>
                <c:pt idx="9">
                  <c:v>38</c:v>
                </c:pt>
                <c:pt idx="10">
                  <c:v>38</c:v>
                </c:pt>
              </c:numCache>
            </c:numRef>
          </c:val>
          <c:smooth val="0"/>
          <c:extLst>
            <c:ext xmlns:c16="http://schemas.microsoft.com/office/drawing/2014/chart" uri="{C3380CC4-5D6E-409C-BE32-E72D297353CC}">
              <c16:uniqueId val="{00000000-A0FF-415A-AEEA-4BC46BEF10D4}"/>
            </c:ext>
          </c:extLst>
        </c:ser>
        <c:ser>
          <c:idx val="1"/>
          <c:order val="1"/>
          <c:tx>
            <c:strRef>
              <c:f>Сгорание!$C$21</c:f>
              <c:strCache>
                <c:ptCount val="1"/>
                <c:pt idx="0">
                  <c:v>Общий
объём (дн)</c:v>
                </c:pt>
              </c:strCache>
            </c:strRef>
          </c:tx>
          <c:spPr>
            <a:ln>
              <a:solidFill>
                <a:srgbClr val="C00000"/>
              </a:solidFill>
              <a:prstDash val="dash"/>
            </a:ln>
          </c:spPr>
          <c:marker>
            <c:symbol val="circle"/>
            <c:size val="6"/>
            <c:spPr>
              <a:ln>
                <a:prstDash val="solid"/>
              </a:ln>
            </c:spPr>
          </c:marker>
          <c:cat>
            <c:numRef>
              <c:f>Сгорание!$A$22:$A$32</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Сгорание!$C$22:$C$32</c:f>
              <c:numCache>
                <c:formatCode>#\ ##0.0</c:formatCode>
                <c:ptCount val="11"/>
                <c:pt idx="0">
                  <c:v>107</c:v>
                </c:pt>
                <c:pt idx="1">
                  <c:v>107</c:v>
                </c:pt>
                <c:pt idx="2">
                  <c:v>107</c:v>
                </c:pt>
                <c:pt idx="3">
                  <c:v>107</c:v>
                </c:pt>
                <c:pt idx="4">
                  <c:v>107</c:v>
                </c:pt>
                <c:pt idx="5">
                  <c:v>107</c:v>
                </c:pt>
                <c:pt idx="6">
                  <c:v>107</c:v>
                </c:pt>
                <c:pt idx="7">
                  <c:v>107</c:v>
                </c:pt>
                <c:pt idx="8">
                  <c:v>107</c:v>
                </c:pt>
                <c:pt idx="9">
                  <c:v>107</c:v>
                </c:pt>
                <c:pt idx="10">
                  <c:v>107</c:v>
                </c:pt>
              </c:numCache>
            </c:numRef>
          </c:val>
          <c:smooth val="0"/>
          <c:extLst>
            <c:ext xmlns:c16="http://schemas.microsoft.com/office/drawing/2014/chart" uri="{C3380CC4-5D6E-409C-BE32-E72D297353CC}">
              <c16:uniqueId val="{00000001-A0FF-415A-AEEA-4BC46BEF10D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Дефекты: найдено </a:t>
            </a:r>
            <a:r>
              <a:rPr lang="en-US"/>
              <a:t>vs </a:t>
            </a:r>
            <a:r>
              <a:rPr lang="ru-RU"/>
              <a:t>закрыто</a:t>
            </a:r>
          </a:p>
        </c:rich>
      </c:tx>
      <c:overlay val="0"/>
    </c:title>
    <c:autoTitleDeleted val="0"/>
    <c:plotArea>
      <c:layout/>
      <c:barChart>
        <c:barDir val="col"/>
        <c:grouping val="clustered"/>
        <c:varyColors val="1"/>
        <c:ser>
          <c:idx val="0"/>
          <c:order val="0"/>
          <c:tx>
            <c:strRef>
              <c:f>Качество!$B$4</c:f>
              <c:strCache>
                <c:ptCount val="1"/>
                <c:pt idx="0">
                  <c:v>Найдено</c:v>
                </c:pt>
              </c:strCache>
            </c:strRef>
          </c:tx>
          <c:spPr>
            <a:solidFill>
              <a:srgbClr val="ED7D31"/>
            </a:solidFill>
            <a:ln>
              <a:prstDash val="solid"/>
            </a:ln>
          </c:spPr>
          <c:invertIfNegative val="1"/>
          <c:cat>
            <c:strRef>
              <c:f>Качество!$A$5:$A$15</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Качество!$B$5:$B$15</c:f>
              <c:numCache>
                <c:formatCode>General</c:formatCode>
                <c:ptCount val="11"/>
                <c:pt idx="0">
                  <c:v>5</c:v>
                </c:pt>
                <c:pt idx="1">
                  <c:v>6</c:v>
                </c:pt>
                <c:pt idx="2">
                  <c:v>2</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026-4F89-BAB7-F78C0031CA7F}"/>
            </c:ext>
          </c:extLst>
        </c:ser>
        <c:ser>
          <c:idx val="1"/>
          <c:order val="1"/>
          <c:tx>
            <c:strRef>
              <c:f>Качество!$C$4</c:f>
              <c:strCache>
                <c:ptCount val="1"/>
                <c:pt idx="0">
                  <c:v>Закрыто</c:v>
                </c:pt>
              </c:strCache>
            </c:strRef>
          </c:tx>
          <c:spPr>
            <a:solidFill>
              <a:srgbClr val="70AD47"/>
            </a:solidFill>
            <a:ln>
              <a:prstDash val="solid"/>
            </a:ln>
          </c:spPr>
          <c:invertIfNegative val="1"/>
          <c:cat>
            <c:strRef>
              <c:f>Качество!$A$5:$A$15</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Качество!$C$5:$C$15</c:f>
              <c:numCache>
                <c:formatCode>General</c:formatCode>
                <c:ptCount val="11"/>
                <c:pt idx="0">
                  <c:v>4</c:v>
                </c:pt>
                <c:pt idx="1">
                  <c:v>6</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026-4F89-BAB7-F78C0031CA7F}"/>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Багов</a:t>
                </a:r>
              </a:p>
            </c:rich>
          </c:tx>
          <c:overlay val="1"/>
        </c:title>
        <c:numFmt formatCode="General"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Баги по спринтам (кол-во)</a:t>
            </a:r>
          </a:p>
        </c:rich>
      </c:tx>
      <c:overlay val="1"/>
    </c:title>
    <c:autoTitleDeleted val="0"/>
    <c:plotArea>
      <c:layout/>
      <c:barChart>
        <c:barDir val="col"/>
        <c:grouping val="stacked"/>
        <c:varyColors val="1"/>
        <c:ser>
          <c:idx val="0"/>
          <c:order val="0"/>
          <c:tx>
            <c:strRef>
              <c:f>Баги!$L$5</c:f>
              <c:strCache>
                <c:ptCount val="1"/>
                <c:pt idx="0">
                  <c:v>Закрыто</c:v>
                </c:pt>
              </c:strCache>
            </c:strRef>
          </c:tx>
          <c:spPr>
            <a:solidFill>
              <a:srgbClr val="70AD47"/>
            </a:solidFill>
            <a:ln>
              <a:prstDash val="solid"/>
            </a:ln>
          </c:spPr>
          <c:invertIfNegative val="1"/>
          <c:cat>
            <c:numRef>
              <c:f>Баги!$J$6:$J$16</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Баги!$L$6:$L$16</c:f>
              <c:numCache>
                <c:formatCode>General</c:formatCode>
                <c:ptCount val="11"/>
                <c:pt idx="0">
                  <c:v>4</c:v>
                </c:pt>
                <c:pt idx="1">
                  <c:v>6</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93A-4BA0-A734-333B51A66CAD}"/>
            </c:ext>
          </c:extLst>
        </c:ser>
        <c:ser>
          <c:idx val="1"/>
          <c:order val="1"/>
          <c:tx>
            <c:strRef>
              <c:f>Баги!$M$5</c:f>
              <c:strCache>
                <c:ptCount val="1"/>
                <c:pt idx="0">
                  <c:v>Открыто</c:v>
                </c:pt>
              </c:strCache>
            </c:strRef>
          </c:tx>
          <c:spPr>
            <a:solidFill>
              <a:srgbClr val="C00000"/>
            </a:solidFill>
            <a:ln>
              <a:prstDash val="solid"/>
            </a:ln>
          </c:spPr>
          <c:invertIfNegative val="1"/>
          <c:cat>
            <c:numRef>
              <c:f>Баги!$J$6:$J$16</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Баги!$M$6:$M$16</c:f>
              <c:numCache>
                <c:formatCode>General</c:formatCode>
                <c:ptCount val="11"/>
                <c:pt idx="0">
                  <c:v>1</c:v>
                </c:pt>
                <c:pt idx="1">
                  <c:v>0</c:v>
                </c:pt>
                <c:pt idx="2">
                  <c:v>2</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93A-4BA0-A734-333B51A66CAD}"/>
            </c:ext>
          </c:extLst>
        </c:ser>
        <c:dLbls>
          <c:showLegendKey val="0"/>
          <c:showVal val="0"/>
          <c:showCatName val="0"/>
          <c:showSerName val="0"/>
          <c:showPercent val="0"/>
          <c:showBubbleSize val="0"/>
        </c:dLbls>
        <c:gapWidth val="15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 закрытых по спринтам</a:t>
            </a:r>
          </a:p>
        </c:rich>
      </c:tx>
      <c:overlay val="1"/>
    </c:title>
    <c:autoTitleDeleted val="0"/>
    <c:plotArea>
      <c:layout/>
      <c:barChart>
        <c:barDir val="col"/>
        <c:grouping val="clustered"/>
        <c:varyColors val="1"/>
        <c:ser>
          <c:idx val="0"/>
          <c:order val="0"/>
          <c:tx>
            <c:strRef>
              <c:f>Баги!$N$5</c:f>
              <c:strCache>
                <c:ptCount val="1"/>
                <c:pt idx="0">
                  <c:v>% закрытых</c:v>
                </c:pt>
              </c:strCache>
            </c:strRef>
          </c:tx>
          <c:spPr>
            <a:solidFill>
              <a:srgbClr val="4472C4"/>
            </a:solidFill>
            <a:ln>
              <a:prstDash val="solid"/>
            </a:ln>
          </c:spPr>
          <c:invertIfNegative val="1"/>
          <c:cat>
            <c:numRef>
              <c:f>Баги!$J$6:$J$16</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Баги!$N$6:$N$16</c:f>
              <c:numCache>
                <c:formatCode>0%</c:formatCode>
                <c:ptCount val="11"/>
                <c:pt idx="0">
                  <c:v>0.8</c:v>
                </c:pt>
                <c:pt idx="1">
                  <c:v>1</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920-454F-ABC6-5948E16686A7}"/>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Доля багов по спринтам</a:t>
            </a:r>
          </a:p>
        </c:rich>
      </c:tx>
      <c:overlay val="1"/>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1"/>
            <c:showLeaderLines val="1"/>
            <c:extLst>
              <c:ext xmlns:c15="http://schemas.microsoft.com/office/drawing/2012/chart" uri="{CE6537A1-D6FC-4f65-9D91-7224C49458BB}"/>
            </c:extLst>
          </c:dLbls>
          <c:cat>
            <c:numRef>
              <c:f>Баги!$J$6:$J$16</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Баги!$P$6:$P$16</c:f>
              <c:numCache>
                <c:formatCode>General</c:formatCode>
                <c:ptCount val="11"/>
                <c:pt idx="0">
                  <c:v>5</c:v>
                </c:pt>
                <c:pt idx="1">
                  <c:v>6</c:v>
                </c:pt>
                <c:pt idx="2">
                  <c:v>2</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0-7D3D-4DF9-9539-AF2DA0BD98B0}"/>
            </c:ext>
          </c:extLst>
        </c:ser>
        <c:dLbls>
          <c:showLegendKey val="0"/>
          <c:showVal val="0"/>
          <c:showCatName val="0"/>
          <c:showSerName val="0"/>
          <c:showPercent val="1"/>
          <c:showBubbleSize val="1"/>
          <c:showLeaderLines val="1"/>
        </c:dLbls>
        <c:firstSliceAng val="0"/>
      </c:pieChart>
    </c:plotArea>
    <c:legend>
      <c:legendPos val="r"/>
      <c:overlay val="0"/>
    </c:legend>
    <c:plotVisOnly val="0"/>
    <c:dispBlanksAs val="gap"/>
    <c:showDLblsOverMax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Cumulative Flow Diagram</a:t>
            </a:r>
          </a:p>
        </c:rich>
      </c:tx>
      <c:overlay val="0"/>
    </c:title>
    <c:autoTitleDeleted val="0"/>
    <c:plotArea>
      <c:layout/>
      <c:barChart>
        <c:barDir val="col"/>
        <c:grouping val="stacked"/>
        <c:varyColors val="1"/>
        <c:ser>
          <c:idx val="0"/>
          <c:order val="0"/>
          <c:tx>
            <c:strRef>
              <c:f>CFD!$B$4</c:f>
              <c:strCache>
                <c:ptCount val="1"/>
                <c:pt idx="0">
                  <c:v>To Do</c:v>
                </c:pt>
              </c:strCache>
            </c:strRef>
          </c:tx>
          <c:spPr>
            <a:solidFill>
              <a:srgbClr val="BFBFBF"/>
            </a:solidFill>
            <a:ln>
              <a:prstDash val="solid"/>
            </a:ln>
          </c:spPr>
          <c:invertIfNegative val="1"/>
          <c:cat>
            <c:numRef>
              <c:f>CFD!$A$5:$A$15</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CFD!$B$5:$B$15</c:f>
              <c:numCache>
                <c:formatCode>General</c:formatCode>
                <c:ptCount val="11"/>
                <c:pt idx="0">
                  <c:v>8</c:v>
                </c:pt>
                <c:pt idx="1">
                  <c:v>7</c:v>
                </c:pt>
                <c:pt idx="2">
                  <c:v>6</c:v>
                </c:pt>
                <c:pt idx="3">
                  <c:v>5</c:v>
                </c:pt>
                <c:pt idx="4">
                  <c:v>4</c:v>
                </c:pt>
                <c:pt idx="5">
                  <c:v>3</c:v>
                </c:pt>
                <c:pt idx="6">
                  <c:v>3</c:v>
                </c:pt>
                <c:pt idx="7">
                  <c:v>2</c:v>
                </c:pt>
                <c:pt idx="8">
                  <c:v>1</c:v>
                </c:pt>
                <c:pt idx="9">
                  <c:v>1</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91F-40BF-B62B-DBD0D5D5B1B3}"/>
            </c:ext>
          </c:extLst>
        </c:ser>
        <c:ser>
          <c:idx val="1"/>
          <c:order val="1"/>
          <c:tx>
            <c:strRef>
              <c:f>CFD!$C$4</c:f>
              <c:strCache>
                <c:ptCount val="1"/>
                <c:pt idx="0">
                  <c:v>В работе</c:v>
                </c:pt>
              </c:strCache>
            </c:strRef>
          </c:tx>
          <c:spPr>
            <a:solidFill>
              <a:srgbClr val="FFC000"/>
            </a:solidFill>
            <a:ln>
              <a:prstDash val="solid"/>
            </a:ln>
          </c:spPr>
          <c:invertIfNegative val="1"/>
          <c:cat>
            <c:numRef>
              <c:f>CFD!$A$5:$A$15</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CFD!$C$5:$C$15</c:f>
              <c:numCache>
                <c:formatCode>General</c:formatCode>
                <c:ptCount val="11"/>
                <c:pt idx="0">
                  <c:v>0</c:v>
                </c:pt>
                <c:pt idx="1">
                  <c:v>1</c:v>
                </c:pt>
                <c:pt idx="2">
                  <c:v>2</c:v>
                </c:pt>
                <c:pt idx="3">
                  <c:v>2</c:v>
                </c:pt>
                <c:pt idx="4">
                  <c:v>3</c:v>
                </c:pt>
                <c:pt idx="5">
                  <c:v>3</c:v>
                </c:pt>
                <c:pt idx="6">
                  <c:v>2</c:v>
                </c:pt>
                <c:pt idx="7">
                  <c:v>2</c:v>
                </c:pt>
                <c:pt idx="8">
                  <c:v>2</c:v>
                </c:pt>
                <c:pt idx="9">
                  <c:v>1</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91F-40BF-B62B-DBD0D5D5B1B3}"/>
            </c:ext>
          </c:extLst>
        </c:ser>
        <c:ser>
          <c:idx val="2"/>
          <c:order val="2"/>
          <c:tx>
            <c:strRef>
              <c:f>CFD!$D$4</c:f>
              <c:strCache>
                <c:ptCount val="1"/>
                <c:pt idx="0">
                  <c:v>Готово</c:v>
                </c:pt>
              </c:strCache>
            </c:strRef>
          </c:tx>
          <c:spPr>
            <a:solidFill>
              <a:srgbClr val="70AD47"/>
            </a:solidFill>
            <a:ln>
              <a:prstDash val="solid"/>
            </a:ln>
          </c:spPr>
          <c:invertIfNegative val="1"/>
          <c:cat>
            <c:numRef>
              <c:f>CFD!$A$5:$A$15</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CFD!$D$5:$D$15</c:f>
              <c:numCache>
                <c:formatCode>General</c:formatCode>
                <c:ptCount val="11"/>
                <c:pt idx="0">
                  <c:v>0</c:v>
                </c:pt>
                <c:pt idx="1">
                  <c:v>0</c:v>
                </c:pt>
                <c:pt idx="2">
                  <c:v>0</c:v>
                </c:pt>
                <c:pt idx="3">
                  <c:v>1</c:v>
                </c:pt>
                <c:pt idx="4">
                  <c:v>1</c:v>
                </c:pt>
                <c:pt idx="5">
                  <c:v>2</c:v>
                </c:pt>
                <c:pt idx="6">
                  <c:v>3</c:v>
                </c:pt>
                <c:pt idx="7">
                  <c:v>4</c:v>
                </c:pt>
                <c:pt idx="8">
                  <c:v>5</c:v>
                </c:pt>
                <c:pt idx="9">
                  <c:v>6</c:v>
                </c:pt>
                <c:pt idx="10">
                  <c:v>8</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91F-40BF-B62B-DBD0D5D5B1B3}"/>
            </c:ext>
          </c:extLst>
        </c:ser>
        <c:dLbls>
          <c:showLegendKey val="0"/>
          <c:showVal val="0"/>
          <c:showCatName val="0"/>
          <c:showSerName val="0"/>
          <c:showPercent val="0"/>
          <c:showBubbleSize val="0"/>
        </c:dLbls>
        <c:gapWidth val="150"/>
        <c:overlap val="100"/>
        <c:axId val="10"/>
        <c:axId val="100"/>
      </c:barChart>
      <c:catAx>
        <c:axId val="10"/>
        <c:scaling>
          <c:orientation val="minMax"/>
        </c:scaling>
        <c:delete val="0"/>
        <c:axPos val="b"/>
        <c:title>
          <c:tx>
            <c:rich>
              <a:bodyPr/>
              <a:lstStyle/>
              <a:p>
                <a:pPr>
                  <a:defRPr/>
                </a:pPr>
                <a:r>
                  <a:rPr lang="ru-RU"/>
                  <a:t>День спринта</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Задач</a:t>
                </a:r>
              </a:p>
            </c:rich>
          </c:tx>
          <c:overlay val="1"/>
        </c:title>
        <c:numFmt formatCode="General"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Velocity: </a:t>
            </a:r>
            <a:r>
              <a:rPr lang="ru-RU"/>
              <a:t>тренд и прогноз</a:t>
            </a:r>
          </a:p>
        </c:rich>
      </c:tx>
      <c:overlay val="0"/>
    </c:title>
    <c:autoTitleDeleted val="0"/>
    <c:plotArea>
      <c:layout/>
      <c:lineChart>
        <c:grouping val="standard"/>
        <c:varyColors val="1"/>
        <c:ser>
          <c:idx val="0"/>
          <c:order val="0"/>
          <c:spPr>
            <a:ln w="26000">
              <a:solidFill>
                <a:srgbClr val="C00000"/>
              </a:solidFill>
              <a:prstDash val="solid"/>
            </a:ln>
          </c:spPr>
          <c:marker>
            <c:symbol val="none"/>
          </c:marker>
          <c:trendline>
            <c:trendlineType val="linear"/>
            <c:forward val="3"/>
            <c:dispRSqr val="1"/>
            <c:dispEq val="0"/>
            <c:trendlineLbl>
              <c:numFmt formatCode="General" sourceLinked="0"/>
            </c:trendlineLbl>
          </c:trendline>
          <c:cat>
            <c:numRef>
              <c:f>'Метрики и прогноз'!$E$3:$E$13</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'Метрики и прогноз'!$F$2:$F$13</c:f>
              <c:numCache>
                <c:formatCode>General</c:formatCode>
                <c:ptCount val="12"/>
                <c:pt idx="1">
                  <c:v>17</c:v>
                </c:pt>
                <c:pt idx="2">
                  <c:v>21</c:v>
                </c:pt>
                <c:pt idx="3">
                  <c:v>0</c:v>
                </c:pt>
                <c:pt idx="4">
                  <c:v>0</c:v>
                </c:pt>
                <c:pt idx="5">
                  <c:v>0</c:v>
                </c:pt>
                <c:pt idx="6">
                  <c:v>0</c:v>
                </c:pt>
                <c:pt idx="7">
                  <c:v>0</c:v>
                </c:pt>
                <c:pt idx="8">
                  <c:v>0</c:v>
                </c:pt>
                <c:pt idx="9">
                  <c:v>0</c:v>
                </c:pt>
                <c:pt idx="10">
                  <c:v>0</c:v>
                </c:pt>
                <c:pt idx="11">
                  <c:v>0</c:v>
                </c:pt>
              </c:numCache>
            </c:numRef>
          </c:val>
          <c:smooth val="1"/>
          <c:extLst>
            <c:ext xmlns:c16="http://schemas.microsoft.com/office/drawing/2014/chart" uri="{C3380CC4-5D6E-409C-BE32-E72D297353CC}">
              <c16:uniqueId val="{00000001-91D9-4198-A0A4-AC0079D6AF4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Throughput </a:t>
            </a:r>
            <a:r>
              <a:rPr lang="ru-RU"/>
              <a:t>по спринтам</a:t>
            </a:r>
          </a:p>
        </c:rich>
      </c:tx>
      <c:overlay val="0"/>
    </c:title>
    <c:autoTitleDeleted val="0"/>
    <c:plotArea>
      <c:layout/>
      <c:barChart>
        <c:barDir val="col"/>
        <c:grouping val="clustered"/>
        <c:varyColors val="1"/>
        <c:ser>
          <c:idx val="0"/>
          <c:order val="0"/>
          <c:tx>
            <c:strRef>
              <c:f>'Метрики и прогноз'!$B$11</c:f>
              <c:strCache>
                <c:ptCount val="1"/>
                <c:pt idx="0">
                  <c:v>Задач сделано</c:v>
                </c:pt>
              </c:strCache>
            </c:strRef>
          </c:tx>
          <c:spPr>
            <a:solidFill>
              <a:srgbClr val="4472C4"/>
            </a:solidFill>
            <a:ln>
              <a:prstDash val="solid"/>
            </a:ln>
          </c:spPr>
          <c:invertIfNegative val="1"/>
          <c:cat>
            <c:numRef>
              <c:f>'Метрики и прогноз'!$A$12:$A$22</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'Метрики и прогноз'!$B$12:$B$22</c:f>
              <c:numCache>
                <c:formatCode>General</c:formatCode>
                <c:ptCount val="11"/>
                <c:pt idx="0">
                  <c:v>3</c:v>
                </c:pt>
                <c:pt idx="1">
                  <c:v>4</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F89-4BDA-8397-1B7B272985BD}"/>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Парето: причины багов</a:t>
            </a:r>
          </a:p>
        </c:rich>
      </c:tx>
      <c:overlay val="0"/>
    </c:title>
    <c:autoTitleDeleted val="0"/>
    <c:plotArea>
      <c:layout/>
      <c:barChart>
        <c:barDir val="col"/>
        <c:grouping val="clustered"/>
        <c:varyColors val="1"/>
        <c:ser>
          <c:idx val="0"/>
          <c:order val="0"/>
          <c:tx>
            <c:strRef>
              <c:f>'Метрики и прогноз'!$B$47</c:f>
              <c:strCache>
                <c:ptCount val="1"/>
                <c:pt idx="0">
                  <c:v>Кол-во</c:v>
                </c:pt>
              </c:strCache>
            </c:strRef>
          </c:tx>
          <c:spPr>
            <a:solidFill>
              <a:srgbClr val="ED7D31"/>
            </a:solidFill>
            <a:ln>
              <a:prstDash val="solid"/>
            </a:ln>
          </c:spPr>
          <c:invertIfNegative val="1"/>
          <c:cat>
            <c:strRef>
              <c:f>'Метрики и прогноз'!$A$48:$A$53</c:f>
              <c:strCache>
                <c:ptCount val="6"/>
                <c:pt idx="0">
                  <c:v>Интеграция</c:v>
                </c:pt>
                <c:pt idx="1">
                  <c:v>Код</c:v>
                </c:pt>
                <c:pt idx="2">
                  <c:v>Требования</c:v>
                </c:pt>
                <c:pt idx="3">
                  <c:v>Тестирование</c:v>
                </c:pt>
                <c:pt idx="4">
                  <c:v>Данные</c:v>
                </c:pt>
                <c:pt idx="5">
                  <c:v>Инфраструктура</c:v>
                </c:pt>
              </c:strCache>
            </c:strRef>
          </c:cat>
          <c:val>
            <c:numRef>
              <c:f>'Метрики и прогноз'!$B$48:$B$53</c:f>
              <c:numCache>
                <c:formatCode>General</c:formatCode>
                <c:ptCount val="6"/>
                <c:pt idx="0">
                  <c:v>4</c:v>
                </c:pt>
                <c:pt idx="1">
                  <c:v>3</c:v>
                </c:pt>
                <c:pt idx="2">
                  <c:v>3</c:v>
                </c:pt>
                <c:pt idx="3">
                  <c:v>2</c:v>
                </c:pt>
                <c:pt idx="4">
                  <c:v>1</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C9C-4AD6-98E5-3B692B05DA51}"/>
            </c:ext>
          </c:extLst>
        </c:ser>
        <c:dLbls>
          <c:showLegendKey val="0"/>
          <c:showVal val="0"/>
          <c:showCatName val="0"/>
          <c:showSerName val="0"/>
          <c:showPercent val="0"/>
          <c:showBubbleSize val="0"/>
        </c:dLbls>
        <c:gapWidth val="150"/>
        <c:axId val="10"/>
        <c:axId val="100"/>
      </c:barChart>
      <c:lineChart>
        <c:grouping val="standard"/>
        <c:varyColors val="1"/>
        <c:ser>
          <c:idx val="1"/>
          <c:order val="1"/>
          <c:tx>
            <c:strRef>
              <c:f>'Метрики и прогноз'!$C$47</c:f>
              <c:strCache>
                <c:ptCount val="1"/>
                <c:pt idx="0">
                  <c:v>Накопл. %</c:v>
                </c:pt>
              </c:strCache>
            </c:strRef>
          </c:tx>
          <c:spPr>
            <a:ln>
              <a:solidFill>
                <a:srgbClr val="C00000"/>
              </a:solidFill>
              <a:prstDash val="solid"/>
            </a:ln>
          </c:spPr>
          <c:marker>
            <c:symbol val="none"/>
          </c:marker>
          <c:val>
            <c:numRef>
              <c:f>'Метрики и прогноз'!$C$48:$C$53</c:f>
              <c:numCache>
                <c:formatCode>0%</c:formatCode>
                <c:ptCount val="6"/>
                <c:pt idx="0">
                  <c:v>0.30769230769230771</c:v>
                </c:pt>
                <c:pt idx="1">
                  <c:v>0.53846153846153844</c:v>
                </c:pt>
                <c:pt idx="2">
                  <c:v>0.76923076923076927</c:v>
                </c:pt>
                <c:pt idx="3">
                  <c:v>0.92307692307692313</c:v>
                </c:pt>
                <c:pt idx="4">
                  <c:v>1</c:v>
                </c:pt>
                <c:pt idx="5">
                  <c:v>1</c:v>
                </c:pt>
              </c:numCache>
            </c:numRef>
          </c:val>
          <c:smooth val="1"/>
          <c:extLst>
            <c:ext xmlns:c16="http://schemas.microsoft.com/office/drawing/2014/chart" uri="{C3380CC4-5D6E-409C-BE32-E72D297353CC}">
              <c16:uniqueId val="{00000001-9C9C-4AD6-98E5-3B692B05DA51}"/>
            </c:ext>
          </c:extLst>
        </c:ser>
        <c:dLbls>
          <c:showLegendKey val="0"/>
          <c:showVal val="0"/>
          <c:showCatName val="0"/>
          <c:showSerName val="0"/>
          <c:showPercent val="0"/>
          <c:showBubbleSize val="0"/>
        </c:dLbls>
        <c:marker val="1"/>
        <c:smooth val="0"/>
        <c:axId val="10"/>
        <c:axId val="2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valAx>
        <c:axId val="200"/>
        <c:scaling>
          <c:orientation val="minMax"/>
        </c:scaling>
        <c:delete val="1"/>
        <c:axPos val="r"/>
        <c:majorGridlines/>
        <c:numFmt formatCode="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Нагрузка по ролям: ёмкость </a:t>
            </a:r>
            <a:r>
              <a:rPr lang="en-US"/>
              <a:t>vs </a:t>
            </a:r>
            <a:r>
              <a:rPr lang="ru-RU"/>
              <a:t>спрос</a:t>
            </a:r>
          </a:p>
        </c:rich>
      </c:tx>
      <c:overlay val="0"/>
    </c:title>
    <c:autoTitleDeleted val="0"/>
    <c:plotArea>
      <c:layout/>
      <c:radarChart>
        <c:radarStyle val="filled"/>
        <c:varyColors val="1"/>
        <c:ser>
          <c:idx val="0"/>
          <c:order val="0"/>
          <c:tx>
            <c:strRef>
              <c:f>'Ёмкость на горизонт'!$B$11</c:f>
              <c:strCache>
                <c:ptCount val="1"/>
                <c:pt idx="0">
                  <c:v>Ёмкость (дн)</c:v>
                </c:pt>
              </c:strCache>
            </c:strRef>
          </c:tx>
          <c:spPr>
            <a:ln>
              <a:prstDash val="solid"/>
            </a:ln>
          </c:spPr>
          <c:cat>
            <c:strRef>
              <c:f>'Ёмкость на горизонт'!$A$12:$A$17</c:f>
              <c:strCache>
                <c:ptCount val="6"/>
                <c:pt idx="0">
                  <c:v>Backend</c:v>
                </c:pt>
                <c:pt idx="1">
                  <c:v>Frontend</c:v>
                </c:pt>
                <c:pt idx="2">
                  <c:v>QA</c:v>
                </c:pt>
                <c:pt idx="3">
                  <c:v>DevOps</c:v>
                </c:pt>
                <c:pt idx="4">
                  <c:v>Analyst</c:v>
                </c:pt>
                <c:pt idx="5">
                  <c:v>Designer</c:v>
                </c:pt>
              </c:strCache>
            </c:strRef>
          </c:cat>
          <c:val>
            <c:numRef>
              <c:f>'Ёмкость на горизонт'!$B$12:$B$17</c:f>
              <c:numCache>
                <c:formatCode>#\ ##0.0</c:formatCode>
                <c:ptCount val="6"/>
                <c:pt idx="0">
                  <c:v>339.99999999999989</c:v>
                </c:pt>
                <c:pt idx="1">
                  <c:v>258.39999999999992</c:v>
                </c:pt>
                <c:pt idx="2">
                  <c:v>155.52000000000001</c:v>
                </c:pt>
                <c:pt idx="3">
                  <c:v>69.11999999999999</c:v>
                </c:pt>
                <c:pt idx="4">
                  <c:v>127.6</c:v>
                </c:pt>
                <c:pt idx="5">
                  <c:v>69.11999999999999</c:v>
                </c:pt>
              </c:numCache>
            </c:numRef>
          </c:val>
          <c:extLst>
            <c:ext xmlns:c16="http://schemas.microsoft.com/office/drawing/2014/chart" uri="{C3380CC4-5D6E-409C-BE32-E72D297353CC}">
              <c16:uniqueId val="{00000000-D264-4393-813F-13B8BF36A66C}"/>
            </c:ext>
          </c:extLst>
        </c:ser>
        <c:ser>
          <c:idx val="1"/>
          <c:order val="1"/>
          <c:tx>
            <c:strRef>
              <c:f>'Ёмкость на горизонт'!$C$11</c:f>
              <c:strCache>
                <c:ptCount val="1"/>
                <c:pt idx="0">
                  <c:v>Спрос (дн)</c:v>
                </c:pt>
              </c:strCache>
            </c:strRef>
          </c:tx>
          <c:spPr>
            <a:ln>
              <a:prstDash val="solid"/>
            </a:ln>
          </c:spPr>
          <c:cat>
            <c:strRef>
              <c:f>'Ёмкость на горизонт'!$A$12:$A$17</c:f>
              <c:strCache>
                <c:ptCount val="6"/>
                <c:pt idx="0">
                  <c:v>Backend</c:v>
                </c:pt>
                <c:pt idx="1">
                  <c:v>Frontend</c:v>
                </c:pt>
                <c:pt idx="2">
                  <c:v>QA</c:v>
                </c:pt>
                <c:pt idx="3">
                  <c:v>DevOps</c:v>
                </c:pt>
                <c:pt idx="4">
                  <c:v>Analyst</c:v>
                </c:pt>
                <c:pt idx="5">
                  <c:v>Designer</c:v>
                </c:pt>
              </c:strCache>
            </c:strRef>
          </c:cat>
          <c:val>
            <c:numRef>
              <c:f>'Ёмкость на горизонт'!$C$12:$C$17</c:f>
              <c:numCache>
                <c:formatCode>#\ ##0.0</c:formatCode>
                <c:ptCount val="6"/>
                <c:pt idx="0">
                  <c:v>35</c:v>
                </c:pt>
                <c:pt idx="1">
                  <c:v>29</c:v>
                </c:pt>
                <c:pt idx="2">
                  <c:v>20</c:v>
                </c:pt>
                <c:pt idx="3">
                  <c:v>7</c:v>
                </c:pt>
                <c:pt idx="4">
                  <c:v>11</c:v>
                </c:pt>
                <c:pt idx="5">
                  <c:v>5</c:v>
                </c:pt>
              </c:numCache>
            </c:numRef>
          </c:val>
          <c:extLst>
            <c:ext xmlns:c16="http://schemas.microsoft.com/office/drawing/2014/chart" uri="{C3380CC4-5D6E-409C-BE32-E72D297353CC}">
              <c16:uniqueId val="{00000001-D264-4393-813F-13B8BF36A66C}"/>
            </c:ext>
          </c:extLst>
        </c:ser>
        <c:dLbls>
          <c:showLegendKey val="0"/>
          <c:showVal val="0"/>
          <c:showCatName val="0"/>
          <c:showSerName val="0"/>
          <c:showPercent val="0"/>
          <c:showBubbleSize val="0"/>
        </c:dLbls>
        <c:axId val="10"/>
        <c:axId val="100"/>
      </c:rad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 ##0.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Burn-up </a:t>
            </a:r>
            <a:r>
              <a:rPr lang="ru-RU"/>
              <a:t>к релизу</a:t>
            </a:r>
          </a:p>
        </c:rich>
      </c:tx>
      <c:overlay val="0"/>
    </c:title>
    <c:autoTitleDeleted val="0"/>
    <c:plotArea>
      <c:layout/>
      <c:lineChart>
        <c:grouping val="standard"/>
        <c:varyColors val="1"/>
        <c:ser>
          <c:idx val="0"/>
          <c:order val="0"/>
          <c:tx>
            <c:strRef>
              <c:f>'Метрики и прогноз'!$F$18</c:f>
              <c:strCache>
                <c:ptCount val="1"/>
                <c:pt idx="0">
                  <c:v>Сделано (накопл.)</c:v>
                </c:pt>
              </c:strCache>
            </c:strRef>
          </c:tx>
          <c:spPr>
            <a:ln w="26000">
              <a:solidFill>
                <a:srgbClr val="70AD47"/>
              </a:solidFill>
              <a:prstDash val="solid"/>
            </a:ln>
          </c:spPr>
          <c:marker>
            <c:symbol val="none"/>
          </c:marker>
          <c:cat>
            <c:numRef>
              <c:f>'Метрики и прогноз'!$E$19:$E$29</c:f>
              <c:numCache>
                <c:formatCode>#\ ##0.0</c:formatCode>
                <c:ptCount val="11"/>
                <c:pt idx="0">
                  <c:v>1</c:v>
                </c:pt>
                <c:pt idx="1">
                  <c:v>2</c:v>
                </c:pt>
                <c:pt idx="2">
                  <c:v>3</c:v>
                </c:pt>
                <c:pt idx="3">
                  <c:v>4</c:v>
                </c:pt>
                <c:pt idx="4">
                  <c:v>5</c:v>
                </c:pt>
                <c:pt idx="5">
                  <c:v>6</c:v>
                </c:pt>
                <c:pt idx="6">
                  <c:v>7</c:v>
                </c:pt>
                <c:pt idx="7">
                  <c:v>8</c:v>
                </c:pt>
                <c:pt idx="8">
                  <c:v>9</c:v>
                </c:pt>
                <c:pt idx="9">
                  <c:v>10</c:v>
                </c:pt>
                <c:pt idx="10">
                  <c:v>11</c:v>
                </c:pt>
              </c:numCache>
            </c:numRef>
          </c:cat>
          <c:val>
            <c:numRef>
              <c:f>'Метрики и прогноз'!$F$19:$F$29</c:f>
              <c:numCache>
                <c:formatCode>#\ ##0.0</c:formatCode>
                <c:ptCount val="11"/>
                <c:pt idx="0">
                  <c:v>17</c:v>
                </c:pt>
                <c:pt idx="1">
                  <c:v>38</c:v>
                </c:pt>
                <c:pt idx="2">
                  <c:v>38</c:v>
                </c:pt>
                <c:pt idx="3">
                  <c:v>38</c:v>
                </c:pt>
                <c:pt idx="4">
                  <c:v>38</c:v>
                </c:pt>
                <c:pt idx="5">
                  <c:v>38</c:v>
                </c:pt>
                <c:pt idx="6">
                  <c:v>38</c:v>
                </c:pt>
                <c:pt idx="7">
                  <c:v>38</c:v>
                </c:pt>
                <c:pt idx="8">
                  <c:v>38</c:v>
                </c:pt>
                <c:pt idx="9">
                  <c:v>38</c:v>
                </c:pt>
                <c:pt idx="10">
                  <c:v>38</c:v>
                </c:pt>
              </c:numCache>
            </c:numRef>
          </c:val>
          <c:smooth val="1"/>
          <c:extLst>
            <c:ext xmlns:c16="http://schemas.microsoft.com/office/drawing/2014/chart" uri="{C3380CC4-5D6E-409C-BE32-E72D297353CC}">
              <c16:uniqueId val="{00000000-75C7-424D-BE70-D55F5462DAE5}"/>
            </c:ext>
          </c:extLst>
        </c:ser>
        <c:ser>
          <c:idx val="1"/>
          <c:order val="1"/>
          <c:tx>
            <c:strRef>
              <c:f>'Метрики и прогноз'!$G$18</c:f>
              <c:strCache>
                <c:ptCount val="1"/>
                <c:pt idx="0">
                  <c:v>Объём (scope)</c:v>
                </c:pt>
              </c:strCache>
            </c:strRef>
          </c:tx>
          <c:spPr>
            <a:ln>
              <a:solidFill>
                <a:srgbClr val="C00000"/>
              </a:solidFill>
              <a:prstDash val="dash"/>
            </a:ln>
          </c:spPr>
          <c:marker>
            <c:symbol val="none"/>
          </c:marker>
          <c:cat>
            <c:numRef>
              <c:f>'Метрики и прогноз'!$E$19:$E$29</c:f>
              <c:numCache>
                <c:formatCode>#\ ##0.0</c:formatCode>
                <c:ptCount val="11"/>
                <c:pt idx="0">
                  <c:v>1</c:v>
                </c:pt>
                <c:pt idx="1">
                  <c:v>2</c:v>
                </c:pt>
                <c:pt idx="2">
                  <c:v>3</c:v>
                </c:pt>
                <c:pt idx="3">
                  <c:v>4</c:v>
                </c:pt>
                <c:pt idx="4">
                  <c:v>5</c:v>
                </c:pt>
                <c:pt idx="5">
                  <c:v>6</c:v>
                </c:pt>
                <c:pt idx="6">
                  <c:v>7</c:v>
                </c:pt>
                <c:pt idx="7">
                  <c:v>8</c:v>
                </c:pt>
                <c:pt idx="8">
                  <c:v>9</c:v>
                </c:pt>
                <c:pt idx="9">
                  <c:v>10</c:v>
                </c:pt>
                <c:pt idx="10">
                  <c:v>11</c:v>
                </c:pt>
              </c:numCache>
            </c:numRef>
          </c:cat>
          <c:val>
            <c:numRef>
              <c:f>'Метрики и прогноз'!$G$19:$G$29</c:f>
              <c:numCache>
                <c:formatCode>#\ ##0.0</c:formatCode>
                <c:ptCount val="11"/>
                <c:pt idx="0">
                  <c:v>107</c:v>
                </c:pt>
                <c:pt idx="1">
                  <c:v>107</c:v>
                </c:pt>
                <c:pt idx="2">
                  <c:v>107</c:v>
                </c:pt>
                <c:pt idx="3">
                  <c:v>107</c:v>
                </c:pt>
                <c:pt idx="4">
                  <c:v>107</c:v>
                </c:pt>
                <c:pt idx="5">
                  <c:v>107</c:v>
                </c:pt>
                <c:pt idx="6">
                  <c:v>107</c:v>
                </c:pt>
                <c:pt idx="7">
                  <c:v>107</c:v>
                </c:pt>
                <c:pt idx="8">
                  <c:v>107</c:v>
                </c:pt>
                <c:pt idx="9">
                  <c:v>107</c:v>
                </c:pt>
                <c:pt idx="10">
                  <c:v>107</c:v>
                </c:pt>
              </c:numCache>
            </c:numRef>
          </c:val>
          <c:smooth val="1"/>
          <c:extLst>
            <c:ext xmlns:c16="http://schemas.microsoft.com/office/drawing/2014/chart" uri="{C3380CC4-5D6E-409C-BE32-E72D297353CC}">
              <c16:uniqueId val="{00000001-75C7-424D-BE70-D55F5462DAE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 ##0.0"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 ##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Cycle time (</a:t>
            </a:r>
            <a:r>
              <a:rPr lang="ru-RU"/>
              <a:t>контрольная карта)</a:t>
            </a:r>
          </a:p>
        </c:rich>
      </c:tx>
      <c:overlay val="0"/>
    </c:title>
    <c:autoTitleDeleted val="0"/>
    <c:plotArea>
      <c:layout/>
      <c:lineChart>
        <c:grouping val="standard"/>
        <c:varyColors val="1"/>
        <c:ser>
          <c:idx val="0"/>
          <c:order val="0"/>
          <c:tx>
            <c:strRef>
              <c:f>'Cycle time'!$G$9</c:f>
              <c:strCache>
                <c:ptCount val="1"/>
                <c:pt idx="0">
                  <c:v>Cycle (дн)</c:v>
                </c:pt>
              </c:strCache>
            </c:strRef>
          </c:tx>
          <c:spPr>
            <a:ln w="20000">
              <a:solidFill>
                <a:srgbClr val="4472C4"/>
              </a:solidFill>
              <a:prstDash val="solid"/>
            </a:ln>
          </c:spPr>
          <c:marker>
            <c:symbol val="circle"/>
            <c:size val="7"/>
            <c:spPr>
              <a:ln>
                <a:prstDash val="solid"/>
              </a:ln>
            </c:spPr>
          </c:marker>
          <c:cat>
            <c:strRef>
              <c:f>'Cycle time'!$A$10:$A$29</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'Cycle time'!$G$10:$G$29</c:f>
              <c:numCache>
                <c:formatCode>General</c:formatCode>
                <c:ptCount val="20"/>
                <c:pt idx="0">
                  <c:v>3</c:v>
                </c:pt>
                <c:pt idx="1">
                  <c:v>8</c:v>
                </c:pt>
                <c:pt idx="2">
                  <c:v>2</c:v>
                </c:pt>
                <c:pt idx="3">
                  <c:v>#N/A</c:v>
                </c:pt>
                <c:pt idx="4">
                  <c:v>7</c:v>
                </c:pt>
                <c:pt idx="5">
                  <c:v>2</c:v>
                </c:pt>
                <c:pt idx="6">
                  <c:v>7</c:v>
                </c:pt>
                <c:pt idx="7">
                  <c:v>8</c:v>
                </c:pt>
                <c:pt idx="8">
                  <c:v>#N/A</c:v>
                </c:pt>
                <c:pt idx="9">
                  <c:v>#N/A</c:v>
                </c:pt>
                <c:pt idx="10">
                  <c:v>#N/A</c:v>
                </c:pt>
                <c:pt idx="11">
                  <c:v>#N/A</c:v>
                </c:pt>
                <c:pt idx="12">
                  <c:v>#N/A</c:v>
                </c:pt>
                <c:pt idx="13">
                  <c:v>#N/A</c:v>
                </c:pt>
                <c:pt idx="14">
                  <c:v>#N/A</c:v>
                </c:pt>
                <c:pt idx="15">
                  <c:v>#N/A</c:v>
                </c:pt>
                <c:pt idx="16">
                  <c:v>#N/A</c:v>
                </c:pt>
                <c:pt idx="17">
                  <c:v>#N/A</c:v>
                </c:pt>
                <c:pt idx="18">
                  <c:v>#N/A</c:v>
                </c:pt>
                <c:pt idx="19">
                  <c:v>#N/A</c:v>
                </c:pt>
              </c:numCache>
            </c:numRef>
          </c:val>
          <c:smooth val="1"/>
          <c:extLst>
            <c:ext xmlns:c16="http://schemas.microsoft.com/office/drawing/2014/chart" uri="{C3380CC4-5D6E-409C-BE32-E72D297353CC}">
              <c16:uniqueId val="{00000000-DD6F-48B6-A715-7AAFC21F41DE}"/>
            </c:ext>
          </c:extLst>
        </c:ser>
        <c:ser>
          <c:idx val="1"/>
          <c:order val="1"/>
          <c:tx>
            <c:strRef>
              <c:f>'Cycle time'!$C$9</c:f>
              <c:strCache>
                <c:ptCount val="1"/>
                <c:pt idx="0">
                  <c:v>CL</c:v>
                </c:pt>
              </c:strCache>
            </c:strRef>
          </c:tx>
          <c:spPr>
            <a:ln w="18000">
              <a:solidFill>
                <a:srgbClr val="000000"/>
              </a:solidFill>
              <a:prstDash val="solid"/>
            </a:ln>
          </c:spPr>
          <c:marker>
            <c:symbol val="none"/>
          </c:marker>
          <c:cat>
            <c:strRef>
              <c:f>'Cycle time'!$A$10:$A$29</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'Cycle time'!$C$10:$C$29</c:f>
              <c:numCache>
                <c:formatCode>General</c:formatCode>
                <c:ptCount val="20"/>
                <c:pt idx="0">
                  <c:v>5.2857142857142856</c:v>
                </c:pt>
                <c:pt idx="1">
                  <c:v>5.2857142857142856</c:v>
                </c:pt>
                <c:pt idx="2">
                  <c:v>5.2857142857142856</c:v>
                </c:pt>
                <c:pt idx="3">
                  <c:v>5.2857142857142856</c:v>
                </c:pt>
                <c:pt idx="4">
                  <c:v>5.2857142857142856</c:v>
                </c:pt>
                <c:pt idx="5">
                  <c:v>5.2857142857142856</c:v>
                </c:pt>
                <c:pt idx="6">
                  <c:v>5.2857142857142856</c:v>
                </c:pt>
                <c:pt idx="7">
                  <c:v>5.2857142857142856</c:v>
                </c:pt>
                <c:pt idx="8">
                  <c:v>5.2857142857142856</c:v>
                </c:pt>
                <c:pt idx="9">
                  <c:v>5.2857142857142856</c:v>
                </c:pt>
                <c:pt idx="10">
                  <c:v>5.2857142857142856</c:v>
                </c:pt>
                <c:pt idx="11">
                  <c:v>5.2857142857142856</c:v>
                </c:pt>
                <c:pt idx="12">
                  <c:v>5.2857142857142856</c:v>
                </c:pt>
                <c:pt idx="13">
                  <c:v>5.2857142857142856</c:v>
                </c:pt>
                <c:pt idx="14">
                  <c:v>5.2857142857142856</c:v>
                </c:pt>
                <c:pt idx="15">
                  <c:v>5.2857142857142856</c:v>
                </c:pt>
                <c:pt idx="16">
                  <c:v>5.2857142857142856</c:v>
                </c:pt>
                <c:pt idx="17">
                  <c:v>5.2857142857142856</c:v>
                </c:pt>
                <c:pt idx="18">
                  <c:v>5.2857142857142856</c:v>
                </c:pt>
                <c:pt idx="19">
                  <c:v>5.2857142857142856</c:v>
                </c:pt>
              </c:numCache>
            </c:numRef>
          </c:val>
          <c:smooth val="1"/>
          <c:extLst>
            <c:ext xmlns:c16="http://schemas.microsoft.com/office/drawing/2014/chart" uri="{C3380CC4-5D6E-409C-BE32-E72D297353CC}">
              <c16:uniqueId val="{00000001-DD6F-48B6-A715-7AAFC21F41DE}"/>
            </c:ext>
          </c:extLst>
        </c:ser>
        <c:ser>
          <c:idx val="2"/>
          <c:order val="2"/>
          <c:tx>
            <c:strRef>
              <c:f>'Cycle time'!$D$9</c:f>
              <c:strCache>
                <c:ptCount val="1"/>
                <c:pt idx="0">
                  <c:v>UCL</c:v>
                </c:pt>
              </c:strCache>
            </c:strRef>
          </c:tx>
          <c:spPr>
            <a:ln>
              <a:solidFill>
                <a:srgbClr val="C00000"/>
              </a:solidFill>
              <a:prstDash val="dash"/>
            </a:ln>
          </c:spPr>
          <c:marker>
            <c:symbol val="none"/>
          </c:marker>
          <c:cat>
            <c:strRef>
              <c:f>'Cycle time'!$A$10:$A$29</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'Cycle time'!$D$10:$D$29</c:f>
              <c:numCache>
                <c:formatCode>General</c:formatCode>
                <c:ptCount val="20"/>
                <c:pt idx="0">
                  <c:v>13.720336810928863</c:v>
                </c:pt>
                <c:pt idx="1">
                  <c:v>13.720336810928863</c:v>
                </c:pt>
                <c:pt idx="2">
                  <c:v>13.720336810928863</c:v>
                </c:pt>
                <c:pt idx="3">
                  <c:v>13.720336810928863</c:v>
                </c:pt>
                <c:pt idx="4">
                  <c:v>13.720336810928863</c:v>
                </c:pt>
                <c:pt idx="5">
                  <c:v>13.720336810928863</c:v>
                </c:pt>
                <c:pt idx="6">
                  <c:v>13.720336810928863</c:v>
                </c:pt>
                <c:pt idx="7">
                  <c:v>13.720336810928863</c:v>
                </c:pt>
                <c:pt idx="8">
                  <c:v>13.720336810928863</c:v>
                </c:pt>
                <c:pt idx="9">
                  <c:v>13.720336810928863</c:v>
                </c:pt>
                <c:pt idx="10">
                  <c:v>13.720336810928863</c:v>
                </c:pt>
                <c:pt idx="11">
                  <c:v>13.720336810928863</c:v>
                </c:pt>
                <c:pt idx="12">
                  <c:v>13.720336810928863</c:v>
                </c:pt>
                <c:pt idx="13">
                  <c:v>13.720336810928863</c:v>
                </c:pt>
                <c:pt idx="14">
                  <c:v>13.720336810928863</c:v>
                </c:pt>
                <c:pt idx="15">
                  <c:v>13.720336810928863</c:v>
                </c:pt>
                <c:pt idx="16">
                  <c:v>13.720336810928863</c:v>
                </c:pt>
                <c:pt idx="17">
                  <c:v>13.720336810928863</c:v>
                </c:pt>
                <c:pt idx="18">
                  <c:v>13.720336810928863</c:v>
                </c:pt>
                <c:pt idx="19">
                  <c:v>13.720336810928863</c:v>
                </c:pt>
              </c:numCache>
            </c:numRef>
          </c:val>
          <c:smooth val="1"/>
          <c:extLst>
            <c:ext xmlns:c16="http://schemas.microsoft.com/office/drawing/2014/chart" uri="{C3380CC4-5D6E-409C-BE32-E72D297353CC}">
              <c16:uniqueId val="{00000002-DD6F-48B6-A715-7AAFC21F41DE}"/>
            </c:ext>
          </c:extLst>
        </c:ser>
        <c:ser>
          <c:idx val="3"/>
          <c:order val="3"/>
          <c:tx>
            <c:strRef>
              <c:f>'Cycle time'!$E$9</c:f>
              <c:strCache>
                <c:ptCount val="1"/>
                <c:pt idx="0">
                  <c:v>LCL</c:v>
                </c:pt>
              </c:strCache>
            </c:strRef>
          </c:tx>
          <c:spPr>
            <a:ln>
              <a:solidFill>
                <a:srgbClr val="C00000"/>
              </a:solidFill>
              <a:prstDash val="dash"/>
            </a:ln>
          </c:spPr>
          <c:marker>
            <c:symbol val="none"/>
          </c:marker>
          <c:cat>
            <c:strRef>
              <c:f>'Cycle time'!$A$10:$A$29</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'Cycle time'!$E$10:$E$29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1"/>
          <c:extLst>
            <c:ext xmlns:c16="http://schemas.microsoft.com/office/drawing/2014/chart" uri="{C3380CC4-5D6E-409C-BE32-E72D297353CC}">
              <c16:uniqueId val="{00000003-DD6F-48B6-A715-7AAFC21F41D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Матрица рисков (Вероятность × Влияние)</a:t>
            </a:r>
          </a:p>
        </c:rich>
      </c:tx>
      <c:overlay val="0"/>
    </c:title>
    <c:autoTitleDeleted val="0"/>
    <c:plotArea>
      <c:layout/>
      <c:scatterChart>
        <c:scatterStyle val="lineMarker"/>
        <c:varyColors val="1"/>
        <c:ser>
          <c:idx val="0"/>
          <c:order val="0"/>
          <c:tx>
            <c:v>Риски</c:v>
          </c:tx>
          <c:spPr>
            <a:ln>
              <a:noFill/>
              <a:prstDash val="solid"/>
            </a:ln>
          </c:spPr>
          <c:marker>
            <c:symbol val="circle"/>
            <c:size val="9"/>
            <c:spPr>
              <a:ln>
                <a:prstDash val="solid"/>
              </a:ln>
            </c:spPr>
          </c:marker>
          <c:xVal>
            <c:numRef>
              <c:f>Риски!$C$5:$C$8</c:f>
              <c:numCache>
                <c:formatCode>General</c:formatCode>
                <c:ptCount val="4"/>
                <c:pt idx="0">
                  <c:v>4</c:v>
                </c:pt>
                <c:pt idx="1">
                  <c:v>5</c:v>
                </c:pt>
                <c:pt idx="2">
                  <c:v>3</c:v>
                </c:pt>
                <c:pt idx="3">
                  <c:v>2</c:v>
                </c:pt>
              </c:numCache>
            </c:numRef>
          </c:xVal>
          <c:yVal>
            <c:numRef>
              <c:f>Риски!$D$5:$D$8</c:f>
              <c:numCache>
                <c:formatCode>General</c:formatCode>
                <c:ptCount val="4"/>
                <c:pt idx="0">
                  <c:v>5</c:v>
                </c:pt>
                <c:pt idx="1">
                  <c:v>3</c:v>
                </c:pt>
                <c:pt idx="2">
                  <c:v>4</c:v>
                </c:pt>
                <c:pt idx="3">
                  <c:v>4</c:v>
                </c:pt>
              </c:numCache>
            </c:numRef>
          </c:yVal>
          <c:smooth val="1"/>
          <c:extLst>
            <c:ext xmlns:c16="http://schemas.microsoft.com/office/drawing/2014/chart" uri="{C3380CC4-5D6E-409C-BE32-E72D297353CC}">
              <c16:uniqueId val="{00000000-79C6-4719-8C10-D7BAE1D031AC}"/>
            </c:ext>
          </c:extLst>
        </c:ser>
        <c:dLbls>
          <c:showLegendKey val="0"/>
          <c:showVal val="0"/>
          <c:showCatName val="0"/>
          <c:showSerName val="0"/>
          <c:showPercent val="0"/>
          <c:showBubbleSize val="0"/>
        </c:dLbls>
        <c:axId val="10"/>
        <c:axId val="20"/>
      </c:scatterChart>
      <c:valAx>
        <c:axId val="10"/>
        <c:scaling>
          <c:orientation val="minMax"/>
          <c:max val="5"/>
          <c:min val="0"/>
        </c:scaling>
        <c:delete val="0"/>
        <c:axPos val="b"/>
        <c:majorGridlines/>
        <c:title>
          <c:tx>
            <c:rich>
              <a:bodyPr/>
              <a:lstStyle/>
              <a:p>
                <a:pPr>
                  <a:defRPr/>
                </a:pPr>
                <a:r>
                  <a:rPr lang="ru-RU"/>
                  <a:t>Вероятность</a:t>
                </a:r>
              </a:p>
            </c:rich>
          </c:tx>
          <c:overlay val="1"/>
        </c:title>
        <c:numFmt formatCode="General" sourceLinked="1"/>
        <c:majorTickMark val="none"/>
        <c:minorTickMark val="none"/>
        <c:tickLblPos val="nextTo"/>
        <c:spPr>
          <a:ln>
            <a:solidFill>
              <a:srgbClr val="808080"/>
            </a:solidFill>
            <a:prstDash val="solid"/>
          </a:ln>
        </c:spPr>
        <c:crossAx val="20"/>
        <c:crosses val="autoZero"/>
        <c:crossBetween val="midCat"/>
      </c:valAx>
      <c:valAx>
        <c:axId val="20"/>
        <c:scaling>
          <c:orientation val="minMax"/>
          <c:max val="5"/>
          <c:min val="0"/>
        </c:scaling>
        <c:delete val="0"/>
        <c:axPos val="l"/>
        <c:majorGridlines/>
        <c:title>
          <c:tx>
            <c:rich>
              <a:bodyPr/>
              <a:lstStyle/>
              <a:p>
                <a:pPr>
                  <a:defRPr/>
                </a:pPr>
                <a:r>
                  <a:rPr lang="ru-RU"/>
                  <a:t>Влияние</a:t>
                </a:r>
              </a:p>
            </c:rich>
          </c:tx>
          <c:overlay val="1"/>
        </c:title>
        <c:numFmt formatCode="General" sourceLinked="1"/>
        <c:majorTickMark val="none"/>
        <c:minorTickMark val="none"/>
        <c:tickLblPos val="nextTo"/>
        <c:spPr>
          <a:ln>
            <a:solidFill>
              <a:srgbClr val="808080"/>
            </a:solidFill>
            <a:prstDash val="solid"/>
          </a:ln>
        </c:spPr>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Риски по баллу (Вероятность × Влияние)</a:t>
            </a:r>
          </a:p>
        </c:rich>
      </c:tx>
      <c:overlay val="0"/>
    </c:title>
    <c:autoTitleDeleted val="0"/>
    <c:plotArea>
      <c:layout/>
      <c:barChart>
        <c:barDir val="bar"/>
        <c:grouping val="clustered"/>
        <c:varyColors val="1"/>
        <c:ser>
          <c:idx val="0"/>
          <c:order val="0"/>
          <c:tx>
            <c:strRef>
              <c:f>'Матрица рисков'!$E$4</c:f>
              <c:strCache>
                <c:ptCount val="1"/>
                <c:pt idx="0">
                  <c:v>Балл</c:v>
                </c:pt>
              </c:strCache>
            </c:strRef>
          </c:tx>
          <c:spPr>
            <a:solidFill>
              <a:srgbClr val="C00000"/>
            </a:solidFill>
            <a:ln>
              <a:prstDash val="solid"/>
            </a:ln>
          </c:spPr>
          <c:invertIfNegative val="1"/>
          <c:cat>
            <c:strRef>
              <c:f>'Матрица рисков'!$B$5:$B$8</c:f>
              <c:strCache>
                <c:ptCount val="4"/>
                <c:pt idx="0">
                  <c:v>Зависимость от внешнего API оплаты</c:v>
                </c:pt>
                <c:pt idx="1">
                  <c:v>Отпуска в декабре (Спринт 11)</c:v>
                </c:pt>
                <c:pt idx="2">
                  <c:v>Недооценка интеграции</c:v>
                </c:pt>
                <c:pt idx="3">
                  <c:v>Текучесть в QA</c:v>
                </c:pt>
              </c:strCache>
            </c:strRef>
          </c:cat>
          <c:val>
            <c:numRef>
              <c:f>'Матрица рисков'!$E$5:$E$8</c:f>
              <c:numCache>
                <c:formatCode>General</c:formatCode>
                <c:ptCount val="4"/>
                <c:pt idx="0">
                  <c:v>20</c:v>
                </c:pt>
                <c:pt idx="1">
                  <c:v>15</c:v>
                </c:pt>
                <c:pt idx="2">
                  <c:v>12</c:v>
                </c:pt>
                <c:pt idx="3">
                  <c:v>8</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281-4B9A-AA8D-757C8C1232A5}"/>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Дней по исполнителям</a:t>
            </a:r>
          </a:p>
        </c:rich>
      </c:tx>
      <c:overlay val="0"/>
    </c:title>
    <c:autoTitleDeleted val="0"/>
    <c:plotArea>
      <c:layout/>
      <c:barChart>
        <c:barDir val="bar"/>
        <c:grouping val="clustered"/>
        <c:varyColors val="1"/>
        <c:ser>
          <c:idx val="0"/>
          <c:order val="0"/>
          <c:tx>
            <c:strRef>
              <c:f>Распределение!$C$4</c:f>
              <c:strCache>
                <c:ptCount val="1"/>
                <c:pt idx="0">
                  <c:v>Дней</c:v>
                </c:pt>
              </c:strCache>
            </c:strRef>
          </c:tx>
          <c:spPr>
            <a:solidFill>
              <a:srgbClr val="8EAADB"/>
            </a:solidFill>
            <a:ln>
              <a:prstDash val="solid"/>
            </a:ln>
          </c:spPr>
          <c:invertIfNegative val="1"/>
          <c:cat>
            <c:strRef>
              <c:f>Распределение!$A$5:$A$17</c:f>
              <c:strCache>
                <c:ptCount val="13"/>
                <c:pt idx="0">
                  <c:v>Иванов А.</c:v>
                </c:pt>
                <c:pt idx="1">
                  <c:v>Петрова М.</c:v>
                </c:pt>
                <c:pt idx="2">
                  <c:v>Сидоров К.</c:v>
                </c:pt>
                <c:pt idx="3">
                  <c:v>Кузнецов Д.</c:v>
                </c:pt>
                <c:pt idx="4">
                  <c:v>Орлова Е.</c:v>
                </c:pt>
                <c:pt idx="5">
                  <c:v>Смирнов П.</c:v>
                </c:pt>
                <c:pt idx="6">
                  <c:v>Волкова Н.</c:v>
                </c:pt>
                <c:pt idx="7">
                  <c:v>Морозов И.</c:v>
                </c:pt>
                <c:pt idx="8">
                  <c:v>Новиков А.</c:v>
                </c:pt>
                <c:pt idx="9">
                  <c:v>Фёдорова О.</c:v>
                </c:pt>
                <c:pt idx="10">
                  <c:v>Козлов В.</c:v>
                </c:pt>
                <c:pt idx="11">
                  <c:v>Лебедева Т.</c:v>
                </c:pt>
                <c:pt idx="12">
                  <c:v>Соколов Р.</c:v>
                </c:pt>
              </c:strCache>
            </c:strRef>
          </c:cat>
          <c:val>
            <c:numRef>
              <c:f>Распределение!$C$5:$C$17</c:f>
              <c:numCache>
                <c:formatCode>#\ ##0.0</c:formatCode>
                <c:ptCount val="13"/>
                <c:pt idx="0">
                  <c:v>5</c:v>
                </c:pt>
                <c:pt idx="1">
                  <c:v>0</c:v>
                </c:pt>
                <c:pt idx="2">
                  <c:v>5</c:v>
                </c:pt>
                <c:pt idx="3">
                  <c:v>3</c:v>
                </c:pt>
                <c:pt idx="4">
                  <c:v>3</c:v>
                </c:pt>
                <c:pt idx="5">
                  <c:v>0</c:v>
                </c:pt>
                <c:pt idx="6">
                  <c:v>8</c:v>
                </c:pt>
                <c:pt idx="7">
                  <c:v>0</c:v>
                </c:pt>
                <c:pt idx="8">
                  <c:v>0</c:v>
                </c:pt>
                <c:pt idx="9">
                  <c:v>0</c:v>
                </c:pt>
                <c:pt idx="10">
                  <c:v>0</c:v>
                </c:pt>
                <c:pt idx="11">
                  <c:v>0</c:v>
                </c:pt>
                <c:pt idx="12">
                  <c:v>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B58-44EC-9ED3-554CEF5E5820}"/>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b"/>
        <c:majorGridlines/>
        <c:title>
          <c:tx>
            <c:rich>
              <a:bodyPr/>
              <a:lstStyle/>
              <a:p>
                <a:pPr>
                  <a:defRPr/>
                </a:pPr>
                <a:r>
                  <a:rPr lang="ru-RU"/>
                  <a:t>Дней</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t>Time to Market по задачам (цель 15 дн, линия тренда)</a:t>
            </a:r>
          </a:p>
        </c:rich>
      </c:tx>
      <c:overlay val="0"/>
    </c:title>
    <c:autoTitleDeleted val="0"/>
    <c:plotArea>
      <c:layout/>
      <c:lineChart>
        <c:grouping val="standard"/>
        <c:varyColors val="1"/>
        <c:ser>
          <c:idx val="0"/>
          <c:order val="0"/>
          <c:tx>
            <c:strRef>
              <c:f>'Time to Market'!$F$6</c:f>
              <c:strCache>
                <c:ptCount val="1"/>
                <c:pt idx="0">
                  <c:v>TTM (дн)</c:v>
                </c:pt>
              </c:strCache>
            </c:strRef>
          </c:tx>
          <c:spPr>
            <a:ln w="22000">
              <a:solidFill>
                <a:srgbClr val="4472C4"/>
              </a:solidFill>
              <a:prstDash val="solid"/>
            </a:ln>
          </c:spPr>
          <c:marker>
            <c:symbol val="circle"/>
            <c:size val="7"/>
            <c:spPr>
              <a:ln>
                <a:prstDash val="solid"/>
              </a:ln>
            </c:spPr>
          </c:marker>
          <c:trendline>
            <c:trendlineType val="linear"/>
            <c:dispRSqr val="1"/>
            <c:dispEq val="1"/>
            <c:trendlineLbl>
              <c:numFmt formatCode="General" sourceLinked="0"/>
            </c:trendlineLbl>
          </c:trendline>
          <c:cat>
            <c:strRef>
              <c:f>'Time to Market'!$A$7:$A$26</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'Time to Market'!$F$7:$F$26</c:f>
              <c:numCache>
                <c:formatCode>General</c:formatCode>
                <c:ptCount val="20"/>
                <c:pt idx="0">
                  <c:v>25</c:v>
                </c:pt>
                <c:pt idx="1">
                  <c:v>24</c:v>
                </c:pt>
                <c:pt idx="2">
                  <c:v>25</c:v>
                </c:pt>
                <c:pt idx="3">
                  <c:v>23</c:v>
                </c:pt>
                <c:pt idx="4">
                  <c:v>11</c:v>
                </c:pt>
                <c:pt idx="5">
                  <c:v>10</c:v>
                </c:pt>
                <c:pt idx="6">
                  <c:v>9</c:v>
                </c:pt>
                <c:pt idx="7">
                  <c:v>11</c:v>
                </c:pt>
                <c:pt idx="8">
                  <c:v>#N/A</c:v>
                </c:pt>
                <c:pt idx="9">
                  <c:v>23</c:v>
                </c:pt>
                <c:pt idx="10">
                  <c:v>#N/A</c:v>
                </c:pt>
                <c:pt idx="11">
                  <c:v>#N/A</c:v>
                </c:pt>
                <c:pt idx="12">
                  <c:v>24</c:v>
                </c:pt>
                <c:pt idx="13">
                  <c:v>#N/A</c:v>
                </c:pt>
                <c:pt idx="14">
                  <c:v>#N/A</c:v>
                </c:pt>
                <c:pt idx="15">
                  <c:v>#N/A</c:v>
                </c:pt>
                <c:pt idx="16">
                  <c:v>#N/A</c:v>
                </c:pt>
                <c:pt idx="17">
                  <c:v>#N/A</c:v>
                </c:pt>
                <c:pt idx="18">
                  <c:v>#N/A</c:v>
                </c:pt>
                <c:pt idx="19">
                  <c:v>#N/A</c:v>
                </c:pt>
              </c:numCache>
            </c:numRef>
          </c:val>
          <c:smooth val="1"/>
          <c:extLst>
            <c:ext xmlns:c16="http://schemas.microsoft.com/office/drawing/2014/chart" uri="{C3380CC4-5D6E-409C-BE32-E72D297353CC}">
              <c16:uniqueId val="{00000001-DC07-4A23-B97B-993BC73816D2}"/>
            </c:ext>
          </c:extLst>
        </c:ser>
        <c:ser>
          <c:idx val="1"/>
          <c:order val="1"/>
          <c:tx>
            <c:strRef>
              <c:f>'Time to Market'!$E$6</c:f>
              <c:strCache>
                <c:ptCount val="1"/>
                <c:pt idx="0">
                  <c:v>Цель (дн)</c:v>
                </c:pt>
              </c:strCache>
            </c:strRef>
          </c:tx>
          <c:spPr>
            <a:ln w="24000">
              <a:solidFill>
                <a:srgbClr val="C00000"/>
              </a:solidFill>
              <a:prstDash val="dash"/>
            </a:ln>
          </c:spPr>
          <c:marker>
            <c:symbol val="none"/>
          </c:marker>
          <c:cat>
            <c:strRef>
              <c:f>'Time to Market'!$A$7:$A$26</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'Time to Market'!$E$7:$E$26</c:f>
              <c:numCache>
                <c:formatCode>0</c:formatCode>
                <c:ptCount val="2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numCache>
            </c:numRef>
          </c:val>
          <c:smooth val="1"/>
          <c:extLst>
            <c:ext xmlns:c16="http://schemas.microsoft.com/office/drawing/2014/chart" uri="{C3380CC4-5D6E-409C-BE32-E72D297353CC}">
              <c16:uniqueId val="{00000002-DC07-4A23-B97B-993BC73816D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План </a:t>
            </a:r>
            <a:r>
              <a:rPr lang="en-US"/>
              <a:t>vs </a:t>
            </a:r>
            <a:r>
              <a:rPr lang="ru-RU"/>
              <a:t>Факт (</a:t>
            </a:r>
            <a:r>
              <a:rPr lang="en-US"/>
              <a:t>velocity)</a:t>
            </a:r>
          </a:p>
        </c:rich>
      </c:tx>
      <c:overlay val="0"/>
    </c:title>
    <c:autoTitleDeleted val="0"/>
    <c:plotArea>
      <c:layout/>
      <c:lineChart>
        <c:grouping val="standard"/>
        <c:varyColors val="1"/>
        <c:ser>
          <c:idx val="0"/>
          <c:order val="0"/>
          <c:tx>
            <c:strRef>
              <c:f>'Дорожная карта'!$G$5</c:f>
              <c:strCache>
                <c:ptCount val="1"/>
                <c:pt idx="0">
                  <c:v>План трудо-
ёмкости (дн)</c:v>
                </c:pt>
              </c:strCache>
            </c:strRef>
          </c:tx>
          <c:spPr>
            <a:ln>
              <a:solidFill>
                <a:srgbClr val="8EAADB"/>
              </a:solidFill>
              <a:prstDash val="dash"/>
            </a:ln>
          </c:spPr>
          <c:marker>
            <c:symbol val="none"/>
          </c:marker>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карта'!$G$6:$G$16</c:f>
              <c:numCache>
                <c:formatCode>#\ ##0.0</c:formatCode>
                <c:ptCount val="11"/>
                <c:pt idx="0">
                  <c:v>22</c:v>
                </c:pt>
                <c:pt idx="1">
                  <c:v>24</c:v>
                </c:pt>
                <c:pt idx="2">
                  <c:v>29</c:v>
                </c:pt>
                <c:pt idx="3">
                  <c:v>19</c:v>
                </c:pt>
                <c:pt idx="4">
                  <c:v>13</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0-EA63-4AF2-9018-6F8D99AEF092}"/>
            </c:ext>
          </c:extLst>
        </c:ser>
        <c:ser>
          <c:idx val="1"/>
          <c:order val="1"/>
          <c:tx>
            <c:strRef>
              <c:f>'Дорожная карта'!$I$5</c:f>
              <c:strCache>
                <c:ptCount val="1"/>
                <c:pt idx="0">
                  <c:v>Факт /
Velocity (дн)</c:v>
                </c:pt>
              </c:strCache>
            </c:strRef>
          </c:tx>
          <c:spPr>
            <a:ln w="28000">
              <a:solidFill>
                <a:srgbClr val="C00000"/>
              </a:solidFill>
              <a:prstDash val="solid"/>
            </a:ln>
          </c:spPr>
          <c:marker>
            <c:symbol val="none"/>
          </c:marker>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карта'!$I$6:$I$16</c:f>
              <c:numCache>
                <c:formatCode>#\ ##0.0</c:formatCode>
                <c:ptCount val="11"/>
                <c:pt idx="0">
                  <c:v>17</c:v>
                </c:pt>
                <c:pt idx="1">
                  <c:v>21</c:v>
                </c:pt>
                <c:pt idx="2">
                  <c:v>0</c:v>
                </c:pt>
                <c:pt idx="3">
                  <c:v>0</c:v>
                </c:pt>
                <c:pt idx="4">
                  <c:v>0</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1-EA63-4AF2-9018-6F8D99AEF092}"/>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Трудомощность </a:t>
            </a:r>
            <a:r>
              <a:rPr lang="en-US"/>
              <a:t>vs </a:t>
            </a:r>
            <a:r>
              <a:rPr lang="ru-RU"/>
              <a:t>План (дн)</a:t>
            </a:r>
          </a:p>
        </c:rich>
      </c:tx>
      <c:overlay val="0"/>
    </c:title>
    <c:autoTitleDeleted val="0"/>
    <c:plotArea>
      <c:layout/>
      <c:barChart>
        <c:barDir val="col"/>
        <c:grouping val="clustered"/>
        <c:varyColors val="1"/>
        <c:ser>
          <c:idx val="0"/>
          <c:order val="0"/>
          <c:tx>
            <c:strRef>
              <c:f>'Дорожная карта'!$F$5</c:f>
              <c:strCache>
                <c:ptCount val="1"/>
                <c:pt idx="0">
                  <c:v>Трудомощность
(дн)</c:v>
                </c:pt>
              </c:strCache>
            </c:strRef>
          </c:tx>
          <c:spPr>
            <a:solidFill>
              <a:srgbClr val="8EAADB"/>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карта'!$F$6:$F$16</c:f>
              <c:numCache>
                <c:formatCode>#\ ##0.0</c:formatCode>
                <c:ptCount val="11"/>
                <c:pt idx="0">
                  <c:v>92.800000000000011</c:v>
                </c:pt>
                <c:pt idx="1">
                  <c:v>95.2</c:v>
                </c:pt>
                <c:pt idx="2">
                  <c:v>95.2</c:v>
                </c:pt>
                <c:pt idx="3">
                  <c:v>95.2</c:v>
                </c:pt>
                <c:pt idx="4">
                  <c:v>93.2</c:v>
                </c:pt>
                <c:pt idx="5">
                  <c:v>95.2</c:v>
                </c:pt>
                <c:pt idx="6">
                  <c:v>85.680000000000021</c:v>
                </c:pt>
                <c:pt idx="7">
                  <c:v>91.2</c:v>
                </c:pt>
                <c:pt idx="8">
                  <c:v>95.2</c:v>
                </c:pt>
                <c:pt idx="9">
                  <c:v>95.2</c:v>
                </c:pt>
                <c:pt idx="10">
                  <c:v>85.680000000000021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951-470F-B1C9-9B651E93C46D}"/>
            </c:ext>
          </c:extLst>
        </c:ser>
        <c:ser>
          <c:idx val="1"/>
          <c:order val="1"/>
          <c:tx>
            <c:strRef>
              <c:f>'Дорожная карта'!$G$5</c:f>
              <c:strCache>
                <c:ptCount val="1"/>
                <c:pt idx="0">
                  <c:v>План трудо-
ёмкости (дн)</c:v>
                </c:pt>
              </c:strCache>
            </c:strRef>
          </c:tx>
          <c:spPr>
            <a:solidFill>
              <a:srgbClr val="FFC000"/>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карта'!$G$6:$G$16</c:f>
              <c:numCache>
                <c:formatCode>#\ ##0.0</c:formatCode>
                <c:ptCount val="11"/>
                <c:pt idx="0">
                  <c:v>22</c:v>
                </c:pt>
                <c:pt idx="1">
                  <c:v>24</c:v>
                </c:pt>
                <c:pt idx="2">
                  <c:v>29</c:v>
                </c:pt>
                <c:pt idx="3">
                  <c:v>19</c:v>
                </c:pt>
                <c:pt idx="4">
                  <c:v>13</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951-470F-B1C9-9B651E93C46D}"/>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Трудомощность </a:t>
            </a:r>
            <a:r>
              <a:rPr lang="en-US"/>
              <a:t>vs </a:t>
            </a:r>
            <a:r>
              <a:rPr lang="ru-RU"/>
              <a:t>План (дни)</a:t>
            </a:r>
          </a:p>
        </c:rich>
      </c:tx>
      <c:overlay val="0"/>
    </c:title>
    <c:autoTitleDeleted val="0"/>
    <c:plotArea>
      <c:layout/>
      <c:barChart>
        <c:barDir val="col"/>
        <c:grouping val="clustered"/>
        <c:varyColors val="1"/>
        <c:ser>
          <c:idx val="0"/>
          <c:order val="0"/>
          <c:tx>
            <c:strRef>
              <c:f>'Дорожная карта'!$F$5</c:f>
              <c:strCache>
                <c:ptCount val="1"/>
                <c:pt idx="0">
                  <c:v>Трудомощность
(дн)</c:v>
                </c:pt>
              </c:strCache>
            </c:strRef>
          </c:tx>
          <c:spPr>
            <a:solidFill>
              <a:srgbClr val="8EAADB"/>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карта'!$F$6:$F$16</c:f>
              <c:numCache>
                <c:formatCode>#\ ##0.0</c:formatCode>
                <c:ptCount val="11"/>
                <c:pt idx="0">
                  <c:v>92.800000000000011</c:v>
                </c:pt>
                <c:pt idx="1">
                  <c:v>95.2</c:v>
                </c:pt>
                <c:pt idx="2">
                  <c:v>95.2</c:v>
                </c:pt>
                <c:pt idx="3">
                  <c:v>95.2</c:v>
                </c:pt>
                <c:pt idx="4">
                  <c:v>93.2</c:v>
                </c:pt>
                <c:pt idx="5">
                  <c:v>95.2</c:v>
                </c:pt>
                <c:pt idx="6">
                  <c:v>85.680000000000021</c:v>
                </c:pt>
                <c:pt idx="7">
                  <c:v>91.2</c:v>
                </c:pt>
                <c:pt idx="8">
                  <c:v>95.2</c:v>
                </c:pt>
                <c:pt idx="9">
                  <c:v>95.2</c:v>
                </c:pt>
                <c:pt idx="10">
                  <c:v>85.680000000000021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D85-40A2-9CBA-D9E6CC58E480}"/>
            </c:ext>
          </c:extLst>
        </c:ser>
        <c:ser>
          <c:idx val="1"/>
          <c:order val="1"/>
          <c:tx>
            <c:strRef>
              <c:f>'Дорожная карта'!$G$5</c:f>
              <c:strCache>
                <c:ptCount val="1"/>
                <c:pt idx="0">
                  <c:v>План трудо-
ёмкости (дн)</c:v>
                </c:pt>
              </c:strCache>
            </c:strRef>
          </c:tx>
          <c:spPr>
            <a:solidFill>
              <a:srgbClr val="FFC000"/>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карта'!$G$6:$G$16</c:f>
              <c:numCache>
                <c:formatCode>#\ ##0.0</c:formatCode>
                <c:ptCount val="11"/>
                <c:pt idx="0">
                  <c:v>22</c:v>
                </c:pt>
                <c:pt idx="1">
                  <c:v>24</c:v>
                </c:pt>
                <c:pt idx="2">
                  <c:v>29</c:v>
                </c:pt>
                <c:pt idx="3">
                  <c:v>19</c:v>
                </c:pt>
                <c:pt idx="4">
                  <c:v>13</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D85-40A2-9CBA-D9E6CC58E480}"/>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План </a:t>
            </a:r>
            <a:r>
              <a:rPr lang="en-US"/>
              <a:t>vs </a:t>
            </a:r>
            <a:r>
              <a:rPr lang="ru-RU"/>
              <a:t>Факт (</a:t>
            </a:r>
            <a:r>
              <a:rPr lang="en-US"/>
              <a:t>velocity) </a:t>
            </a:r>
            <a:r>
              <a:rPr lang="ru-RU"/>
              <a:t>по спринтам</a:t>
            </a:r>
          </a:p>
        </c:rich>
      </c:tx>
      <c:overlay val="0"/>
    </c:title>
    <c:autoTitleDeleted val="0"/>
    <c:plotArea>
      <c:layout/>
      <c:lineChart>
        <c:grouping val="standard"/>
        <c:varyColors val="1"/>
        <c:ser>
          <c:idx val="0"/>
          <c:order val="0"/>
          <c:tx>
            <c:strRef>
              <c:f>'Дорожная карта'!$G$5</c:f>
              <c:strCache>
                <c:ptCount val="1"/>
                <c:pt idx="0">
                  <c:v>План трудо-
ёмкости (дн)</c:v>
                </c:pt>
              </c:strCache>
            </c:strRef>
          </c:tx>
          <c:spPr>
            <a:ln>
              <a:solidFill>
                <a:srgbClr val="8EAADB"/>
              </a:solidFill>
              <a:prstDash val="dash"/>
            </a:ln>
          </c:spPr>
          <c:marker>
            <c:symbol val="none"/>
          </c:marker>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карта'!$G$6:$G$16</c:f>
              <c:numCache>
                <c:formatCode>#\ ##0.0</c:formatCode>
                <c:ptCount val="11"/>
                <c:pt idx="0">
                  <c:v>22</c:v>
                </c:pt>
                <c:pt idx="1">
                  <c:v>24</c:v>
                </c:pt>
                <c:pt idx="2">
                  <c:v>29</c:v>
                </c:pt>
                <c:pt idx="3">
                  <c:v>19</c:v>
                </c:pt>
                <c:pt idx="4">
                  <c:v>13</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0-9FB8-409B-8AFA-7887CF6BB64E}"/>
            </c:ext>
          </c:extLst>
        </c:ser>
        <c:ser>
          <c:idx val="1"/>
          <c:order val="1"/>
          <c:tx>
            <c:strRef>
              <c:f>'Дорожная карта'!$I$5</c:f>
              <c:strCache>
                <c:ptCount val="1"/>
                <c:pt idx="0">
                  <c:v>Факт /
Velocity (дн)</c:v>
                </c:pt>
              </c:strCache>
            </c:strRef>
          </c:tx>
          <c:spPr>
            <a:ln w="28000">
              <a:solidFill>
                <a:srgbClr val="C00000"/>
              </a:solidFill>
              <a:prstDash val="solid"/>
            </a:ln>
          </c:spPr>
          <c:marker>
            <c:symbol val="none"/>
          </c:marker>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карта'!$I$6:$I$16</c:f>
              <c:numCache>
                <c:formatCode>#\ ##0.0</c:formatCode>
                <c:ptCount val="11"/>
                <c:pt idx="0">
                  <c:v>17</c:v>
                </c:pt>
                <c:pt idx="1">
                  <c:v>21</c:v>
                </c:pt>
                <c:pt idx="2">
                  <c:v>0</c:v>
                </c:pt>
                <c:pt idx="3">
                  <c:v>0</c:v>
                </c:pt>
                <c:pt idx="4">
                  <c:v>0</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1-9FB8-409B-8AFA-7887CF6BB64E}"/>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 выполнения по спринтам (цвет по порогам, цель 100%)</a:t>
            </a:r>
          </a:p>
        </c:rich>
      </c:tx>
      <c:overlay val="0"/>
    </c:title>
    <c:autoTitleDeleted val="0"/>
    <c:plotArea>
      <c:layout/>
      <c:barChart>
        <c:barDir val="col"/>
        <c:grouping val="clustered"/>
        <c:varyColors val="1"/>
        <c:ser>
          <c:idx val="0"/>
          <c:order val="0"/>
          <c:tx>
            <c:strRef>
              <c:f>'Дорожная карта'!$AB$5</c:f>
              <c:strCache>
                <c:ptCount val="1"/>
                <c:pt idx="0">
                  <c:v>≥90%</c:v>
                </c:pt>
              </c:strCache>
            </c:strRef>
          </c:tx>
          <c:spPr>
            <a:solidFill>
              <a:srgbClr val="70AD47"/>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карта'!$AB$6:$AB$16</c:f>
              <c:numCache>
                <c:formatCode>0%</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286-4151-B5DF-15BA39209B89}"/>
            </c:ext>
          </c:extLst>
        </c:ser>
        <c:ser>
          <c:idx val="1"/>
          <c:order val="1"/>
          <c:tx>
            <c:strRef>
              <c:f>'Дорожная карта'!$AC$5</c:f>
              <c:strCache>
                <c:ptCount val="1"/>
                <c:pt idx="0">
                  <c:v>70–90%</c:v>
                </c:pt>
              </c:strCache>
            </c:strRef>
          </c:tx>
          <c:spPr>
            <a:solidFill>
              <a:srgbClr val="FFC000"/>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карта'!$AC$6:$AC$16</c:f>
              <c:numCache>
                <c:formatCode>0%</c:formatCode>
                <c:ptCount val="11"/>
                <c:pt idx="0">
                  <c:v>0.77272727272727271</c:v>
                </c:pt>
                <c:pt idx="1">
                  <c:v>0.875</c:v>
                </c:pt>
                <c:pt idx="2">
                  <c:v>#N/A</c:v>
                </c:pt>
                <c:pt idx="3">
                  <c:v>#N/A</c:v>
                </c:pt>
                <c:pt idx="4">
                  <c:v>#N/A</c:v>
                </c:pt>
                <c:pt idx="5">
                  <c:v>#N/A</c:v>
                </c:pt>
                <c:pt idx="6">
                  <c:v>#N/A</c:v>
                </c:pt>
                <c:pt idx="7">
                  <c:v>#N/A</c:v>
                </c:pt>
                <c:pt idx="8">
                  <c:v>#N/A</c:v>
                </c:pt>
                <c:pt idx="9">
                  <c:v>#N/A</c:v>
                </c:pt>
                <c:pt idx="10">
                  <c:v>#N/A</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286-4151-B5DF-15BA39209B89}"/>
            </c:ext>
          </c:extLst>
        </c:ser>
        <c:ser>
          <c:idx val="2"/>
          <c:order val="2"/>
          <c:tx>
            <c:strRef>
              <c:f>'Дорожная карта'!$AD$5</c:f>
              <c:strCache>
                <c:ptCount val="1"/>
                <c:pt idx="0">
                  <c:v>&lt;70%</c:v>
                </c:pt>
              </c:strCache>
            </c:strRef>
          </c:tx>
          <c:spPr>
            <a:solidFill>
              <a:srgbClr val="C00000"/>
            </a:solidFill>
            <a:ln>
              <a:prstDash val="solid"/>
            </a:ln>
          </c:spPr>
          <c:invertIfNegative val="1"/>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карта'!$AD$6:$AD$16</c:f>
              <c:numCache>
                <c:formatCode>0%</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286-4151-B5DF-15BA39209B89}"/>
            </c:ext>
          </c:extLst>
        </c:ser>
        <c:dLbls>
          <c:showLegendKey val="0"/>
          <c:showVal val="0"/>
          <c:showCatName val="0"/>
          <c:showSerName val="0"/>
          <c:showPercent val="0"/>
          <c:showBubbleSize val="0"/>
        </c:dLbls>
        <c:gapWidth val="60"/>
        <c:overlap val="100"/>
        <c:axId val="10"/>
        <c:axId val="100"/>
      </c:barChart>
      <c:lineChart>
        <c:grouping val="standard"/>
        <c:varyColors val="1"/>
        <c:ser>
          <c:idx val="3"/>
          <c:order val="3"/>
          <c:tx>
            <c:strRef>
              <c:f>'Дорожная карта'!$AE$5</c:f>
              <c:strCache>
                <c:ptCount val="1"/>
                <c:pt idx="0">
                  <c:v>Цель 100%</c:v>
                </c:pt>
              </c:strCache>
            </c:strRef>
          </c:tx>
          <c:spPr>
            <a:ln w="38100">
              <a:solidFill>
                <a:srgbClr val="404040"/>
              </a:solidFill>
              <a:prstDash val="dash"/>
            </a:ln>
          </c:spPr>
          <c:marker>
            <c:symbol val="none"/>
          </c:marker>
          <c:cat>
            <c:strRef>
              <c:f>'Дорожная карта'!$B$6:$B$16</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'Дорожная карта'!$AE$6:$AE$16</c:f>
              <c:numCache>
                <c:formatCode>0%</c:formatCode>
                <c:ptCount val="11"/>
                <c:pt idx="0">
                  <c:v>1</c:v>
                </c:pt>
                <c:pt idx="1">
                  <c:v>1</c:v>
                </c:pt>
                <c:pt idx="2">
                  <c:v>1</c:v>
                </c:pt>
                <c:pt idx="3">
                  <c:v>1</c:v>
                </c:pt>
                <c:pt idx="4">
                  <c:v>1</c:v>
                </c:pt>
                <c:pt idx="5">
                  <c:v>1</c:v>
                </c:pt>
                <c:pt idx="6">
                  <c:v>1</c:v>
                </c:pt>
                <c:pt idx="7">
                  <c:v>1</c:v>
                </c:pt>
                <c:pt idx="8">
                  <c:v>1</c:v>
                </c:pt>
                <c:pt idx="9">
                  <c:v>1</c:v>
                </c:pt>
                <c:pt idx="10">
                  <c:v>1</c:v>
                </c:pt>
              </c:numCache>
            </c:numRef>
          </c:val>
          <c:smooth val="1"/>
          <c:extLst>
            <c:ext xmlns:c16="http://schemas.microsoft.com/office/drawing/2014/chart" uri="{C3380CC4-5D6E-409C-BE32-E72D297353CC}">
              <c16:uniqueId val="{00000003-5286-4151-B5DF-15BA39209B8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max val="1.1000000000000001"/>
          <c:min val="0"/>
        </c:scaling>
        <c:delete val="0"/>
        <c:axPos val="l"/>
        <c:majorGridlines/>
        <c:title>
          <c:tx>
            <c:rich>
              <a:bodyPr/>
              <a:lstStyle/>
              <a:p>
                <a:pPr>
                  <a:defRPr/>
                </a:pPr>
                <a:r>
                  <a:rPr lang="ru-RU"/>
                  <a:t>% выполнения</a:t>
                </a:r>
              </a:p>
            </c:rich>
          </c:tx>
          <c:overlay val="1"/>
        </c:title>
        <c:numFmt formatCode="0%" sourceLinked="0"/>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0"/>
    <c:dispBlanksAs val="gap"/>
    <c:showDLblsOverMax val="1"/>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Ёмкость / План / Факт по кварталам</a:t>
            </a:r>
          </a:p>
        </c:rich>
      </c:tx>
      <c:overlay val="0"/>
    </c:title>
    <c:autoTitleDeleted val="0"/>
    <c:plotArea>
      <c:layout/>
      <c:barChart>
        <c:barDir val="col"/>
        <c:grouping val="clustered"/>
        <c:varyColors val="1"/>
        <c:ser>
          <c:idx val="0"/>
          <c:order val="0"/>
          <c:tx>
            <c:strRef>
              <c:f>Кварталы!$C$4</c:f>
              <c:strCache>
                <c:ptCount val="1"/>
                <c:pt idx="0">
                  <c:v>Трудомощность
(дн)</c:v>
                </c:pt>
              </c:strCache>
            </c:strRef>
          </c:tx>
          <c:spPr>
            <a:solidFill>
              <a:srgbClr val="8EAADB"/>
            </a:solidFill>
            <a:ln>
              <a:prstDash val="solid"/>
            </a:ln>
          </c:spPr>
          <c:invertIfNegative val="1"/>
          <c:cat>
            <c:strRef>
              <c:f>Кварталы!$A$5:$A$7</c:f>
              <c:strCache>
                <c:ptCount val="3"/>
                <c:pt idx="0">
                  <c:v>Q3 2026</c:v>
                </c:pt>
                <c:pt idx="1">
                  <c:v>Q4 2026</c:v>
                </c:pt>
                <c:pt idx="2">
                  <c:v>Q1 2027</c:v>
                </c:pt>
              </c:strCache>
            </c:strRef>
          </c:cat>
          <c:val>
            <c:numRef>
              <c:f>Кварталы!$C$5:$C$7</c:f>
              <c:numCache>
                <c:formatCode>#\ ##0.0</c:formatCode>
                <c:ptCount val="3"/>
                <c:pt idx="0">
                  <c:v>471.59999999999997</c:v>
                </c:pt>
                <c:pt idx="1">
                  <c:v>548.16000000000008</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9E1-422F-8312-908FF35D7482}"/>
            </c:ext>
          </c:extLst>
        </c:ser>
        <c:ser>
          <c:idx val="1"/>
          <c:order val="1"/>
          <c:tx>
            <c:strRef>
              <c:f>Кварталы!$D$4</c:f>
              <c:strCache>
                <c:ptCount val="1"/>
                <c:pt idx="0">
                  <c:v>План
(дн)</c:v>
                </c:pt>
              </c:strCache>
            </c:strRef>
          </c:tx>
          <c:spPr>
            <a:solidFill>
              <a:srgbClr val="FFC000"/>
            </a:solidFill>
            <a:ln>
              <a:prstDash val="solid"/>
            </a:ln>
          </c:spPr>
          <c:invertIfNegative val="1"/>
          <c:cat>
            <c:strRef>
              <c:f>Кварталы!$A$5:$A$7</c:f>
              <c:strCache>
                <c:ptCount val="3"/>
                <c:pt idx="0">
                  <c:v>Q3 2026</c:v>
                </c:pt>
                <c:pt idx="1">
                  <c:v>Q4 2026</c:v>
                </c:pt>
                <c:pt idx="2">
                  <c:v>Q1 2027</c:v>
                </c:pt>
              </c:strCache>
            </c:strRef>
          </c:cat>
          <c:val>
            <c:numRef>
              <c:f>Кварталы!$D$5:$D$7</c:f>
              <c:numCache>
                <c:formatCode>#\ ##0.0</c:formatCode>
                <c:ptCount val="3"/>
                <c:pt idx="0">
                  <c:v>107</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9E1-422F-8312-908FF35D7482}"/>
            </c:ext>
          </c:extLst>
        </c:ser>
        <c:ser>
          <c:idx val="2"/>
          <c:order val="2"/>
          <c:tx>
            <c:strRef>
              <c:f>Кварталы!$E$4</c:f>
              <c:strCache>
                <c:ptCount val="1"/>
                <c:pt idx="0">
                  <c:v>Velocity
(дн)</c:v>
                </c:pt>
              </c:strCache>
            </c:strRef>
          </c:tx>
          <c:spPr>
            <a:solidFill>
              <a:srgbClr val="C00000"/>
            </a:solidFill>
            <a:ln>
              <a:prstDash val="solid"/>
            </a:ln>
          </c:spPr>
          <c:invertIfNegative val="1"/>
          <c:cat>
            <c:strRef>
              <c:f>Кварталы!$A$5:$A$7</c:f>
              <c:strCache>
                <c:ptCount val="3"/>
                <c:pt idx="0">
                  <c:v>Q3 2026</c:v>
                </c:pt>
                <c:pt idx="1">
                  <c:v>Q4 2026</c:v>
                </c:pt>
                <c:pt idx="2">
                  <c:v>Q1 2027</c:v>
                </c:pt>
              </c:strCache>
            </c:strRef>
          </c:cat>
          <c:val>
            <c:numRef>
              <c:f>Кварталы!$E$5:$E$7</c:f>
              <c:numCache>
                <c:formatCode>#\ ##0.0</c:formatCode>
                <c:ptCount val="3"/>
                <c:pt idx="0">
                  <c:v>38</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9E1-422F-8312-908FF35D7482}"/>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 ##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 выполнения по кварталам</a:t>
            </a:r>
          </a:p>
        </c:rich>
      </c:tx>
      <c:overlay val="0"/>
    </c:title>
    <c:autoTitleDeleted val="0"/>
    <c:plotArea>
      <c:layout/>
      <c:barChart>
        <c:barDir val="col"/>
        <c:grouping val="clustered"/>
        <c:varyColors val="1"/>
        <c:ser>
          <c:idx val="0"/>
          <c:order val="0"/>
          <c:tx>
            <c:strRef>
              <c:f>Кварталы!$G$4</c:f>
              <c:strCache>
                <c:ptCount val="1"/>
                <c:pt idx="0">
                  <c:v>% выпол-
нения</c:v>
                </c:pt>
              </c:strCache>
            </c:strRef>
          </c:tx>
          <c:spPr>
            <a:solidFill>
              <a:srgbClr val="70AD47"/>
            </a:solidFill>
            <a:ln>
              <a:prstDash val="solid"/>
            </a:ln>
          </c:spPr>
          <c:invertIfNegative val="1"/>
          <c:cat>
            <c:strRef>
              <c:f>Кварталы!$A$5:$A$7</c:f>
              <c:strCache>
                <c:ptCount val="3"/>
                <c:pt idx="0">
                  <c:v>Q3 2026</c:v>
                </c:pt>
                <c:pt idx="1">
                  <c:v>Q4 2026</c:v>
                </c:pt>
                <c:pt idx="2">
                  <c:v>Q1 2027</c:v>
                </c:pt>
              </c:strCache>
            </c:strRef>
          </c:cat>
          <c:val>
            <c:numRef>
              <c:f>Кварталы!$G$5:$G$7</c:f>
              <c:numCache>
                <c:formatCode>0%</c:formatCode>
                <c:ptCount val="3"/>
                <c:pt idx="0">
                  <c:v>0.35514018691588783</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895-4891-900C-6C377206B1ED}"/>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RICE score </a:t>
            </a:r>
            <a:r>
              <a:rPr lang="ru-RU"/>
              <a:t>по фичам</a:t>
            </a:r>
          </a:p>
        </c:rich>
      </c:tx>
      <c:overlay val="1"/>
    </c:title>
    <c:autoTitleDeleted val="0"/>
    <c:plotArea>
      <c:layout/>
      <c:barChart>
        <c:barDir val="bar"/>
        <c:grouping val="clustered"/>
        <c:varyColors val="1"/>
        <c:ser>
          <c:idx val="0"/>
          <c:order val="0"/>
          <c:tx>
            <c:strRef>
              <c:f>RICE!$G$4</c:f>
              <c:strCache>
                <c:ptCount val="1"/>
                <c:pt idx="0">
                  <c:v>RICE
score</c:v>
                </c:pt>
              </c:strCache>
            </c:strRef>
          </c:tx>
          <c:spPr>
            <a:ln>
              <a:prstDash val="solid"/>
            </a:ln>
          </c:spPr>
          <c:invertIfNegative val="1"/>
          <c:cat>
            <c:strRef>
              <c:f>RICE!$B$5:$B$14</c:f>
              <c:strCache>
                <c:ptCount val="10"/>
                <c:pt idx="0">
                  <c:v>MVP оформления заказа</c:v>
                </c:pt>
                <c:pt idx="1">
                  <c:v>Оплата картой</c:v>
                </c:pt>
                <c:pt idx="2">
                  <c:v>Промокоды и скидки</c:v>
                </c:pt>
                <c:pt idx="3">
                  <c:v>Уведомления (e-mail/push)</c:v>
                </c:pt>
                <c:pt idx="4">
                  <c:v>История заказов</c:v>
                </c:pt>
                <c:pt idx="5">
                  <c:v>Мобильная вёрстка</c:v>
                </c:pt>
                <c:pt idx="6">
                  <c:v>Личный кабинет</c:v>
                </c:pt>
                <c:pt idx="7">
                  <c:v>Рекомендации товаров</c:v>
                </c:pt>
                <c:pt idx="8">
                  <c:v>Экспорт отчётов</c:v>
                </c:pt>
                <c:pt idx="9">
                  <c:v>Мультиязычность</c:v>
                </c:pt>
              </c:strCache>
            </c:strRef>
          </c:cat>
          <c:val>
            <c:numRef>
              <c:f>RICE!$G$5:$G$14</c:f>
              <c:numCache>
                <c:formatCode>#\ ##0.0</c:formatCode>
                <c:ptCount val="10"/>
                <c:pt idx="0">
                  <c:v>375</c:v>
                </c:pt>
                <c:pt idx="1">
                  <c:v>480</c:v>
                </c:pt>
                <c:pt idx="2">
                  <c:v>200</c:v>
                </c:pt>
                <c:pt idx="3">
                  <c:v>213.33333333333334</c:v>
                </c:pt>
                <c:pt idx="4">
                  <c:v>175</c:v>
                </c:pt>
                <c:pt idx="5">
                  <c:v>360</c:v>
                </c:pt>
                <c:pt idx="6">
                  <c:v>83.333333333333329</c:v>
                </c:pt>
                <c:pt idx="7">
                  <c:v>90.909090909090907</c:v>
                </c:pt>
                <c:pt idx="8">
                  <c:v>40</c:v>
                </c:pt>
                <c:pt idx="9">
                  <c:v>25</c:v>
                </c:pt>
              </c:numCache>
            </c:numRef>
          </c:val>
          <c:extLst>
            <c:ext xmlns:c16="http://schemas.microsoft.com/office/drawing/2014/chart" uri="{C3380CC4-5D6E-409C-BE32-E72D297353CC}">
              <c16:uniqueId val="{00000000-6A67-48B1-ADC1-46CCC1E30D86}"/>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 ##0.0"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Roadmap </a:t>
            </a:r>
            <a:r>
              <a:rPr lang="ru-RU"/>
              <a:t>спринтов по кварталам</a:t>
            </a:r>
          </a:p>
        </c:rich>
      </c:tx>
      <c:overlay val="0"/>
    </c:title>
    <c:autoTitleDeleted val="0"/>
    <c:plotArea>
      <c:layout/>
      <c:barChart>
        <c:barDir val="bar"/>
        <c:grouping val="stacked"/>
        <c:varyColors val="1"/>
        <c:ser>
          <c:idx val="0"/>
          <c:order val="0"/>
          <c:tx>
            <c:strRef>
              <c:f>'Квартальный roadmap'!$C$4</c:f>
              <c:strCache>
                <c:ptCount val="1"/>
                <c:pt idx="0">
                  <c:v>Начало</c:v>
                </c:pt>
              </c:strCache>
            </c:strRef>
          </c:tx>
          <c:spPr>
            <a:noFill/>
            <a:ln>
              <a:noFill/>
              <a:prstDash val="solid"/>
            </a:ln>
          </c:spPr>
          <c:invertIfNegative val="1"/>
          <c:cat>
            <c:strRef>
              <c:f>'Квартальный roadmap'!$A$5:$A$15</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'Квартальный roadmap'!$C$5:$C$15</c:f>
              <c:numCache>
                <c:formatCode>dd\.mm\.yy</c:formatCode>
                <c:ptCount val="11"/>
                <c:pt idx="0">
                  <c:v>46237</c:v>
                </c:pt>
                <c:pt idx="1">
                  <c:v>46251</c:v>
                </c:pt>
                <c:pt idx="2">
                  <c:v>46265</c:v>
                </c:pt>
                <c:pt idx="3">
                  <c:v>46279</c:v>
                </c:pt>
                <c:pt idx="4">
                  <c:v>46293</c:v>
                </c:pt>
                <c:pt idx="5">
                  <c:v>46307</c:v>
                </c:pt>
                <c:pt idx="6">
                  <c:v>46321</c:v>
                </c:pt>
                <c:pt idx="7">
                  <c:v>46335</c:v>
                </c:pt>
                <c:pt idx="8">
                  <c:v>46349</c:v>
                </c:pt>
                <c:pt idx="9">
                  <c:v>46363</c:v>
                </c:pt>
                <c:pt idx="10">
                  <c:v>46377</c:v>
                </c:pt>
              </c:numCache>
            </c:numRef>
          </c:val>
          <c:extLst>
            <c:ext xmlns:c16="http://schemas.microsoft.com/office/drawing/2014/chart" uri="{C3380CC4-5D6E-409C-BE32-E72D297353CC}">
              <c16:uniqueId val="{00000000-8C4C-4E0C-B913-395D2F429D8F}"/>
            </c:ext>
          </c:extLst>
        </c:ser>
        <c:ser>
          <c:idx val="1"/>
          <c:order val="1"/>
          <c:tx>
            <c:strRef>
              <c:f>'Квартальный roadmap'!$E$4</c:f>
              <c:strCache>
                <c:ptCount val="1"/>
                <c:pt idx="0">
                  <c:v>Длит. (дн)</c:v>
                </c:pt>
              </c:strCache>
            </c:strRef>
          </c:tx>
          <c:spPr>
            <a:solidFill>
              <a:srgbClr val="4472C4"/>
            </a:solidFill>
            <a:ln>
              <a:prstDash val="solid"/>
            </a:ln>
          </c:spPr>
          <c:invertIfNegative val="1"/>
          <c:dPt>
            <c:idx val="0"/>
            <c:invertIfNegative val="1"/>
            <c:bubble3D val="0"/>
            <c:spPr>
              <a:ln>
                <a:prstDash val="solid"/>
              </a:ln>
            </c:spPr>
            <c:extLst>
              <c:ext xmlns:c16="http://schemas.microsoft.com/office/drawing/2014/chart" uri="{C3380CC4-5D6E-409C-BE32-E72D297353CC}">
                <c16:uniqueId val="{00000002-8C4C-4E0C-B913-395D2F429D8F}"/>
              </c:ext>
            </c:extLst>
          </c:dPt>
          <c:dPt>
            <c:idx val="1"/>
            <c:invertIfNegative val="1"/>
            <c:bubble3D val="0"/>
            <c:spPr>
              <a:ln>
                <a:prstDash val="solid"/>
              </a:ln>
            </c:spPr>
            <c:extLst>
              <c:ext xmlns:c16="http://schemas.microsoft.com/office/drawing/2014/chart" uri="{C3380CC4-5D6E-409C-BE32-E72D297353CC}">
                <c16:uniqueId val="{00000004-8C4C-4E0C-B913-395D2F429D8F}"/>
              </c:ext>
            </c:extLst>
          </c:dPt>
          <c:dPt>
            <c:idx val="2"/>
            <c:invertIfNegative val="1"/>
            <c:bubble3D val="0"/>
            <c:spPr>
              <a:ln>
                <a:prstDash val="solid"/>
              </a:ln>
            </c:spPr>
            <c:extLst>
              <c:ext xmlns:c16="http://schemas.microsoft.com/office/drawing/2014/chart" uri="{C3380CC4-5D6E-409C-BE32-E72D297353CC}">
                <c16:uniqueId val="{00000006-8C4C-4E0C-B913-395D2F429D8F}"/>
              </c:ext>
            </c:extLst>
          </c:dPt>
          <c:dPt>
            <c:idx val="3"/>
            <c:invertIfNegative val="1"/>
            <c:bubble3D val="0"/>
            <c:spPr>
              <a:ln>
                <a:prstDash val="solid"/>
              </a:ln>
            </c:spPr>
            <c:extLst>
              <c:ext xmlns:c16="http://schemas.microsoft.com/office/drawing/2014/chart" uri="{C3380CC4-5D6E-409C-BE32-E72D297353CC}">
                <c16:uniqueId val="{00000008-8C4C-4E0C-B913-395D2F429D8F}"/>
              </c:ext>
            </c:extLst>
          </c:dPt>
          <c:dPt>
            <c:idx val="4"/>
            <c:invertIfNegative val="1"/>
            <c:bubble3D val="0"/>
            <c:spPr>
              <a:ln>
                <a:prstDash val="solid"/>
              </a:ln>
            </c:spPr>
            <c:extLst>
              <c:ext xmlns:c16="http://schemas.microsoft.com/office/drawing/2014/chart" uri="{C3380CC4-5D6E-409C-BE32-E72D297353CC}">
                <c16:uniqueId val="{0000000A-8C4C-4E0C-B913-395D2F429D8F}"/>
              </c:ext>
            </c:extLst>
          </c:dPt>
          <c:dPt>
            <c:idx val="5"/>
            <c:invertIfNegative val="1"/>
            <c:bubble3D val="0"/>
            <c:spPr>
              <a:solidFill>
                <a:srgbClr val="ED7D31"/>
              </a:solidFill>
              <a:ln>
                <a:prstDash val="solid"/>
              </a:ln>
            </c:spPr>
            <c:extLst>
              <c:ext xmlns:c16="http://schemas.microsoft.com/office/drawing/2014/chart" uri="{C3380CC4-5D6E-409C-BE32-E72D297353CC}">
                <c16:uniqueId val="{0000000C-8C4C-4E0C-B913-395D2F429D8F}"/>
              </c:ext>
            </c:extLst>
          </c:dPt>
          <c:dPt>
            <c:idx val="6"/>
            <c:invertIfNegative val="1"/>
            <c:bubble3D val="0"/>
            <c:spPr>
              <a:solidFill>
                <a:srgbClr val="ED7D31"/>
              </a:solidFill>
              <a:ln>
                <a:prstDash val="solid"/>
              </a:ln>
            </c:spPr>
            <c:extLst>
              <c:ext xmlns:c16="http://schemas.microsoft.com/office/drawing/2014/chart" uri="{C3380CC4-5D6E-409C-BE32-E72D297353CC}">
                <c16:uniqueId val="{0000000E-8C4C-4E0C-B913-395D2F429D8F}"/>
              </c:ext>
            </c:extLst>
          </c:dPt>
          <c:dPt>
            <c:idx val="7"/>
            <c:invertIfNegative val="1"/>
            <c:bubble3D val="0"/>
            <c:spPr>
              <a:solidFill>
                <a:srgbClr val="ED7D31"/>
              </a:solidFill>
              <a:ln>
                <a:prstDash val="solid"/>
              </a:ln>
            </c:spPr>
            <c:extLst>
              <c:ext xmlns:c16="http://schemas.microsoft.com/office/drawing/2014/chart" uri="{C3380CC4-5D6E-409C-BE32-E72D297353CC}">
                <c16:uniqueId val="{00000010-8C4C-4E0C-B913-395D2F429D8F}"/>
              </c:ext>
            </c:extLst>
          </c:dPt>
          <c:dPt>
            <c:idx val="8"/>
            <c:invertIfNegative val="1"/>
            <c:bubble3D val="0"/>
            <c:spPr>
              <a:solidFill>
                <a:srgbClr val="ED7D31"/>
              </a:solidFill>
              <a:ln>
                <a:prstDash val="solid"/>
              </a:ln>
            </c:spPr>
            <c:extLst>
              <c:ext xmlns:c16="http://schemas.microsoft.com/office/drawing/2014/chart" uri="{C3380CC4-5D6E-409C-BE32-E72D297353CC}">
                <c16:uniqueId val="{00000012-8C4C-4E0C-B913-395D2F429D8F}"/>
              </c:ext>
            </c:extLst>
          </c:dPt>
          <c:dPt>
            <c:idx val="9"/>
            <c:invertIfNegative val="1"/>
            <c:bubble3D val="0"/>
            <c:spPr>
              <a:solidFill>
                <a:srgbClr val="ED7D31"/>
              </a:solidFill>
              <a:ln>
                <a:prstDash val="solid"/>
              </a:ln>
            </c:spPr>
            <c:extLst>
              <c:ext xmlns:c16="http://schemas.microsoft.com/office/drawing/2014/chart" uri="{C3380CC4-5D6E-409C-BE32-E72D297353CC}">
                <c16:uniqueId val="{00000014-8C4C-4E0C-B913-395D2F429D8F}"/>
              </c:ext>
            </c:extLst>
          </c:dPt>
          <c:dPt>
            <c:idx val="10"/>
            <c:invertIfNegative val="1"/>
            <c:bubble3D val="0"/>
            <c:spPr>
              <a:solidFill>
                <a:srgbClr val="ED7D31"/>
              </a:solidFill>
              <a:ln>
                <a:prstDash val="solid"/>
              </a:ln>
            </c:spPr>
            <c:extLst>
              <c:ext xmlns:c16="http://schemas.microsoft.com/office/drawing/2014/chart" uri="{C3380CC4-5D6E-409C-BE32-E72D297353CC}">
                <c16:uniqueId val="{00000016-8C4C-4E0C-B913-395D2F429D8F}"/>
              </c:ext>
            </c:extLst>
          </c:dPt>
          <c:cat>
            <c:strRef>
              <c:f>'Квартальный roadmap'!$A$5:$A$15</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'Квартальный roadmap'!$E$5:$E$15</c:f>
              <c:numCache>
                <c:formatCode>0</c:formatCode>
                <c:ptCount val="11"/>
                <c:pt idx="0">
                  <c:v>11</c:v>
                </c:pt>
                <c:pt idx="1">
                  <c:v>11</c:v>
                </c:pt>
                <c:pt idx="2">
                  <c:v>11</c:v>
                </c:pt>
                <c:pt idx="3">
                  <c:v>11</c:v>
                </c:pt>
                <c:pt idx="4">
                  <c:v>11</c:v>
                </c:pt>
                <c:pt idx="5">
                  <c:v>11</c:v>
                </c:pt>
                <c:pt idx="6">
                  <c:v>11</c:v>
                </c:pt>
                <c:pt idx="7">
                  <c:v>11</c:v>
                </c:pt>
                <c:pt idx="8">
                  <c:v>11</c:v>
                </c:pt>
                <c:pt idx="9">
                  <c:v>11</c:v>
                </c:pt>
                <c:pt idx="10">
                  <c:v>11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8C4C-4E0C-B913-395D2F429D8F}"/>
            </c:ext>
          </c:extLst>
        </c:ser>
        <c:dLbls>
          <c:showLegendKey val="0"/>
          <c:showVal val="0"/>
          <c:showCatName val="0"/>
          <c:showSerName val="0"/>
          <c:showPercent val="0"/>
          <c:showBubbleSize val="0"/>
        </c:dLbls>
        <c:gapWidth val="1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max val="46397"/>
          <c:min val="46235"/>
        </c:scaling>
        <c:delete val="0"/>
        <c:axPos val="t"/>
        <c:numFmt formatCode="dd\.mm"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Содержимое релизов (стори / задачи / дефекты)</a:t>
            </a:r>
          </a:p>
        </c:rich>
      </c:tx>
      <c:overlay val="0"/>
    </c:title>
    <c:autoTitleDeleted val="0"/>
    <c:plotArea>
      <c:layout/>
      <c:barChart>
        <c:barDir val="col"/>
        <c:grouping val="clustered"/>
        <c:varyColors val="1"/>
        <c:ser>
          <c:idx val="0"/>
          <c:order val="0"/>
          <c:tx>
            <c:strRef>
              <c:f>Релизы!$G$4</c:f>
              <c:strCache>
                <c:ptCount val="1"/>
                <c:pt idx="0">
                  <c:v>Стори</c:v>
                </c:pt>
              </c:strCache>
            </c:strRef>
          </c:tx>
          <c:spPr>
            <a:solidFill>
              <a:srgbClr val="4472C4"/>
            </a:solidFill>
            <a:ln>
              <a:prstDash val="solid"/>
            </a:ln>
          </c:spPr>
          <c:invertIfNegative val="1"/>
          <c:cat>
            <c:strRef>
              <c:f>Релизы!$B$5:$B$9</c:f>
              <c:strCache>
                <c:ptCount val="5"/>
                <c:pt idx="0">
                  <c:v>Внутренний релиз (MVP)</c:v>
                </c:pt>
                <c:pt idx="1">
                  <c:v>Бета для площадок</c:v>
                </c:pt>
                <c:pt idx="2">
                  <c:v>Публичный релиз 1.0</c:v>
                </c:pt>
                <c:pt idx="3">
                  <c:v>Релиз 1.1 — уведомления</c:v>
                </c:pt>
                <c:pt idx="4">
                  <c:v>GA / Стабилизация</c:v>
                </c:pt>
              </c:strCache>
            </c:strRef>
          </c:cat>
          <c:val>
            <c:numRef>
              <c:f>Релизы!$G$5:$G$9</c:f>
              <c:numCache>
                <c:formatCode>General</c:formatCode>
                <c:ptCount val="5"/>
                <c:pt idx="0">
                  <c:v>3</c:v>
                </c:pt>
                <c:pt idx="1">
                  <c:v>3</c:v>
                </c:pt>
                <c:pt idx="2">
                  <c:v>1</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930-4B38-AA17-80AA585455BE}"/>
            </c:ext>
          </c:extLst>
        </c:ser>
        <c:ser>
          <c:idx val="1"/>
          <c:order val="1"/>
          <c:tx>
            <c:strRef>
              <c:f>Релизы!$H$4</c:f>
              <c:strCache>
                <c:ptCount val="1"/>
                <c:pt idx="0">
                  <c:v>Задач</c:v>
                </c:pt>
              </c:strCache>
            </c:strRef>
          </c:tx>
          <c:spPr>
            <a:solidFill>
              <a:srgbClr val="70AD47"/>
            </a:solidFill>
            <a:ln>
              <a:prstDash val="solid"/>
            </a:ln>
          </c:spPr>
          <c:invertIfNegative val="1"/>
          <c:cat>
            <c:strRef>
              <c:f>Релизы!$B$5:$B$9</c:f>
              <c:strCache>
                <c:ptCount val="5"/>
                <c:pt idx="0">
                  <c:v>Внутренний релиз (MVP)</c:v>
                </c:pt>
                <c:pt idx="1">
                  <c:v>Бета для площадок</c:v>
                </c:pt>
                <c:pt idx="2">
                  <c:v>Публичный релиз 1.0</c:v>
                </c:pt>
                <c:pt idx="3">
                  <c:v>Релиз 1.1 — уведомления</c:v>
                </c:pt>
                <c:pt idx="4">
                  <c:v>GA / Стабилизация</c:v>
                </c:pt>
              </c:strCache>
            </c:strRef>
          </c:cat>
          <c:val>
            <c:numRef>
              <c:f>Релизы!$H$5:$H$9</c:f>
              <c:numCache>
                <c:formatCode>General</c:formatCode>
                <c:ptCount val="5"/>
                <c:pt idx="0">
                  <c:v>5</c:v>
                </c:pt>
                <c:pt idx="1">
                  <c:v>5</c:v>
                </c:pt>
                <c:pt idx="2">
                  <c:v>1</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930-4B38-AA17-80AA585455BE}"/>
            </c:ext>
          </c:extLst>
        </c:ser>
        <c:ser>
          <c:idx val="2"/>
          <c:order val="2"/>
          <c:tx>
            <c:strRef>
              <c:f>Релизы!$I$4</c:f>
              <c:strCache>
                <c:ptCount val="1"/>
                <c:pt idx="0">
                  <c:v>Дефектов</c:v>
                </c:pt>
              </c:strCache>
            </c:strRef>
          </c:tx>
          <c:spPr>
            <a:solidFill>
              <a:srgbClr val="C00000"/>
            </a:solidFill>
            <a:ln>
              <a:prstDash val="solid"/>
            </a:ln>
          </c:spPr>
          <c:invertIfNegative val="1"/>
          <c:cat>
            <c:strRef>
              <c:f>Релизы!$B$5:$B$9</c:f>
              <c:strCache>
                <c:ptCount val="5"/>
                <c:pt idx="0">
                  <c:v>Внутренний релиз (MVP)</c:v>
                </c:pt>
                <c:pt idx="1">
                  <c:v>Бета для площадок</c:v>
                </c:pt>
                <c:pt idx="2">
                  <c:v>Публичный релиз 1.0</c:v>
                </c:pt>
                <c:pt idx="3">
                  <c:v>Релиз 1.1 — уведомления</c:v>
                </c:pt>
                <c:pt idx="4">
                  <c:v>GA / Стабилизация</c:v>
                </c:pt>
              </c:strCache>
            </c:strRef>
          </c:cat>
          <c:val>
            <c:numRef>
              <c:f>Релизы!$I$5:$I$9</c:f>
              <c:numCache>
                <c:formatCode>General</c:formatCode>
                <c:ptCount val="5"/>
                <c:pt idx="0">
                  <c:v>11</c:v>
                </c:pt>
                <c:pt idx="1">
                  <c:v>2</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930-4B38-AA17-80AA585455BE}"/>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Вехи по статусу</a:t>
            </a:r>
          </a:p>
        </c:rich>
      </c:tx>
      <c:overlay val="0"/>
    </c:title>
    <c:autoTitleDeleted val="0"/>
    <c:plotArea>
      <c:layout/>
      <c:barChart>
        <c:barDir val="col"/>
        <c:grouping val="clustered"/>
        <c:varyColors val="1"/>
        <c:ser>
          <c:idx val="0"/>
          <c:order val="0"/>
          <c:spPr>
            <a:solidFill>
              <a:srgbClr val="1F4E78"/>
            </a:solidFill>
            <a:ln>
              <a:prstDash val="solid"/>
            </a:ln>
          </c:spPr>
          <c:invertIfNegative val="1"/>
          <c:cat>
            <c:strRef>
              <c:f>Вехи!$A$12:$A$15</c:f>
              <c:strCache>
                <c:ptCount val="4"/>
                <c:pt idx="0">
                  <c:v>Планируется</c:v>
                </c:pt>
                <c:pt idx="1">
                  <c:v>В работе</c:v>
                </c:pt>
                <c:pt idx="2">
                  <c:v>Готово</c:v>
                </c:pt>
                <c:pt idx="3">
                  <c:v>Задержка</c:v>
                </c:pt>
              </c:strCache>
            </c:strRef>
          </c:cat>
          <c:val>
            <c:numRef>
              <c:f>Вехи!$B$12:$B$15</c:f>
              <c:numCache>
                <c:formatCode>General</c:formatCode>
                <c:ptCount val="4"/>
                <c:pt idx="0">
                  <c:v>3</c:v>
                </c:pt>
                <c:pt idx="1">
                  <c:v>0</c:v>
                </c:pt>
                <c:pt idx="2">
                  <c:v>2</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72B-4ADC-94C8-558EB80DC442}"/>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Техдолг: оценка (дн) по типу</a:t>
            </a:r>
          </a:p>
        </c:rich>
      </c:tx>
      <c:overlay val="0"/>
    </c:title>
    <c:autoTitleDeleted val="0"/>
    <c:plotArea>
      <c:layout/>
      <c:barChart>
        <c:barDir val="col"/>
        <c:grouping val="clustered"/>
        <c:varyColors val="1"/>
        <c:ser>
          <c:idx val="0"/>
          <c:order val="0"/>
          <c:tx>
            <c:strRef>
              <c:f>'Технический долг'!$B$13</c:f>
              <c:strCache>
                <c:ptCount val="1"/>
                <c:pt idx="0">
                  <c:v>Оценка (дн)</c:v>
                </c:pt>
              </c:strCache>
            </c:strRef>
          </c:tx>
          <c:spPr>
            <a:solidFill>
              <a:srgbClr val="ED7D31"/>
            </a:solidFill>
            <a:ln>
              <a:prstDash val="solid"/>
            </a:ln>
          </c:spPr>
          <c:invertIfNegative val="1"/>
          <c:cat>
            <c:strRef>
              <c:f>'Технический долг'!$A$14:$A$18</c:f>
              <c:strCache>
                <c:ptCount val="5"/>
                <c:pt idx="0">
                  <c:v>Архитектура</c:v>
                </c:pt>
                <c:pt idx="1">
                  <c:v>Код</c:v>
                </c:pt>
                <c:pt idx="2">
                  <c:v>Тесты</c:v>
                </c:pt>
                <c:pt idx="3">
                  <c:v>Инфраструктура</c:v>
                </c:pt>
                <c:pt idx="4">
                  <c:v>Документация</c:v>
                </c:pt>
              </c:strCache>
            </c:strRef>
          </c:cat>
          <c:val>
            <c:numRef>
              <c:f>'Технический долг'!$B$14:$B$18</c:f>
              <c:numCache>
                <c:formatCode>#\ ##0.0</c:formatCode>
                <c:ptCount val="5"/>
                <c:pt idx="0">
                  <c:v>2</c:v>
                </c:pt>
                <c:pt idx="1">
                  <c:v>6</c:v>
                </c:pt>
                <c:pt idx="2">
                  <c:v>2</c:v>
                </c:pt>
                <c:pt idx="3">
                  <c:v>2</c:v>
                </c:pt>
                <c:pt idx="4">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48B-49DD-893F-0D7AC9991402}"/>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 ##0.0"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Техдолг по статусу</a:t>
            </a:r>
          </a:p>
        </c:rich>
      </c:tx>
      <c:overlay val="0"/>
    </c:title>
    <c:autoTitleDeleted val="0"/>
    <c:plotArea>
      <c:layout/>
      <c:barChart>
        <c:barDir val="col"/>
        <c:grouping val="clustered"/>
        <c:varyColors val="1"/>
        <c:ser>
          <c:idx val="0"/>
          <c:order val="0"/>
          <c:tx>
            <c:strRef>
              <c:f>'Технический долг'!$B$21</c:f>
              <c:strCache>
                <c:ptCount val="1"/>
                <c:pt idx="0">
                  <c:v>Кол-во</c:v>
                </c:pt>
              </c:strCache>
            </c:strRef>
          </c:tx>
          <c:spPr>
            <a:solidFill>
              <a:srgbClr val="4472C4"/>
            </a:solidFill>
            <a:ln>
              <a:prstDash val="solid"/>
            </a:ln>
          </c:spPr>
          <c:invertIfNegative val="1"/>
          <c:cat>
            <c:strRef>
              <c:f>'Технический долг'!$A$22:$A$24</c:f>
              <c:strCache>
                <c:ptCount val="3"/>
                <c:pt idx="0">
                  <c:v>Открыт</c:v>
                </c:pt>
                <c:pt idx="1">
                  <c:v>В работе</c:v>
                </c:pt>
                <c:pt idx="2">
                  <c:v>Закрыт</c:v>
                </c:pt>
              </c:strCache>
            </c:strRef>
          </c:cat>
          <c:val>
            <c:numRef>
              <c:f>'Технический долг'!$B$22:$B$24</c:f>
              <c:numCache>
                <c:formatCode>General</c:formatCode>
                <c:ptCount val="3"/>
                <c:pt idx="0">
                  <c:v>3</c:v>
                </c:pt>
                <c:pt idx="1">
                  <c:v>1</c:v>
                </c:pt>
                <c:pt idx="2">
                  <c:v>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D93-4EC7-90F9-0402149A0E0E}"/>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Тренд техдолга: создано / погашено / открыто</a:t>
            </a:r>
          </a:p>
        </c:rich>
      </c:tx>
      <c:overlay val="0"/>
    </c:title>
    <c:autoTitleDeleted val="0"/>
    <c:plotArea>
      <c:layout/>
      <c:barChart>
        <c:barDir val="col"/>
        <c:grouping val="clustered"/>
        <c:varyColors val="1"/>
        <c:ser>
          <c:idx val="0"/>
          <c:order val="0"/>
          <c:tx>
            <c:strRef>
              <c:f>'Технический долг'!$B$28</c:f>
              <c:strCache>
                <c:ptCount val="1"/>
                <c:pt idx="0">
                  <c:v>Создано</c:v>
                </c:pt>
              </c:strCache>
            </c:strRef>
          </c:tx>
          <c:spPr>
            <a:solidFill>
              <a:srgbClr val="C00000"/>
            </a:solidFill>
            <a:ln>
              <a:prstDash val="solid"/>
            </a:ln>
          </c:spPr>
          <c:invertIfNegative val="1"/>
          <c:cat>
            <c:numRef>
              <c:f>'Технический долг'!$A$29:$A$39</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'Технический долг'!$B$29:$B$39</c:f>
              <c:numCache>
                <c:formatCode>General</c:formatCode>
                <c:ptCount val="11"/>
                <c:pt idx="0">
                  <c:v>1</c:v>
                </c:pt>
                <c:pt idx="1">
                  <c:v>1</c:v>
                </c:pt>
                <c:pt idx="2">
                  <c:v>2</c:v>
                </c:pt>
                <c:pt idx="3">
                  <c:v>1</c:v>
                </c:pt>
                <c:pt idx="4">
                  <c:v>1</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CEE-4586-936E-3B23CB478C1C}"/>
            </c:ext>
          </c:extLst>
        </c:ser>
        <c:ser>
          <c:idx val="1"/>
          <c:order val="1"/>
          <c:tx>
            <c:strRef>
              <c:f>'Технический долг'!$C$28</c:f>
              <c:strCache>
                <c:ptCount val="1"/>
                <c:pt idx="0">
                  <c:v>Погашено</c:v>
                </c:pt>
              </c:strCache>
            </c:strRef>
          </c:tx>
          <c:spPr>
            <a:solidFill>
              <a:srgbClr val="70AD47"/>
            </a:solidFill>
            <a:ln>
              <a:prstDash val="solid"/>
            </a:ln>
          </c:spPr>
          <c:invertIfNegative val="1"/>
          <c:cat>
            <c:numRef>
              <c:f>'Технический долг'!$A$29:$A$39</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'Технический долг'!$C$29:$C$39</c:f>
              <c:numCache>
                <c:formatCode>General</c:formatCode>
                <c:ptCount val="11"/>
                <c:pt idx="0">
                  <c:v>0</c:v>
                </c:pt>
                <c:pt idx="1">
                  <c:v>0</c:v>
                </c:pt>
                <c:pt idx="2">
                  <c:v>1</c:v>
                </c:pt>
                <c:pt idx="3">
                  <c:v>1</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CEE-4586-936E-3B23CB478C1C}"/>
            </c:ext>
          </c:extLst>
        </c:ser>
        <c:dLbls>
          <c:showLegendKey val="0"/>
          <c:showVal val="0"/>
          <c:showCatName val="0"/>
          <c:showSerName val="0"/>
          <c:showPercent val="0"/>
          <c:showBubbleSize val="0"/>
        </c:dLbls>
        <c:gapWidth val="150"/>
        <c:axId val="10"/>
        <c:axId val="100"/>
      </c:barChart>
      <c:lineChart>
        <c:grouping val="standard"/>
        <c:varyColors val="1"/>
        <c:ser>
          <c:idx val="2"/>
          <c:order val="2"/>
          <c:tx>
            <c:strRef>
              <c:f>'Технический долг'!$D$28</c:f>
              <c:strCache>
                <c:ptCount val="1"/>
                <c:pt idx="0">
                  <c:v>Открыто (накопит.)</c:v>
                </c:pt>
              </c:strCache>
            </c:strRef>
          </c:tx>
          <c:spPr>
            <a:ln w="28000">
              <a:solidFill>
                <a:srgbClr val="1F4E78"/>
              </a:solidFill>
              <a:prstDash val="solid"/>
            </a:ln>
          </c:spPr>
          <c:marker>
            <c:symbol val="none"/>
          </c:marker>
          <c:cat>
            <c:numRef>
              <c:f>'Технический долг'!$A$29:$A$39</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'Технический долг'!$D$29:$D$39</c:f>
              <c:numCache>
                <c:formatCode>General</c:formatCode>
                <c:ptCount val="11"/>
                <c:pt idx="0">
                  <c:v>1</c:v>
                </c:pt>
                <c:pt idx="1">
                  <c:v>2</c:v>
                </c:pt>
                <c:pt idx="2">
                  <c:v>3</c:v>
                </c:pt>
                <c:pt idx="3">
                  <c:v>3</c:v>
                </c:pt>
                <c:pt idx="4">
                  <c:v>4</c:v>
                </c:pt>
                <c:pt idx="5">
                  <c:v>4</c:v>
                </c:pt>
                <c:pt idx="6">
                  <c:v>4</c:v>
                </c:pt>
                <c:pt idx="7">
                  <c:v>4</c:v>
                </c:pt>
                <c:pt idx="8">
                  <c:v>4</c:v>
                </c:pt>
                <c:pt idx="9">
                  <c:v>4</c:v>
                </c:pt>
                <c:pt idx="10">
                  <c:v>4</c:v>
                </c:pt>
              </c:numCache>
            </c:numRef>
          </c:val>
          <c:smooth val="1"/>
          <c:extLst>
            <c:ext xmlns:c16="http://schemas.microsoft.com/office/drawing/2014/chart" uri="{C3380CC4-5D6E-409C-BE32-E72D297353CC}">
              <c16:uniqueId val="{00000002-2CEE-4586-936E-3B23CB478C1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Расход бюджета (накопл.)</a:t>
            </a:r>
          </a:p>
        </c:rich>
      </c:tx>
      <c:overlay val="0"/>
    </c:title>
    <c:autoTitleDeleted val="0"/>
    <c:plotArea>
      <c:layout/>
      <c:lineChart>
        <c:grouping val="standard"/>
        <c:varyColors val="1"/>
        <c:ser>
          <c:idx val="0"/>
          <c:order val="0"/>
          <c:tx>
            <c:strRef>
              <c:f>Бюджет!$D$6</c:f>
              <c:strCache>
                <c:ptCount val="1"/>
                <c:pt idx="0">
                  <c:v>Накопл. стоимость (₽)</c:v>
                </c:pt>
              </c:strCache>
            </c:strRef>
          </c:tx>
          <c:spPr>
            <a:ln w="28000">
              <a:solidFill>
                <a:srgbClr val="C00000"/>
              </a:solidFill>
              <a:prstDash val="solid"/>
            </a:ln>
          </c:spPr>
          <c:marker>
            <c:symbol val="none"/>
          </c:marker>
          <c:cat>
            <c:numRef>
              <c:f>Бюджет!$A$7:$A$17</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Бюджет!$D$7:$D$17</c:f>
              <c:numCache>
                <c:formatCode>#,##0</c:formatCode>
                <c:ptCount val="11"/>
                <c:pt idx="0">
                  <c:v>742400.00000000012</c:v>
                </c:pt>
                <c:pt idx="1">
                  <c:v>1504000</c:v>
                </c:pt>
                <c:pt idx="2">
                  <c:v>2265600</c:v>
                </c:pt>
                <c:pt idx="3">
                  <c:v>3027200</c:v>
                </c:pt>
                <c:pt idx="4">
                  <c:v>3772800</c:v>
                </c:pt>
                <c:pt idx="5">
                  <c:v>4534400</c:v>
                </c:pt>
                <c:pt idx="6">
                  <c:v>5219840</c:v>
                </c:pt>
                <c:pt idx="7">
                  <c:v>5949440</c:v>
                </c:pt>
                <c:pt idx="8">
                  <c:v>6711040</c:v>
                </c:pt>
                <c:pt idx="9">
                  <c:v>7472640</c:v>
                </c:pt>
                <c:pt idx="10">
                  <c:v>8158080</c:v>
                </c:pt>
              </c:numCache>
            </c:numRef>
          </c:val>
          <c:smooth val="1"/>
          <c:extLst>
            <c:ext xmlns:c16="http://schemas.microsoft.com/office/drawing/2014/chart" uri="{C3380CC4-5D6E-409C-BE32-E72D297353CC}">
              <c16:uniqueId val="{00000000-7D62-47C7-B2A0-6D04E87B46C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Прогресс </a:t>
            </a:r>
            <a:r>
              <a:rPr lang="en-US"/>
              <a:t>Key Results</a:t>
            </a:r>
          </a:p>
        </c:rich>
      </c:tx>
      <c:overlay val="0"/>
    </c:title>
    <c:autoTitleDeleted val="0"/>
    <c:plotArea>
      <c:layout/>
      <c:barChart>
        <c:barDir val="bar"/>
        <c:grouping val="clustered"/>
        <c:varyColors val="1"/>
        <c:ser>
          <c:idx val="0"/>
          <c:order val="0"/>
          <c:tx>
            <c:strRef>
              <c:f>OKR!$F$4</c:f>
              <c:strCache>
                <c:ptCount val="1"/>
                <c:pt idx="0">
                  <c:v>Прогресс</c:v>
                </c:pt>
              </c:strCache>
            </c:strRef>
          </c:tx>
          <c:spPr>
            <a:solidFill>
              <a:srgbClr val="70AD47"/>
            </a:solidFill>
            <a:ln>
              <a:prstDash val="solid"/>
            </a:ln>
          </c:spPr>
          <c:invertIfNegative val="1"/>
          <c:cat>
            <c:strRef>
              <c:f>OKR!$C$5:$C$9</c:f>
              <c:strCache>
                <c:ptCount val="5"/>
                <c:pt idx="0">
                  <c:v>Готовность MVP чекаута, %</c:v>
                </c:pt>
                <c:pt idx="1">
                  <c:v>Интеграция оплаты, %</c:v>
                </c:pt>
                <c:pt idx="2">
                  <c:v>Покрытие автотестами ключевых сценариев, %</c:v>
                </c:pt>
                <c:pt idx="3">
                  <c:v>Подключённых площадок, шт</c:v>
                </c:pt>
                <c:pt idx="4">
                  <c:v>Уведомления и история заказов, %</c:v>
                </c:pt>
              </c:strCache>
            </c:strRef>
          </c:cat>
          <c:val>
            <c:numRef>
              <c:f>OKR!$F$5:$F$9</c:f>
              <c:numCache>
                <c:formatCode>0%</c:formatCode>
                <c:ptCount val="5"/>
                <c:pt idx="0">
                  <c:v>0.7</c:v>
                </c:pt>
                <c:pt idx="1">
                  <c:v>0.6</c:v>
                </c:pt>
                <c:pt idx="2">
                  <c:v>0.5625</c:v>
                </c:pt>
                <c:pt idx="3">
                  <c:v>0.3</c:v>
                </c:pt>
                <c:pt idx="4">
                  <c:v>0.2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E76-4D61-B888-DBE04EF6022A}"/>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Ёмкость </a:t>
            </a:r>
            <a:r>
              <a:rPr lang="en-US"/>
              <a:t>vs </a:t>
            </a:r>
            <a:r>
              <a:rPr lang="ru-RU"/>
              <a:t>Спрос по кварталам</a:t>
            </a:r>
          </a:p>
        </c:rich>
      </c:tx>
      <c:overlay val="0"/>
    </c:title>
    <c:autoTitleDeleted val="0"/>
    <c:plotArea>
      <c:layout/>
      <c:barChart>
        <c:barDir val="col"/>
        <c:grouping val="clustered"/>
        <c:varyColors val="1"/>
        <c:ser>
          <c:idx val="0"/>
          <c:order val="0"/>
          <c:tx>
            <c:strRef>
              <c:f>'Ёмкость на горизонт'!$B$5</c:f>
              <c:strCache>
                <c:ptCount val="1"/>
                <c:pt idx="0">
                  <c:v>Ёмкость (дн)</c:v>
                </c:pt>
              </c:strCache>
            </c:strRef>
          </c:tx>
          <c:spPr>
            <a:solidFill>
              <a:srgbClr val="8EAADB"/>
            </a:solidFill>
            <a:ln>
              <a:prstDash val="solid"/>
            </a:ln>
          </c:spPr>
          <c:invertIfNegative val="1"/>
          <c:cat>
            <c:strRef>
              <c:f>'Ёмкость на горизонт'!$A$6:$A$8</c:f>
              <c:strCache>
                <c:ptCount val="3"/>
                <c:pt idx="0">
                  <c:v>Q3 2026</c:v>
                </c:pt>
                <c:pt idx="1">
                  <c:v>Q4 2026</c:v>
                </c:pt>
                <c:pt idx="2">
                  <c:v>Q1 2027</c:v>
                </c:pt>
              </c:strCache>
            </c:strRef>
          </c:cat>
          <c:val>
            <c:numRef>
              <c:f>'Ёмкость на горизонт'!$B$6:$B$8</c:f>
              <c:numCache>
                <c:formatCode>#\ ##0.0</c:formatCode>
                <c:ptCount val="3"/>
                <c:pt idx="0">
                  <c:v>471.59999999999997</c:v>
                </c:pt>
                <c:pt idx="1">
                  <c:v>548.16000000000008</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2EF-4D18-9D2E-A03160211612}"/>
            </c:ext>
          </c:extLst>
        </c:ser>
        <c:ser>
          <c:idx val="1"/>
          <c:order val="1"/>
          <c:tx>
            <c:strRef>
              <c:f>'Ёмкость на горизонт'!$C$5</c:f>
              <c:strCache>
                <c:ptCount val="1"/>
                <c:pt idx="0">
                  <c:v>Спрос (дн)</c:v>
                </c:pt>
              </c:strCache>
            </c:strRef>
          </c:tx>
          <c:spPr>
            <a:solidFill>
              <a:srgbClr val="FFC000"/>
            </a:solidFill>
            <a:ln>
              <a:prstDash val="solid"/>
            </a:ln>
          </c:spPr>
          <c:invertIfNegative val="1"/>
          <c:cat>
            <c:strRef>
              <c:f>'Ёмкость на горизонт'!$A$6:$A$8</c:f>
              <c:strCache>
                <c:ptCount val="3"/>
                <c:pt idx="0">
                  <c:v>Q3 2026</c:v>
                </c:pt>
                <c:pt idx="1">
                  <c:v>Q4 2026</c:v>
                </c:pt>
                <c:pt idx="2">
                  <c:v>Q1 2027</c:v>
                </c:pt>
              </c:strCache>
            </c:strRef>
          </c:cat>
          <c:val>
            <c:numRef>
              <c:f>'Ёмкость на горизонт'!$C$6:$C$8</c:f>
              <c:numCache>
                <c:formatCode>#\ ##0.0</c:formatCode>
                <c:ptCount val="3"/>
                <c:pt idx="0">
                  <c:v>107</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2EF-4D18-9D2E-A03160211612}"/>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 ##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Диаграмма Ганта — задачи по спринтам (цвет = спринт)</a:t>
            </a:r>
          </a:p>
        </c:rich>
      </c:tx>
      <c:layout>
        <c:manualLayout>
          <c:xMode val="edge"/>
          <c:yMode val="edge"/>
          <c:x val="0.22"/>
          <c:y val="0.96"/>
        </c:manualLayout>
      </c:layout>
      <c:overlay val="0"/>
    </c:title>
    <c:autoTitleDeleted val="0"/>
    <c:plotArea>
      <c:layout/>
      <c:barChart>
        <c:barDir val="bar"/>
        <c:grouping val="stacked"/>
        <c:varyColors val="1"/>
        <c:ser>
          <c:idx val="0"/>
          <c:order val="0"/>
          <c:tx>
            <c:strRef>
              <c:f>Гант!$G$4</c:f>
              <c:strCache>
                <c:ptCount val="1"/>
                <c:pt idx="0">
                  <c:v>Начало</c:v>
                </c:pt>
              </c:strCache>
            </c:strRef>
          </c:tx>
          <c:spPr>
            <a:noFill/>
            <a:ln>
              <a:noFill/>
              <a:prstDash val="solid"/>
            </a:ln>
          </c:spPr>
          <c:invertIfNegative val="1"/>
          <c:cat>
            <c:strRef>
              <c:f>Гант!$B$5:$B$44</c:f>
              <c:strCache>
                <c:ptCount val="20"/>
                <c:pt idx="0">
                  <c:v>Проектирование API заказов</c:v>
                </c:pt>
                <c:pt idx="1">
                  <c:v>Экран корзины (вёрстка)</c:v>
                </c:pt>
                <c:pt idx="2">
                  <c:v>Настройка CI/CD</c:v>
                </c:pt>
                <c:pt idx="3">
                  <c:v>Модель данных заказа</c:v>
                </c:pt>
                <c:pt idx="4">
                  <c:v>Интеграция платежей</c:v>
                </c:pt>
                <c:pt idx="5">
                  <c:v>Тест-кейсы оформления</c:v>
                </c:pt>
                <c:pt idx="6">
                  <c:v>Уведомления по e-mail</c:v>
                </c:pt>
                <c:pt idx="7">
                  <c:v>API промокодов</c:v>
                </c:pt>
                <c:pt idx="8">
                  <c:v>Логирование и метрики</c:v>
                </c:pt>
                <c:pt idx="9">
                  <c:v>Рефакторинг авторизации</c:v>
                </c:pt>
                <c:pt idx="10">
                  <c:v>Аналитика воронки</c:v>
                </c:pt>
                <c:pt idx="11">
                  <c:v>Регресс-тестирование релиза</c:v>
                </c:pt>
                <c:pt idx="12">
                  <c:v>Экран оплаты</c:v>
                </c:pt>
                <c:pt idx="13">
                  <c:v>Вебхуки платежей</c:v>
                </c:pt>
                <c:pt idx="14">
                  <c:v>История заказов</c:v>
                </c:pt>
                <c:pt idx="15">
                  <c:v>Личный кабинет</c:v>
                </c:pt>
                <c:pt idx="16">
                  <c:v>Фильтры каталога</c:v>
                </c:pt>
                <c:pt idx="17">
                  <c:v>Отзывы и рейтинги</c:v>
                </c:pt>
                <c:pt idx="18">
                  <c:v>Рекомендации</c:v>
                </c:pt>
                <c:pt idx="19">
                  <c:v>A/B тесты чекаута</c:v>
                </c:pt>
              </c:strCache>
            </c:strRef>
          </c:cat>
          <c:val>
            <c:numRef>
              <c:f>Гант!$G$5:$G$44</c:f>
              <c:numCache>
                <c:formatCode>dd\.mm\.yyyy</c:formatCode>
                <c:ptCount val="40"/>
                <c:pt idx="0">
                  <c:v>46237</c:v>
                </c:pt>
                <c:pt idx="1">
                  <c:v>46242</c:v>
                </c:pt>
                <c:pt idx="2">
                  <c:v>46237</c:v>
                </c:pt>
                <c:pt idx="3">
                  <c:v>46237</c:v>
                </c:pt>
                <c:pt idx="4">
                  <c:v>46251</c:v>
                </c:pt>
                <c:pt idx="5">
                  <c:v>46251</c:v>
                </c:pt>
                <c:pt idx="6">
                  <c:v>46251</c:v>
                </c:pt>
                <c:pt idx="7">
                  <c:v>46251</c:v>
                </c:pt>
                <c:pt idx="8">
                  <c:v>46251</c:v>
                </c:pt>
                <c:pt idx="9">
                  <c:v>46265</c:v>
                </c:pt>
                <c:pt idx="10">
                  <c:v>46265</c:v>
                </c:pt>
                <c:pt idx="11">
                  <c:v>46265</c:v>
                </c:pt>
                <c:pt idx="12">
                  <c:v>46265</c:v>
                </c:pt>
                <c:pt idx="13">
                  <c:v>46273</c:v>
                </c:pt>
                <c:pt idx="14">
                  <c:v>46265</c:v>
                </c:pt>
                <c:pt idx="15">
                  <c:v>46279</c:v>
                </c:pt>
                <c:pt idx="16">
                  <c:v>46287</c:v>
                </c:pt>
                <c:pt idx="17">
                  <c:v>46279</c:v>
                </c:pt>
                <c:pt idx="18">
                  <c:v>46293</c:v>
                </c:pt>
                <c:pt idx="19">
                  <c:v>46293</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extLst>
            <c:ext xmlns:c16="http://schemas.microsoft.com/office/drawing/2014/chart" uri="{C3380CC4-5D6E-409C-BE32-E72D297353CC}">
              <c16:uniqueId val="{00000000-CB19-44ED-B541-AD86601F2DEC}"/>
            </c:ext>
          </c:extLst>
        </c:ser>
        <c:ser>
          <c:idx val="1"/>
          <c:order val="1"/>
          <c:tx>
            <c:strRef>
              <c:f>Гант!$I$4</c:f>
              <c:strCache>
                <c:ptCount val="1"/>
                <c:pt idx="0">
                  <c:v>Длит. (дн)</c:v>
                </c:pt>
              </c:strCache>
            </c:strRef>
          </c:tx>
          <c:spPr>
            <a:solidFill>
              <a:srgbClr val="4472C4"/>
            </a:solidFill>
            <a:ln>
              <a:prstDash val="solid"/>
            </a:ln>
          </c:spPr>
          <c:invertIfNegative val="1"/>
          <c:dPt>
            <c:idx val="0"/>
            <c:invertIfNegative val="1"/>
            <c:bubble3D val="0"/>
            <c:spPr>
              <a:solidFill>
                <a:srgbClr val="4472C4"/>
              </a:solidFill>
              <a:ln w="34925">
                <a:solidFill>
                  <a:srgbClr val="C00000"/>
                </a:solidFill>
                <a:prstDash val="solid"/>
              </a:ln>
            </c:spPr>
            <c:extLst>
              <c:ext xmlns:c16="http://schemas.microsoft.com/office/drawing/2014/chart" uri="{C3380CC4-5D6E-409C-BE32-E72D297353CC}">
                <c16:uniqueId val="{00000002-CB19-44ED-B541-AD86601F2DEC}"/>
              </c:ext>
            </c:extLst>
          </c:dPt>
          <c:dPt>
            <c:idx val="1"/>
            <c:invertIfNegative val="1"/>
            <c:bubble3D val="0"/>
            <c:spPr>
              <a:ln>
                <a:prstDash val="solid"/>
              </a:ln>
            </c:spPr>
            <c:extLst>
              <c:ext xmlns:c16="http://schemas.microsoft.com/office/drawing/2014/chart" uri="{C3380CC4-5D6E-409C-BE32-E72D297353CC}">
                <c16:uniqueId val="{00000004-CB19-44ED-B541-AD86601F2DEC}"/>
              </c:ext>
            </c:extLst>
          </c:dPt>
          <c:dPt>
            <c:idx val="2"/>
            <c:invertIfNegative val="1"/>
            <c:bubble3D val="0"/>
            <c:spPr>
              <a:ln>
                <a:prstDash val="solid"/>
              </a:ln>
            </c:spPr>
            <c:extLst>
              <c:ext xmlns:c16="http://schemas.microsoft.com/office/drawing/2014/chart" uri="{C3380CC4-5D6E-409C-BE32-E72D297353CC}">
                <c16:uniqueId val="{00000006-CB19-44ED-B541-AD86601F2DEC}"/>
              </c:ext>
            </c:extLst>
          </c:dPt>
          <c:dPt>
            <c:idx val="3"/>
            <c:invertIfNegative val="1"/>
            <c:bubble3D val="0"/>
            <c:spPr>
              <a:ln>
                <a:prstDash val="solid"/>
              </a:ln>
            </c:spPr>
            <c:extLst>
              <c:ext xmlns:c16="http://schemas.microsoft.com/office/drawing/2014/chart" uri="{C3380CC4-5D6E-409C-BE32-E72D297353CC}">
                <c16:uniqueId val="{00000008-CB19-44ED-B541-AD86601F2DEC}"/>
              </c:ext>
            </c:extLst>
          </c:dPt>
          <c:dPt>
            <c:idx val="4"/>
            <c:invertIfNegative val="1"/>
            <c:bubble3D val="0"/>
            <c:spPr>
              <a:solidFill>
                <a:srgbClr val="ED7D31"/>
              </a:solidFill>
              <a:ln w="34925">
                <a:solidFill>
                  <a:srgbClr val="C00000"/>
                </a:solidFill>
                <a:prstDash val="solid"/>
              </a:ln>
            </c:spPr>
            <c:extLst>
              <c:ext xmlns:c16="http://schemas.microsoft.com/office/drawing/2014/chart" uri="{C3380CC4-5D6E-409C-BE32-E72D297353CC}">
                <c16:uniqueId val="{0000000A-CB19-44ED-B541-AD86601F2DEC}"/>
              </c:ext>
            </c:extLst>
          </c:dPt>
          <c:dPt>
            <c:idx val="5"/>
            <c:invertIfNegative val="1"/>
            <c:bubble3D val="0"/>
            <c:spPr>
              <a:solidFill>
                <a:srgbClr val="ED7D31"/>
              </a:solidFill>
              <a:ln>
                <a:prstDash val="solid"/>
              </a:ln>
            </c:spPr>
            <c:extLst>
              <c:ext xmlns:c16="http://schemas.microsoft.com/office/drawing/2014/chart" uri="{C3380CC4-5D6E-409C-BE32-E72D297353CC}">
                <c16:uniqueId val="{0000000C-CB19-44ED-B541-AD86601F2DEC}"/>
              </c:ext>
            </c:extLst>
          </c:dPt>
          <c:dPt>
            <c:idx val="6"/>
            <c:invertIfNegative val="1"/>
            <c:bubble3D val="0"/>
            <c:spPr>
              <a:solidFill>
                <a:srgbClr val="ED7D31"/>
              </a:solidFill>
              <a:ln>
                <a:prstDash val="solid"/>
              </a:ln>
            </c:spPr>
            <c:extLst>
              <c:ext xmlns:c16="http://schemas.microsoft.com/office/drawing/2014/chart" uri="{C3380CC4-5D6E-409C-BE32-E72D297353CC}">
                <c16:uniqueId val="{0000000E-CB19-44ED-B541-AD86601F2DEC}"/>
              </c:ext>
            </c:extLst>
          </c:dPt>
          <c:dPt>
            <c:idx val="7"/>
            <c:invertIfNegative val="1"/>
            <c:bubble3D val="0"/>
            <c:spPr>
              <a:solidFill>
                <a:srgbClr val="ED7D31"/>
              </a:solidFill>
              <a:ln>
                <a:prstDash val="solid"/>
              </a:ln>
            </c:spPr>
            <c:extLst>
              <c:ext xmlns:c16="http://schemas.microsoft.com/office/drawing/2014/chart" uri="{C3380CC4-5D6E-409C-BE32-E72D297353CC}">
                <c16:uniqueId val="{00000010-CB19-44ED-B541-AD86601F2DEC}"/>
              </c:ext>
            </c:extLst>
          </c:dPt>
          <c:dPt>
            <c:idx val="8"/>
            <c:invertIfNegative val="1"/>
            <c:bubble3D val="0"/>
            <c:spPr>
              <a:solidFill>
                <a:srgbClr val="ED7D31"/>
              </a:solidFill>
              <a:ln>
                <a:prstDash val="solid"/>
              </a:ln>
            </c:spPr>
            <c:extLst>
              <c:ext xmlns:c16="http://schemas.microsoft.com/office/drawing/2014/chart" uri="{C3380CC4-5D6E-409C-BE32-E72D297353CC}">
                <c16:uniqueId val="{00000012-CB19-44ED-B541-AD86601F2DEC}"/>
              </c:ext>
            </c:extLst>
          </c:dPt>
          <c:dPt>
            <c:idx val="9"/>
            <c:invertIfNegative val="1"/>
            <c:bubble3D val="0"/>
            <c:spPr>
              <a:solidFill>
                <a:srgbClr val="70AD47"/>
              </a:solidFill>
              <a:ln>
                <a:prstDash val="solid"/>
              </a:ln>
            </c:spPr>
            <c:extLst>
              <c:ext xmlns:c16="http://schemas.microsoft.com/office/drawing/2014/chart" uri="{C3380CC4-5D6E-409C-BE32-E72D297353CC}">
                <c16:uniqueId val="{00000014-CB19-44ED-B541-AD86601F2DEC}"/>
              </c:ext>
            </c:extLst>
          </c:dPt>
          <c:dPt>
            <c:idx val="10"/>
            <c:invertIfNegative val="1"/>
            <c:bubble3D val="0"/>
            <c:spPr>
              <a:solidFill>
                <a:srgbClr val="70AD47"/>
              </a:solidFill>
              <a:ln>
                <a:prstDash val="solid"/>
              </a:ln>
            </c:spPr>
            <c:extLst>
              <c:ext xmlns:c16="http://schemas.microsoft.com/office/drawing/2014/chart" uri="{C3380CC4-5D6E-409C-BE32-E72D297353CC}">
                <c16:uniqueId val="{00000016-CB19-44ED-B541-AD86601F2DEC}"/>
              </c:ext>
            </c:extLst>
          </c:dPt>
          <c:dPt>
            <c:idx val="11"/>
            <c:invertIfNegative val="1"/>
            <c:bubble3D val="0"/>
            <c:spPr>
              <a:solidFill>
                <a:srgbClr val="70AD47"/>
              </a:solidFill>
              <a:ln>
                <a:prstDash val="solid"/>
              </a:ln>
            </c:spPr>
            <c:extLst>
              <c:ext xmlns:c16="http://schemas.microsoft.com/office/drawing/2014/chart" uri="{C3380CC4-5D6E-409C-BE32-E72D297353CC}">
                <c16:uniqueId val="{00000018-CB19-44ED-B541-AD86601F2DEC}"/>
              </c:ext>
            </c:extLst>
          </c:dPt>
          <c:dPt>
            <c:idx val="12"/>
            <c:invertIfNegative val="1"/>
            <c:bubble3D val="0"/>
            <c:spPr>
              <a:solidFill>
                <a:srgbClr val="70AD47"/>
              </a:solidFill>
              <a:ln w="34925">
                <a:solidFill>
                  <a:srgbClr val="C00000"/>
                </a:solidFill>
                <a:prstDash val="solid"/>
              </a:ln>
            </c:spPr>
            <c:extLst>
              <c:ext xmlns:c16="http://schemas.microsoft.com/office/drawing/2014/chart" uri="{C3380CC4-5D6E-409C-BE32-E72D297353CC}">
                <c16:uniqueId val="{0000001A-CB19-44ED-B541-AD86601F2DEC}"/>
              </c:ext>
            </c:extLst>
          </c:dPt>
          <c:dPt>
            <c:idx val="13"/>
            <c:invertIfNegative val="1"/>
            <c:bubble3D val="0"/>
            <c:spPr>
              <a:solidFill>
                <a:srgbClr val="70AD47"/>
              </a:solidFill>
              <a:ln w="34925">
                <a:solidFill>
                  <a:srgbClr val="C00000"/>
                </a:solidFill>
                <a:prstDash val="solid"/>
              </a:ln>
            </c:spPr>
            <c:extLst>
              <c:ext xmlns:c16="http://schemas.microsoft.com/office/drawing/2014/chart" uri="{C3380CC4-5D6E-409C-BE32-E72D297353CC}">
                <c16:uniqueId val="{0000001C-CB19-44ED-B541-AD86601F2DEC}"/>
              </c:ext>
            </c:extLst>
          </c:dPt>
          <c:dPt>
            <c:idx val="14"/>
            <c:invertIfNegative val="1"/>
            <c:bubble3D val="0"/>
            <c:spPr>
              <a:solidFill>
                <a:srgbClr val="70AD47"/>
              </a:solidFill>
              <a:ln>
                <a:prstDash val="solid"/>
              </a:ln>
            </c:spPr>
            <c:extLst>
              <c:ext xmlns:c16="http://schemas.microsoft.com/office/drawing/2014/chart" uri="{C3380CC4-5D6E-409C-BE32-E72D297353CC}">
                <c16:uniqueId val="{0000001E-CB19-44ED-B541-AD86601F2DEC}"/>
              </c:ext>
            </c:extLst>
          </c:dPt>
          <c:dPt>
            <c:idx val="15"/>
            <c:invertIfNegative val="1"/>
            <c:bubble3D val="0"/>
            <c:spPr>
              <a:solidFill>
                <a:srgbClr val="FFC000"/>
              </a:solidFill>
              <a:ln>
                <a:prstDash val="solid"/>
              </a:ln>
            </c:spPr>
            <c:extLst>
              <c:ext xmlns:c16="http://schemas.microsoft.com/office/drawing/2014/chart" uri="{C3380CC4-5D6E-409C-BE32-E72D297353CC}">
                <c16:uniqueId val="{00000020-CB19-44ED-B541-AD86601F2DEC}"/>
              </c:ext>
            </c:extLst>
          </c:dPt>
          <c:dPt>
            <c:idx val="16"/>
            <c:invertIfNegative val="1"/>
            <c:bubble3D val="0"/>
            <c:spPr>
              <a:solidFill>
                <a:srgbClr val="FFC000"/>
              </a:solidFill>
              <a:ln>
                <a:prstDash val="solid"/>
              </a:ln>
            </c:spPr>
            <c:extLst>
              <c:ext xmlns:c16="http://schemas.microsoft.com/office/drawing/2014/chart" uri="{C3380CC4-5D6E-409C-BE32-E72D297353CC}">
                <c16:uniqueId val="{00000022-CB19-44ED-B541-AD86601F2DEC}"/>
              </c:ext>
            </c:extLst>
          </c:dPt>
          <c:dPt>
            <c:idx val="17"/>
            <c:invertIfNegative val="1"/>
            <c:bubble3D val="0"/>
            <c:spPr>
              <a:solidFill>
                <a:srgbClr val="FFC000"/>
              </a:solidFill>
              <a:ln>
                <a:prstDash val="solid"/>
              </a:ln>
            </c:spPr>
            <c:extLst>
              <c:ext xmlns:c16="http://schemas.microsoft.com/office/drawing/2014/chart" uri="{C3380CC4-5D6E-409C-BE32-E72D297353CC}">
                <c16:uniqueId val="{00000024-CB19-44ED-B541-AD86601F2DEC}"/>
              </c:ext>
            </c:extLst>
          </c:dPt>
          <c:dPt>
            <c:idx val="18"/>
            <c:invertIfNegative val="1"/>
            <c:bubble3D val="0"/>
            <c:spPr>
              <a:solidFill>
                <a:srgbClr val="7030A0"/>
              </a:solidFill>
              <a:ln>
                <a:prstDash val="solid"/>
              </a:ln>
            </c:spPr>
            <c:extLst>
              <c:ext xmlns:c16="http://schemas.microsoft.com/office/drawing/2014/chart" uri="{C3380CC4-5D6E-409C-BE32-E72D297353CC}">
                <c16:uniqueId val="{00000026-CB19-44ED-B541-AD86601F2DEC}"/>
              </c:ext>
            </c:extLst>
          </c:dPt>
          <c:dPt>
            <c:idx val="19"/>
            <c:invertIfNegative val="1"/>
            <c:bubble3D val="0"/>
            <c:spPr>
              <a:solidFill>
                <a:srgbClr val="7030A0"/>
              </a:solidFill>
              <a:ln>
                <a:prstDash val="solid"/>
              </a:ln>
            </c:spPr>
            <c:extLst>
              <c:ext xmlns:c16="http://schemas.microsoft.com/office/drawing/2014/chart" uri="{C3380CC4-5D6E-409C-BE32-E72D297353CC}">
                <c16:uniqueId val="{00000028-CB19-44ED-B541-AD86601F2DEC}"/>
              </c:ext>
            </c:extLst>
          </c:dPt>
          <c:cat>
            <c:strRef>
              <c:f>Гант!$B$5:$B$44</c:f>
              <c:strCache>
                <c:ptCount val="20"/>
                <c:pt idx="0">
                  <c:v>Проектирование API заказов</c:v>
                </c:pt>
                <c:pt idx="1">
                  <c:v>Экран корзины (вёрстка)</c:v>
                </c:pt>
                <c:pt idx="2">
                  <c:v>Настройка CI/CD</c:v>
                </c:pt>
                <c:pt idx="3">
                  <c:v>Модель данных заказа</c:v>
                </c:pt>
                <c:pt idx="4">
                  <c:v>Интеграция платежей</c:v>
                </c:pt>
                <c:pt idx="5">
                  <c:v>Тест-кейсы оформления</c:v>
                </c:pt>
                <c:pt idx="6">
                  <c:v>Уведомления по e-mail</c:v>
                </c:pt>
                <c:pt idx="7">
                  <c:v>API промокодов</c:v>
                </c:pt>
                <c:pt idx="8">
                  <c:v>Логирование и метрики</c:v>
                </c:pt>
                <c:pt idx="9">
                  <c:v>Рефакторинг авторизации</c:v>
                </c:pt>
                <c:pt idx="10">
                  <c:v>Аналитика воронки</c:v>
                </c:pt>
                <c:pt idx="11">
                  <c:v>Регресс-тестирование релиза</c:v>
                </c:pt>
                <c:pt idx="12">
                  <c:v>Экран оплаты</c:v>
                </c:pt>
                <c:pt idx="13">
                  <c:v>Вебхуки платежей</c:v>
                </c:pt>
                <c:pt idx="14">
                  <c:v>История заказов</c:v>
                </c:pt>
                <c:pt idx="15">
                  <c:v>Личный кабинет</c:v>
                </c:pt>
                <c:pt idx="16">
                  <c:v>Фильтры каталога</c:v>
                </c:pt>
                <c:pt idx="17">
                  <c:v>Отзывы и рейтинги</c:v>
                </c:pt>
                <c:pt idx="18">
                  <c:v>Рекомендации</c:v>
                </c:pt>
                <c:pt idx="19">
                  <c:v>A/B тесты чекаута</c:v>
                </c:pt>
              </c:strCache>
            </c:strRef>
          </c:cat>
          <c:val>
            <c:numRef>
              <c:f>Гант!$I$5:$I$44</c:f>
              <c:numCache>
                <c:formatCode>0</c:formatCode>
                <c:ptCount val="40"/>
                <c:pt idx="0">
                  <c:v>5</c:v>
                </c:pt>
                <c:pt idx="1">
                  <c:v>8</c:v>
                </c:pt>
                <c:pt idx="2">
                  <c:v>4</c:v>
                </c:pt>
                <c:pt idx="3">
                  <c:v>5</c:v>
                </c:pt>
                <c:pt idx="4">
                  <c:v>8</c:v>
                </c:pt>
                <c:pt idx="5">
                  <c:v>4</c:v>
                </c:pt>
                <c:pt idx="6">
                  <c:v>4</c:v>
                </c:pt>
                <c:pt idx="7">
                  <c:v>5</c:v>
                </c:pt>
                <c:pt idx="8">
                  <c:v>3</c:v>
                </c:pt>
                <c:pt idx="9">
                  <c:v>3</c:v>
                </c:pt>
                <c:pt idx="10">
                  <c:v>3</c:v>
                </c:pt>
                <c:pt idx="11">
                  <c:v>5</c:v>
                </c:pt>
                <c:pt idx="12">
                  <c:v>8</c:v>
                </c:pt>
                <c:pt idx="13">
                  <c:v>5</c:v>
                </c:pt>
                <c:pt idx="14">
                  <c:v>5</c:v>
                </c:pt>
                <c:pt idx="15">
                  <c:v>8</c:v>
                </c:pt>
                <c:pt idx="16">
                  <c:v>6</c:v>
                </c:pt>
                <c:pt idx="17">
                  <c:v>5</c:v>
                </c:pt>
                <c:pt idx="18">
                  <c:v>8</c:v>
                </c:pt>
                <c:pt idx="19">
                  <c:v>5</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29-CB19-44ED-B541-AD86601F2DEC}"/>
            </c:ext>
          </c:extLst>
        </c:ser>
        <c:dLbls>
          <c:showLegendKey val="0"/>
          <c:showVal val="0"/>
          <c:showCatName val="0"/>
          <c:showSerName val="0"/>
          <c:showPercent val="0"/>
          <c:showBubbleSize val="0"/>
        </c:dLbls>
        <c:gapWidth val="1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max val="46332"/>
          <c:min val="46237"/>
        </c:scaling>
        <c:delete val="0"/>
        <c:axPos val="t"/>
        <c:numFmt formatCode="dd\.mm"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Зависимости по статусам</a:t>
            </a:r>
          </a:p>
        </c:rich>
      </c:tx>
      <c:overlay val="1"/>
    </c:title>
    <c:autoTitleDeleted val="0"/>
    <c:plotArea>
      <c:layout/>
      <c:barChart>
        <c:barDir val="col"/>
        <c:grouping val="clustered"/>
        <c:varyColors val="1"/>
        <c:ser>
          <c:idx val="0"/>
          <c:order val="0"/>
          <c:tx>
            <c:strRef>
              <c:f>Зависимости!$B$15</c:f>
              <c:strCache>
                <c:ptCount val="1"/>
                <c:pt idx="0">
                  <c:v>Кол-во</c:v>
                </c:pt>
              </c:strCache>
            </c:strRef>
          </c:tx>
          <c:spPr>
            <a:ln>
              <a:prstDash val="solid"/>
            </a:ln>
          </c:spPr>
          <c:invertIfNegative val="1"/>
          <c:cat>
            <c:strRef>
              <c:f>Зависимости!$A$16:$A$20</c:f>
              <c:strCache>
                <c:ptCount val="5"/>
                <c:pt idx="0">
                  <c:v>Ожидается</c:v>
                </c:pt>
                <c:pt idx="1">
                  <c:v>Подтверждено</c:v>
                </c:pt>
                <c:pt idx="2">
                  <c:v>Получено</c:v>
                </c:pt>
                <c:pt idx="3">
                  <c:v>Заблокировано</c:v>
                </c:pt>
                <c:pt idx="4">
                  <c:v>Просрочено</c:v>
                </c:pt>
              </c:strCache>
            </c:strRef>
          </c:cat>
          <c:val>
            <c:numRef>
              <c:f>Зависимости!$B$16:$B$20</c:f>
              <c:numCache>
                <c:formatCode>General</c:formatCode>
                <c:ptCount val="5"/>
                <c:pt idx="0">
                  <c:v>3</c:v>
                </c:pt>
                <c:pt idx="1">
                  <c:v>2</c:v>
                </c:pt>
                <c:pt idx="2">
                  <c:v>1</c:v>
                </c:pt>
                <c:pt idx="3">
                  <c:v>2</c:v>
                </c:pt>
                <c:pt idx="4">
                  <c:v>0</c:v>
                </c:pt>
              </c:numCache>
            </c:numRef>
          </c:val>
          <c:extLst>
            <c:ext xmlns:c16="http://schemas.microsoft.com/office/drawing/2014/chart" uri="{C3380CC4-5D6E-409C-BE32-E72D297353CC}">
              <c16:uniqueId val="{00000000-07F7-4908-AAEA-2F0A6A0D6BC9}"/>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Капасити </a:t>
            </a:r>
            <a:r>
              <a:rPr lang="en-US"/>
              <a:t>vs </a:t>
            </a:r>
            <a:r>
              <a:rPr lang="ru-RU"/>
              <a:t>Спрос по ролям (текущий спринт)</a:t>
            </a:r>
          </a:p>
        </c:rich>
      </c:tx>
      <c:overlay val="0"/>
    </c:title>
    <c:autoTitleDeleted val="0"/>
    <c:plotArea>
      <c:layout/>
      <c:barChart>
        <c:barDir val="col"/>
        <c:grouping val="clustered"/>
        <c:varyColors val="1"/>
        <c:ser>
          <c:idx val="0"/>
          <c:order val="0"/>
          <c:tx>
            <c:strRef>
              <c:f>'Загрузка по ролям'!$B$5</c:f>
              <c:strCache>
                <c:ptCount val="1"/>
                <c:pt idx="0">
                  <c:v>Капасити (дн)</c:v>
                </c:pt>
              </c:strCache>
            </c:strRef>
          </c:tx>
          <c:spPr>
            <a:solidFill>
              <a:srgbClr val="8EAADB"/>
            </a:solidFill>
            <a:ln>
              <a:prstDash val="solid"/>
            </a:ln>
          </c:spPr>
          <c:invertIfNegative val="1"/>
          <c:cat>
            <c:strRef>
              <c:f>'Загрузка по ролям'!$A$6:$A$11</c:f>
              <c:strCache>
                <c:ptCount val="6"/>
                <c:pt idx="0">
                  <c:v>Backend</c:v>
                </c:pt>
                <c:pt idx="1">
                  <c:v>Frontend</c:v>
                </c:pt>
                <c:pt idx="2">
                  <c:v>QA</c:v>
                </c:pt>
                <c:pt idx="3">
                  <c:v>DevOps</c:v>
                </c:pt>
                <c:pt idx="4">
                  <c:v>Analyst</c:v>
                </c:pt>
                <c:pt idx="5">
                  <c:v>Designer</c:v>
                </c:pt>
              </c:strCache>
            </c:strRef>
          </c:cat>
          <c:val>
            <c:numRef>
              <c:f>'Загрузка по ролям'!$B$6:$B$11</c:f>
              <c:numCache>
                <c:formatCode>#\ ##0.0</c:formatCode>
                <c:ptCount val="6"/>
                <c:pt idx="0">
                  <c:v>32</c:v>
                </c:pt>
                <c:pt idx="1">
                  <c:v>24</c:v>
                </c:pt>
                <c:pt idx="2">
                  <c:v>14.4</c:v>
                </c:pt>
                <c:pt idx="3">
                  <c:v>6.4</c:v>
                </c:pt>
                <c:pt idx="4">
                  <c:v>12</c:v>
                </c:pt>
                <c:pt idx="5">
                  <c:v>6.4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9A5-49FC-9A9F-557641DDAC07}"/>
            </c:ext>
          </c:extLst>
        </c:ser>
        <c:ser>
          <c:idx val="1"/>
          <c:order val="1"/>
          <c:tx>
            <c:strRef>
              <c:f>'Загрузка по ролям'!$C$5</c:f>
              <c:strCache>
                <c:ptCount val="1"/>
                <c:pt idx="0">
                  <c:v>Спрос / План (дн)</c:v>
                </c:pt>
              </c:strCache>
            </c:strRef>
          </c:tx>
          <c:spPr>
            <a:solidFill>
              <a:srgbClr val="C00000"/>
            </a:solidFill>
            <a:ln>
              <a:prstDash val="solid"/>
            </a:ln>
          </c:spPr>
          <c:invertIfNegative val="1"/>
          <c:cat>
            <c:strRef>
              <c:f>'Загрузка по ролям'!$A$6:$A$11</c:f>
              <c:strCache>
                <c:ptCount val="6"/>
                <c:pt idx="0">
                  <c:v>Backend</c:v>
                </c:pt>
                <c:pt idx="1">
                  <c:v>Frontend</c:v>
                </c:pt>
                <c:pt idx="2">
                  <c:v>QA</c:v>
                </c:pt>
                <c:pt idx="3">
                  <c:v>DevOps</c:v>
                </c:pt>
                <c:pt idx="4">
                  <c:v>Analyst</c:v>
                </c:pt>
                <c:pt idx="5">
                  <c:v>Designer</c:v>
                </c:pt>
              </c:strCache>
            </c:strRef>
          </c:cat>
          <c:val>
            <c:numRef>
              <c:f>'Загрузка по ролям'!$C$6:$C$11</c:f>
              <c:numCache>
                <c:formatCode>#\ ##0.0</c:formatCode>
                <c:ptCount val="6"/>
                <c:pt idx="0">
                  <c:v>8</c:v>
                </c:pt>
                <c:pt idx="1">
                  <c:v>13</c:v>
                </c:pt>
                <c:pt idx="2">
                  <c:v>5</c:v>
                </c:pt>
                <c:pt idx="3">
                  <c:v>0</c:v>
                </c:pt>
                <c:pt idx="4">
                  <c:v>3</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9A5-49FC-9A9F-557641DDAC07}"/>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ru-RU"/>
                  <a:t>Роль</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Burndown — </a:t>
            </a:r>
            <a:r>
              <a:rPr lang="ru-RU"/>
              <a:t>сгорание задач (дни)</a:t>
            </a:r>
          </a:p>
        </c:rich>
      </c:tx>
      <c:overlay val="0"/>
    </c:title>
    <c:autoTitleDeleted val="0"/>
    <c:plotArea>
      <c:layout/>
      <c:lineChart>
        <c:grouping val="standard"/>
        <c:varyColors val="1"/>
        <c:ser>
          <c:idx val="0"/>
          <c:order val="0"/>
          <c:tx>
            <c:strRef>
              <c:f>Сгорание!$C$6</c:f>
              <c:strCache>
                <c:ptCount val="1"/>
                <c:pt idx="0">
                  <c:v>Идеальный остаток (дн)</c:v>
                </c:pt>
              </c:strCache>
            </c:strRef>
          </c:tx>
          <c:spPr>
            <a:ln>
              <a:solidFill>
                <a:srgbClr val="808080"/>
              </a:solidFill>
              <a:prstDash val="dash"/>
            </a:ln>
          </c:spPr>
          <c:marker>
            <c:symbol val="circle"/>
            <c:size val="6"/>
            <c:spPr>
              <a:ln>
                <a:prstDash val="solid"/>
              </a:ln>
            </c:spPr>
          </c:marker>
          <c:cat>
            <c:numRef>
              <c:f>Сгорание!$A$7:$A$17</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Сгорание!$C$7:$C$17</c:f>
              <c:numCache>
                <c:formatCode>#\ ##0.0</c:formatCode>
                <c:ptCount val="11"/>
                <c:pt idx="0">
                  <c:v>29</c:v>
                </c:pt>
                <c:pt idx="1">
                  <c:v>26.1</c:v>
                </c:pt>
                <c:pt idx="2">
                  <c:v>23.2</c:v>
                </c:pt>
                <c:pt idx="3">
                  <c:v>20.3</c:v>
                </c:pt>
                <c:pt idx="4">
                  <c:v>17.399999999999999</c:v>
                </c:pt>
                <c:pt idx="5">
                  <c:v>14.5</c:v>
                </c:pt>
                <c:pt idx="6">
                  <c:v>11.6</c:v>
                </c:pt>
                <c:pt idx="7">
                  <c:v>8.6999999999999993</c:v>
                </c:pt>
                <c:pt idx="8">
                  <c:v>5.8</c:v>
                </c:pt>
                <c:pt idx="9">
                  <c:v>2.9</c:v>
                </c:pt>
                <c:pt idx="10">
                  <c:v>0</c:v>
                </c:pt>
              </c:numCache>
            </c:numRef>
          </c:val>
          <c:smooth val="0"/>
          <c:extLst>
            <c:ext xmlns:c16="http://schemas.microsoft.com/office/drawing/2014/chart" uri="{C3380CC4-5D6E-409C-BE32-E72D297353CC}">
              <c16:uniqueId val="{00000000-FCF5-4347-AD1A-AC2507F78435}"/>
            </c:ext>
          </c:extLst>
        </c:ser>
        <c:ser>
          <c:idx val="1"/>
          <c:order val="1"/>
          <c:tx>
            <c:strRef>
              <c:f>Сгорание!$D$6</c:f>
              <c:strCache>
                <c:ptCount val="1"/>
                <c:pt idx="0">
                  <c:v>Факт. остаток (дн)</c:v>
                </c:pt>
              </c:strCache>
            </c:strRef>
          </c:tx>
          <c:spPr>
            <a:ln w="28000">
              <a:solidFill>
                <a:srgbClr val="C00000"/>
              </a:solidFill>
              <a:prstDash val="solid"/>
            </a:ln>
          </c:spPr>
          <c:marker>
            <c:symbol val="circle"/>
            <c:size val="6"/>
            <c:spPr>
              <a:ln>
                <a:prstDash val="solid"/>
              </a:ln>
            </c:spPr>
          </c:marker>
          <c:cat>
            <c:numRef>
              <c:f>Сгорание!$A$7:$A$17</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Сгорание!$D$7:$D$17</c:f>
              <c:numCache>
                <c:formatCode>#\ ##0.0</c:formatCode>
                <c:ptCount val="11"/>
                <c:pt idx="0">
                  <c:v>29</c:v>
                </c:pt>
                <c:pt idx="1">
                  <c:v>28.4</c:v>
                </c:pt>
                <c:pt idx="2">
                  <c:v>26.1</c:v>
                </c:pt>
                <c:pt idx="3">
                  <c:v>24.9</c:v>
                </c:pt>
                <c:pt idx="4">
                  <c:v>20.9</c:v>
                </c:pt>
                <c:pt idx="5">
                  <c:v>17.399999999999999</c:v>
                </c:pt>
                <c:pt idx="6">
                  <c:v>16</c:v>
                </c:pt>
                <c:pt idx="7">
                  <c:v>11.6</c:v>
                </c:pt>
                <c:pt idx="8">
                  <c:v>8.1</c:v>
                </c:pt>
                <c:pt idx="9">
                  <c:v>3.5</c:v>
                </c:pt>
                <c:pt idx="10">
                  <c:v>0</c:v>
                </c:pt>
              </c:numCache>
            </c:numRef>
          </c:val>
          <c:smooth val="0"/>
          <c:extLst>
            <c:ext xmlns:c16="http://schemas.microsoft.com/office/drawing/2014/chart" uri="{C3380CC4-5D6E-409C-BE32-E72D297353CC}">
              <c16:uniqueId val="{00000001-FCF5-4347-AD1A-AC2507F7843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title>
          <c:tx>
            <c:rich>
              <a:bodyPr/>
              <a:lstStyle/>
              <a:p>
                <a:pPr>
                  <a:defRPr/>
                </a:pPr>
                <a:r>
                  <a:rPr lang="ru-RU"/>
                  <a:t>День спринта</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Остаток (дни)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Burn-up: </a:t>
            </a:r>
            <a:r>
              <a:rPr lang="ru-RU"/>
              <a:t>объём </a:t>
            </a:r>
            <a:r>
              <a:rPr lang="en-US"/>
              <a:t>vs </a:t>
            </a:r>
            <a:r>
              <a:rPr lang="ru-RU"/>
              <a:t>сделано</a:t>
            </a:r>
          </a:p>
        </c:rich>
      </c:tx>
      <c:overlay val="0"/>
    </c:title>
    <c:autoTitleDeleted val="0"/>
    <c:plotArea>
      <c:layout/>
      <c:lineChart>
        <c:grouping val="standard"/>
        <c:varyColors val="1"/>
        <c:ser>
          <c:idx val="0"/>
          <c:order val="0"/>
          <c:tx>
            <c:strRef>
              <c:f>Сгорание!$B$21</c:f>
              <c:strCache>
                <c:ptCount val="1"/>
                <c:pt idx="0">
                  <c:v>Накопл.
сделано (дн)</c:v>
                </c:pt>
              </c:strCache>
            </c:strRef>
          </c:tx>
          <c:spPr>
            <a:ln w="28000">
              <a:solidFill>
                <a:srgbClr val="70AD47"/>
              </a:solidFill>
              <a:prstDash val="solid"/>
            </a:ln>
          </c:spPr>
          <c:marker>
            <c:symbol val="circle"/>
            <c:size val="6"/>
            <c:spPr>
              <a:ln>
                <a:prstDash val="solid"/>
              </a:ln>
            </c:spPr>
          </c:marker>
          <c:cat>
            <c:numRef>
              <c:f>Сгорание!$A$22:$A$32</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Сгорание!$B$22:$B$32</c:f>
              <c:numCache>
                <c:formatCode>#\ ##0.0</c:formatCode>
                <c:ptCount val="11"/>
                <c:pt idx="0">
                  <c:v>17</c:v>
                </c:pt>
                <c:pt idx="1">
                  <c:v>38</c:v>
                </c:pt>
                <c:pt idx="2">
                  <c:v>38</c:v>
                </c:pt>
                <c:pt idx="3">
                  <c:v>38</c:v>
                </c:pt>
                <c:pt idx="4">
                  <c:v>38</c:v>
                </c:pt>
                <c:pt idx="5">
                  <c:v>38</c:v>
                </c:pt>
                <c:pt idx="6">
                  <c:v>38</c:v>
                </c:pt>
                <c:pt idx="7">
                  <c:v>38</c:v>
                </c:pt>
                <c:pt idx="8">
                  <c:v>38</c:v>
                </c:pt>
                <c:pt idx="9">
                  <c:v>38</c:v>
                </c:pt>
                <c:pt idx="10">
                  <c:v>38</c:v>
                </c:pt>
              </c:numCache>
            </c:numRef>
          </c:val>
          <c:smooth val="0"/>
          <c:extLst>
            <c:ext xmlns:c16="http://schemas.microsoft.com/office/drawing/2014/chart" uri="{C3380CC4-5D6E-409C-BE32-E72D297353CC}">
              <c16:uniqueId val="{00000000-CE5F-470B-8935-C29049A6A77C}"/>
            </c:ext>
          </c:extLst>
        </c:ser>
        <c:ser>
          <c:idx val="1"/>
          <c:order val="1"/>
          <c:tx>
            <c:strRef>
              <c:f>Сгорание!$C$21</c:f>
              <c:strCache>
                <c:ptCount val="1"/>
                <c:pt idx="0">
                  <c:v>Общий
объём (дн)</c:v>
                </c:pt>
              </c:strCache>
            </c:strRef>
          </c:tx>
          <c:spPr>
            <a:ln>
              <a:solidFill>
                <a:srgbClr val="C00000"/>
              </a:solidFill>
              <a:prstDash val="dash"/>
            </a:ln>
          </c:spPr>
          <c:marker>
            <c:symbol val="circle"/>
            <c:size val="6"/>
            <c:spPr>
              <a:ln>
                <a:prstDash val="solid"/>
              </a:ln>
            </c:spPr>
          </c:marker>
          <c:cat>
            <c:numRef>
              <c:f>Сгорание!$A$22:$A$32</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Сгорание!$C$22:$C$32</c:f>
              <c:numCache>
                <c:formatCode>#\ ##0.0</c:formatCode>
                <c:ptCount val="11"/>
                <c:pt idx="0">
                  <c:v>107</c:v>
                </c:pt>
                <c:pt idx="1">
                  <c:v>107</c:v>
                </c:pt>
                <c:pt idx="2">
                  <c:v>107</c:v>
                </c:pt>
                <c:pt idx="3">
                  <c:v>107</c:v>
                </c:pt>
                <c:pt idx="4">
                  <c:v>107</c:v>
                </c:pt>
                <c:pt idx="5">
                  <c:v>107</c:v>
                </c:pt>
                <c:pt idx="6">
                  <c:v>107</c:v>
                </c:pt>
                <c:pt idx="7">
                  <c:v>107</c:v>
                </c:pt>
                <c:pt idx="8">
                  <c:v>107</c:v>
                </c:pt>
                <c:pt idx="9">
                  <c:v>107</c:v>
                </c:pt>
                <c:pt idx="10">
                  <c:v>107</c:v>
                </c:pt>
              </c:numCache>
            </c:numRef>
          </c:val>
          <c:smooth val="0"/>
          <c:extLst>
            <c:ext xmlns:c16="http://schemas.microsoft.com/office/drawing/2014/chart" uri="{C3380CC4-5D6E-409C-BE32-E72D297353CC}">
              <c16:uniqueId val="{00000001-CE5F-470B-8935-C29049A6A77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Человеко-дни</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Дефекты: найдено </a:t>
            </a:r>
            <a:r>
              <a:rPr lang="en-US"/>
              <a:t>vs </a:t>
            </a:r>
            <a:r>
              <a:rPr lang="ru-RU"/>
              <a:t>закрыто</a:t>
            </a:r>
          </a:p>
        </c:rich>
      </c:tx>
      <c:overlay val="0"/>
    </c:title>
    <c:autoTitleDeleted val="0"/>
    <c:plotArea>
      <c:layout/>
      <c:barChart>
        <c:barDir val="col"/>
        <c:grouping val="clustered"/>
        <c:varyColors val="1"/>
        <c:ser>
          <c:idx val="0"/>
          <c:order val="0"/>
          <c:tx>
            <c:strRef>
              <c:f>Качество!$B$4</c:f>
              <c:strCache>
                <c:ptCount val="1"/>
                <c:pt idx="0">
                  <c:v>Найдено</c:v>
                </c:pt>
              </c:strCache>
            </c:strRef>
          </c:tx>
          <c:spPr>
            <a:solidFill>
              <a:srgbClr val="ED7D31"/>
            </a:solidFill>
            <a:ln>
              <a:prstDash val="solid"/>
            </a:ln>
          </c:spPr>
          <c:invertIfNegative val="1"/>
          <c:cat>
            <c:strRef>
              <c:f>Качество!$A$5:$A$15</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Качество!$B$5:$B$15</c:f>
              <c:numCache>
                <c:formatCode>General</c:formatCode>
                <c:ptCount val="11"/>
                <c:pt idx="0">
                  <c:v>5</c:v>
                </c:pt>
                <c:pt idx="1">
                  <c:v>6</c:v>
                </c:pt>
                <c:pt idx="2">
                  <c:v>2</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28C-4A02-876C-B18FFD822A6F}"/>
            </c:ext>
          </c:extLst>
        </c:ser>
        <c:ser>
          <c:idx val="1"/>
          <c:order val="1"/>
          <c:tx>
            <c:strRef>
              <c:f>Качество!$C$4</c:f>
              <c:strCache>
                <c:ptCount val="1"/>
                <c:pt idx="0">
                  <c:v>Закрыто</c:v>
                </c:pt>
              </c:strCache>
            </c:strRef>
          </c:tx>
          <c:spPr>
            <a:solidFill>
              <a:srgbClr val="70AD47"/>
            </a:solidFill>
            <a:ln>
              <a:prstDash val="solid"/>
            </a:ln>
          </c:spPr>
          <c:invertIfNegative val="1"/>
          <c:cat>
            <c:strRef>
              <c:f>Качество!$A$5:$A$15</c:f>
              <c:strCache>
                <c:ptCount val="11"/>
                <c:pt idx="0">
                  <c:v>Спринт 1</c:v>
                </c:pt>
                <c:pt idx="1">
                  <c:v>Спринт 2</c:v>
                </c:pt>
                <c:pt idx="2">
                  <c:v>Спринт 3</c:v>
                </c:pt>
                <c:pt idx="3">
                  <c:v>Спринт 4</c:v>
                </c:pt>
                <c:pt idx="4">
                  <c:v>Спринт 5</c:v>
                </c:pt>
                <c:pt idx="5">
                  <c:v>Спринт 6</c:v>
                </c:pt>
                <c:pt idx="6">
                  <c:v>Спринт 7</c:v>
                </c:pt>
                <c:pt idx="7">
                  <c:v>Спринт 8</c:v>
                </c:pt>
                <c:pt idx="8">
                  <c:v>Спринт 9</c:v>
                </c:pt>
                <c:pt idx="9">
                  <c:v>Спринт 10</c:v>
                </c:pt>
                <c:pt idx="10">
                  <c:v>Спринт 11</c:v>
                </c:pt>
              </c:strCache>
            </c:strRef>
          </c:cat>
          <c:val>
            <c:numRef>
              <c:f>Качество!$C$5:$C$15</c:f>
              <c:numCache>
                <c:formatCode>General</c:formatCode>
                <c:ptCount val="11"/>
                <c:pt idx="0">
                  <c:v>4</c:v>
                </c:pt>
                <c:pt idx="1">
                  <c:v>6</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28C-4A02-876C-B18FFD822A6F}"/>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ru-RU"/>
                  <a:t>Спринт</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Багов</a:t>
                </a:r>
              </a:p>
            </c:rich>
          </c:tx>
          <c:overlay val="1"/>
        </c:title>
        <c:numFmt formatCode="General"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Баги по спринтам (кол-во)</a:t>
            </a:r>
          </a:p>
        </c:rich>
      </c:tx>
      <c:overlay val="1"/>
    </c:title>
    <c:autoTitleDeleted val="0"/>
    <c:plotArea>
      <c:layout/>
      <c:barChart>
        <c:barDir val="col"/>
        <c:grouping val="stacked"/>
        <c:varyColors val="1"/>
        <c:ser>
          <c:idx val="0"/>
          <c:order val="0"/>
          <c:tx>
            <c:strRef>
              <c:f>Баги!$L$5</c:f>
              <c:strCache>
                <c:ptCount val="1"/>
                <c:pt idx="0">
                  <c:v>Закрыто</c:v>
                </c:pt>
              </c:strCache>
            </c:strRef>
          </c:tx>
          <c:spPr>
            <a:solidFill>
              <a:srgbClr val="70AD47"/>
            </a:solidFill>
            <a:ln>
              <a:prstDash val="solid"/>
            </a:ln>
          </c:spPr>
          <c:invertIfNegative val="1"/>
          <c:cat>
            <c:numRef>
              <c:f>Баги!$J$6:$J$16</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Баги!$L$6:$L$16</c:f>
              <c:numCache>
                <c:formatCode>General</c:formatCode>
                <c:ptCount val="11"/>
                <c:pt idx="0">
                  <c:v>4</c:v>
                </c:pt>
                <c:pt idx="1">
                  <c:v>6</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257-460E-BC44-79C64ED96F79}"/>
            </c:ext>
          </c:extLst>
        </c:ser>
        <c:ser>
          <c:idx val="1"/>
          <c:order val="1"/>
          <c:tx>
            <c:strRef>
              <c:f>Баги!$M$5</c:f>
              <c:strCache>
                <c:ptCount val="1"/>
                <c:pt idx="0">
                  <c:v>Открыто</c:v>
                </c:pt>
              </c:strCache>
            </c:strRef>
          </c:tx>
          <c:spPr>
            <a:solidFill>
              <a:srgbClr val="C00000"/>
            </a:solidFill>
            <a:ln>
              <a:prstDash val="solid"/>
            </a:ln>
          </c:spPr>
          <c:invertIfNegative val="1"/>
          <c:cat>
            <c:numRef>
              <c:f>Баги!$J$6:$J$16</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Баги!$M$6:$M$16</c:f>
              <c:numCache>
                <c:formatCode>General</c:formatCode>
                <c:ptCount val="11"/>
                <c:pt idx="0">
                  <c:v>1</c:v>
                </c:pt>
                <c:pt idx="1">
                  <c:v>0</c:v>
                </c:pt>
                <c:pt idx="2">
                  <c:v>2</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257-460E-BC44-79C64ED96F79}"/>
            </c:ext>
          </c:extLst>
        </c:ser>
        <c:dLbls>
          <c:showLegendKey val="0"/>
          <c:showVal val="0"/>
          <c:showCatName val="0"/>
          <c:showSerName val="0"/>
          <c:showPercent val="0"/>
          <c:showBubbleSize val="0"/>
        </c:dLbls>
        <c:gapWidth val="15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 закрытых по спринтам</a:t>
            </a:r>
          </a:p>
        </c:rich>
      </c:tx>
      <c:overlay val="1"/>
    </c:title>
    <c:autoTitleDeleted val="0"/>
    <c:plotArea>
      <c:layout/>
      <c:barChart>
        <c:barDir val="col"/>
        <c:grouping val="clustered"/>
        <c:varyColors val="1"/>
        <c:ser>
          <c:idx val="0"/>
          <c:order val="0"/>
          <c:tx>
            <c:strRef>
              <c:f>Баги!$N$5</c:f>
              <c:strCache>
                <c:ptCount val="1"/>
                <c:pt idx="0">
                  <c:v>% закрытых</c:v>
                </c:pt>
              </c:strCache>
            </c:strRef>
          </c:tx>
          <c:spPr>
            <a:solidFill>
              <a:srgbClr val="4472C4"/>
            </a:solidFill>
            <a:ln>
              <a:prstDash val="solid"/>
            </a:ln>
          </c:spPr>
          <c:invertIfNegative val="1"/>
          <c:cat>
            <c:numRef>
              <c:f>Баги!$J$6:$J$16</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Баги!$N$6:$N$16</c:f>
              <c:numCache>
                <c:formatCode>0%</c:formatCode>
                <c:ptCount val="11"/>
                <c:pt idx="0">
                  <c:v>0.8</c:v>
                </c:pt>
                <c:pt idx="1">
                  <c:v>1</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6FB-44A1-B4E6-A2EF75C14B8F}"/>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Доля багов по спринтам</a:t>
            </a:r>
          </a:p>
        </c:rich>
      </c:tx>
      <c:overlay val="1"/>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1"/>
            <c:showLeaderLines val="1"/>
            <c:extLst>
              <c:ext xmlns:c15="http://schemas.microsoft.com/office/drawing/2012/chart" uri="{CE6537A1-D6FC-4f65-9D91-7224C49458BB}"/>
            </c:extLst>
          </c:dLbls>
          <c:cat>
            <c:numRef>
              <c:f>Баги!$J$6:$J$16</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Баги!$P$6:$P$16</c:f>
              <c:numCache>
                <c:formatCode>General</c:formatCode>
                <c:ptCount val="11"/>
                <c:pt idx="0">
                  <c:v>5</c:v>
                </c:pt>
                <c:pt idx="1">
                  <c:v>6</c:v>
                </c:pt>
                <c:pt idx="2">
                  <c:v>2</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0-4CDE-466B-965C-A8E422F2EFCE}"/>
            </c:ext>
          </c:extLst>
        </c:ser>
        <c:dLbls>
          <c:showLegendKey val="0"/>
          <c:showVal val="0"/>
          <c:showCatName val="0"/>
          <c:showSerName val="0"/>
          <c:showPercent val="1"/>
          <c:showBubbleSize val="1"/>
          <c:showLeaderLines val="1"/>
        </c:dLbls>
        <c:firstSliceAng val="0"/>
      </c:pieChart>
    </c:plotArea>
    <c:legend>
      <c:legendPos val="r"/>
      <c:overlay val="0"/>
    </c:legend>
    <c:plotVisOnly val="0"/>
    <c:dispBlanksAs val="gap"/>
    <c:showDLblsOverMax val="1"/>
  </c:chart>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Cumulative Flow Diagram</a:t>
            </a:r>
          </a:p>
        </c:rich>
      </c:tx>
      <c:overlay val="0"/>
    </c:title>
    <c:autoTitleDeleted val="0"/>
    <c:plotArea>
      <c:layout/>
      <c:barChart>
        <c:barDir val="col"/>
        <c:grouping val="stacked"/>
        <c:varyColors val="1"/>
        <c:ser>
          <c:idx val="0"/>
          <c:order val="0"/>
          <c:tx>
            <c:strRef>
              <c:f>CFD!$B$4</c:f>
              <c:strCache>
                <c:ptCount val="1"/>
                <c:pt idx="0">
                  <c:v>To Do</c:v>
                </c:pt>
              </c:strCache>
            </c:strRef>
          </c:tx>
          <c:spPr>
            <a:solidFill>
              <a:srgbClr val="BFBFBF"/>
            </a:solidFill>
            <a:ln>
              <a:prstDash val="solid"/>
            </a:ln>
          </c:spPr>
          <c:invertIfNegative val="1"/>
          <c:cat>
            <c:numRef>
              <c:f>CFD!$A$5:$A$15</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CFD!$B$5:$B$15</c:f>
              <c:numCache>
                <c:formatCode>General</c:formatCode>
                <c:ptCount val="11"/>
                <c:pt idx="0">
                  <c:v>8</c:v>
                </c:pt>
                <c:pt idx="1">
                  <c:v>7</c:v>
                </c:pt>
                <c:pt idx="2">
                  <c:v>6</c:v>
                </c:pt>
                <c:pt idx="3">
                  <c:v>5</c:v>
                </c:pt>
                <c:pt idx="4">
                  <c:v>4</c:v>
                </c:pt>
                <c:pt idx="5">
                  <c:v>3</c:v>
                </c:pt>
                <c:pt idx="6">
                  <c:v>3</c:v>
                </c:pt>
                <c:pt idx="7">
                  <c:v>2</c:v>
                </c:pt>
                <c:pt idx="8">
                  <c:v>1</c:v>
                </c:pt>
                <c:pt idx="9">
                  <c:v>1</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4C3-4BC0-A669-31C572065D2D}"/>
            </c:ext>
          </c:extLst>
        </c:ser>
        <c:ser>
          <c:idx val="1"/>
          <c:order val="1"/>
          <c:tx>
            <c:strRef>
              <c:f>CFD!$C$4</c:f>
              <c:strCache>
                <c:ptCount val="1"/>
                <c:pt idx="0">
                  <c:v>В работе</c:v>
                </c:pt>
              </c:strCache>
            </c:strRef>
          </c:tx>
          <c:spPr>
            <a:solidFill>
              <a:srgbClr val="FFC000"/>
            </a:solidFill>
            <a:ln>
              <a:prstDash val="solid"/>
            </a:ln>
          </c:spPr>
          <c:invertIfNegative val="1"/>
          <c:cat>
            <c:numRef>
              <c:f>CFD!$A$5:$A$15</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CFD!$C$5:$C$15</c:f>
              <c:numCache>
                <c:formatCode>General</c:formatCode>
                <c:ptCount val="11"/>
                <c:pt idx="0">
                  <c:v>0</c:v>
                </c:pt>
                <c:pt idx="1">
                  <c:v>1</c:v>
                </c:pt>
                <c:pt idx="2">
                  <c:v>2</c:v>
                </c:pt>
                <c:pt idx="3">
                  <c:v>2</c:v>
                </c:pt>
                <c:pt idx="4">
                  <c:v>3</c:v>
                </c:pt>
                <c:pt idx="5">
                  <c:v>3</c:v>
                </c:pt>
                <c:pt idx="6">
                  <c:v>2</c:v>
                </c:pt>
                <c:pt idx="7">
                  <c:v>2</c:v>
                </c:pt>
                <c:pt idx="8">
                  <c:v>2</c:v>
                </c:pt>
                <c:pt idx="9">
                  <c:v>1</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4C3-4BC0-A669-31C572065D2D}"/>
            </c:ext>
          </c:extLst>
        </c:ser>
        <c:ser>
          <c:idx val="2"/>
          <c:order val="2"/>
          <c:tx>
            <c:strRef>
              <c:f>CFD!$D$4</c:f>
              <c:strCache>
                <c:ptCount val="1"/>
                <c:pt idx="0">
                  <c:v>Готово</c:v>
                </c:pt>
              </c:strCache>
            </c:strRef>
          </c:tx>
          <c:spPr>
            <a:solidFill>
              <a:srgbClr val="70AD47"/>
            </a:solidFill>
            <a:ln>
              <a:prstDash val="solid"/>
            </a:ln>
          </c:spPr>
          <c:invertIfNegative val="1"/>
          <c:cat>
            <c:numRef>
              <c:f>CFD!$A$5:$A$15</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CFD!$D$5:$D$15</c:f>
              <c:numCache>
                <c:formatCode>General</c:formatCode>
                <c:ptCount val="11"/>
                <c:pt idx="0">
                  <c:v>0</c:v>
                </c:pt>
                <c:pt idx="1">
                  <c:v>0</c:v>
                </c:pt>
                <c:pt idx="2">
                  <c:v>0</c:v>
                </c:pt>
                <c:pt idx="3">
                  <c:v>1</c:v>
                </c:pt>
                <c:pt idx="4">
                  <c:v>1</c:v>
                </c:pt>
                <c:pt idx="5">
                  <c:v>2</c:v>
                </c:pt>
                <c:pt idx="6">
                  <c:v>3</c:v>
                </c:pt>
                <c:pt idx="7">
                  <c:v>4</c:v>
                </c:pt>
                <c:pt idx="8">
                  <c:v>5</c:v>
                </c:pt>
                <c:pt idx="9">
                  <c:v>6</c:v>
                </c:pt>
                <c:pt idx="10">
                  <c:v>8</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4C3-4BC0-A669-31C572065D2D}"/>
            </c:ext>
          </c:extLst>
        </c:ser>
        <c:dLbls>
          <c:showLegendKey val="0"/>
          <c:showVal val="0"/>
          <c:showCatName val="0"/>
          <c:showSerName val="0"/>
          <c:showPercent val="0"/>
          <c:showBubbleSize val="0"/>
        </c:dLbls>
        <c:gapWidth val="150"/>
        <c:overlap val="100"/>
        <c:axId val="10"/>
        <c:axId val="100"/>
      </c:barChart>
      <c:catAx>
        <c:axId val="10"/>
        <c:scaling>
          <c:orientation val="minMax"/>
        </c:scaling>
        <c:delete val="0"/>
        <c:axPos val="b"/>
        <c:title>
          <c:tx>
            <c:rich>
              <a:bodyPr/>
              <a:lstStyle/>
              <a:p>
                <a:pPr>
                  <a:defRPr/>
                </a:pPr>
                <a:r>
                  <a:rPr lang="ru-RU"/>
                  <a:t>День спринта</a:t>
                </a:r>
              </a:p>
            </c:rich>
          </c:tx>
          <c:overlay val="1"/>
        </c:title>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ru-RU"/>
                  <a:t>Задач</a:t>
                </a:r>
              </a:p>
            </c:rich>
          </c:tx>
          <c:overlay val="1"/>
        </c:title>
        <c:numFmt formatCode="General" sourceLinked="1"/>
        <c:majorTickMark val="none"/>
        <c:minorTickMark val="none"/>
        <c:tickLblPos val="nextTo"/>
        <c:spPr>
          <a:ln>
            <a:solidFill>
              <a:srgbClr val="808080"/>
            </a:solidFill>
            <a:prstDash val="solid"/>
          </a:ln>
        </c:spPr>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Velocity: </a:t>
            </a:r>
            <a:r>
              <a:rPr lang="ru-RU"/>
              <a:t>тренд и прогноз</a:t>
            </a:r>
          </a:p>
        </c:rich>
      </c:tx>
      <c:overlay val="0"/>
    </c:title>
    <c:autoTitleDeleted val="0"/>
    <c:plotArea>
      <c:layout/>
      <c:lineChart>
        <c:grouping val="standard"/>
        <c:varyColors val="1"/>
        <c:ser>
          <c:idx val="0"/>
          <c:order val="0"/>
          <c:spPr>
            <a:ln w="26000">
              <a:solidFill>
                <a:srgbClr val="C00000"/>
              </a:solidFill>
              <a:prstDash val="solid"/>
            </a:ln>
          </c:spPr>
          <c:marker>
            <c:symbol val="none"/>
          </c:marker>
          <c:trendline>
            <c:trendlineType val="linear"/>
            <c:forward val="3"/>
            <c:dispRSqr val="1"/>
            <c:dispEq val="0"/>
            <c:trendlineLbl>
              <c:numFmt formatCode="General" sourceLinked="0"/>
            </c:trendlineLbl>
          </c:trendline>
          <c:cat>
            <c:numRef>
              <c:f>'Метрики и прогноз'!$E$3:$E$13</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'Метрики и прогноз'!$F$2:$F$13</c:f>
              <c:numCache>
                <c:formatCode>General</c:formatCode>
                <c:ptCount val="12"/>
                <c:pt idx="1">
                  <c:v>17</c:v>
                </c:pt>
                <c:pt idx="2">
                  <c:v>21</c:v>
                </c:pt>
                <c:pt idx="3">
                  <c:v>0</c:v>
                </c:pt>
                <c:pt idx="4">
                  <c:v>0</c:v>
                </c:pt>
                <c:pt idx="5">
                  <c:v>0</c:v>
                </c:pt>
                <c:pt idx="6">
                  <c:v>0</c:v>
                </c:pt>
                <c:pt idx="7">
                  <c:v>0</c:v>
                </c:pt>
                <c:pt idx="8">
                  <c:v>0</c:v>
                </c:pt>
                <c:pt idx="9">
                  <c:v>0</c:v>
                </c:pt>
                <c:pt idx="10">
                  <c:v>0</c:v>
                </c:pt>
                <c:pt idx="11">
                  <c:v>0</c:v>
                </c:pt>
              </c:numCache>
            </c:numRef>
          </c:val>
          <c:smooth val="1"/>
          <c:extLst>
            <c:ext xmlns:c16="http://schemas.microsoft.com/office/drawing/2014/chart" uri="{C3380CC4-5D6E-409C-BE32-E72D297353CC}">
              <c16:uniqueId val="{00000001-D88C-4B3F-AA34-F32459D127D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Throughput </a:t>
            </a:r>
            <a:r>
              <a:rPr lang="ru-RU"/>
              <a:t>по спринтам</a:t>
            </a:r>
          </a:p>
        </c:rich>
      </c:tx>
      <c:overlay val="0"/>
    </c:title>
    <c:autoTitleDeleted val="0"/>
    <c:plotArea>
      <c:layout/>
      <c:barChart>
        <c:barDir val="col"/>
        <c:grouping val="clustered"/>
        <c:varyColors val="1"/>
        <c:ser>
          <c:idx val="0"/>
          <c:order val="0"/>
          <c:tx>
            <c:strRef>
              <c:f>'Метрики и прогноз'!$B$11</c:f>
              <c:strCache>
                <c:ptCount val="1"/>
                <c:pt idx="0">
                  <c:v>Задач сделано</c:v>
                </c:pt>
              </c:strCache>
            </c:strRef>
          </c:tx>
          <c:spPr>
            <a:solidFill>
              <a:srgbClr val="4472C4"/>
            </a:solidFill>
            <a:ln>
              <a:prstDash val="solid"/>
            </a:ln>
          </c:spPr>
          <c:invertIfNegative val="1"/>
          <c:cat>
            <c:numRef>
              <c:f>'Метрики и прогноз'!$A$12:$A$22</c:f>
              <c:numCache>
                <c:formatCode>General</c:formatCode>
                <c:ptCount val="11"/>
                <c:pt idx="0">
                  <c:v>1</c:v>
                </c:pt>
                <c:pt idx="1">
                  <c:v>2</c:v>
                </c:pt>
                <c:pt idx="2">
                  <c:v>3</c:v>
                </c:pt>
                <c:pt idx="3">
                  <c:v>4</c:v>
                </c:pt>
                <c:pt idx="4">
                  <c:v>5</c:v>
                </c:pt>
                <c:pt idx="5">
                  <c:v>6</c:v>
                </c:pt>
                <c:pt idx="6">
                  <c:v>7</c:v>
                </c:pt>
                <c:pt idx="7">
                  <c:v>8</c:v>
                </c:pt>
                <c:pt idx="8">
                  <c:v>9</c:v>
                </c:pt>
                <c:pt idx="9">
                  <c:v>10</c:v>
                </c:pt>
                <c:pt idx="10">
                  <c:v>11</c:v>
                </c:pt>
              </c:numCache>
            </c:numRef>
          </c:cat>
          <c:val>
            <c:numRef>
              <c:f>'Метрики и прогноз'!$B$12:$B$22</c:f>
              <c:numCache>
                <c:formatCode>General</c:formatCode>
                <c:ptCount val="11"/>
                <c:pt idx="0">
                  <c:v>3</c:v>
                </c:pt>
                <c:pt idx="1">
                  <c:v>4</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DC2-47DD-89B9-8C18AB394BDD}"/>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Парето: причины багов</a:t>
            </a:r>
          </a:p>
        </c:rich>
      </c:tx>
      <c:overlay val="0"/>
    </c:title>
    <c:autoTitleDeleted val="0"/>
    <c:plotArea>
      <c:layout/>
      <c:barChart>
        <c:barDir val="col"/>
        <c:grouping val="clustered"/>
        <c:varyColors val="1"/>
        <c:ser>
          <c:idx val="0"/>
          <c:order val="0"/>
          <c:tx>
            <c:strRef>
              <c:f>'Метрики и прогноз'!$B$47</c:f>
              <c:strCache>
                <c:ptCount val="1"/>
                <c:pt idx="0">
                  <c:v>Кол-во</c:v>
                </c:pt>
              </c:strCache>
            </c:strRef>
          </c:tx>
          <c:spPr>
            <a:solidFill>
              <a:srgbClr val="ED7D31"/>
            </a:solidFill>
            <a:ln>
              <a:prstDash val="solid"/>
            </a:ln>
          </c:spPr>
          <c:invertIfNegative val="1"/>
          <c:cat>
            <c:strRef>
              <c:f>'Метрики и прогноз'!$A$48:$A$53</c:f>
              <c:strCache>
                <c:ptCount val="6"/>
                <c:pt idx="0">
                  <c:v>Интеграция</c:v>
                </c:pt>
                <c:pt idx="1">
                  <c:v>Код</c:v>
                </c:pt>
                <c:pt idx="2">
                  <c:v>Требования</c:v>
                </c:pt>
                <c:pt idx="3">
                  <c:v>Тестирование</c:v>
                </c:pt>
                <c:pt idx="4">
                  <c:v>Данные</c:v>
                </c:pt>
                <c:pt idx="5">
                  <c:v>Инфраструктура</c:v>
                </c:pt>
              </c:strCache>
            </c:strRef>
          </c:cat>
          <c:val>
            <c:numRef>
              <c:f>'Метрики и прогноз'!$B$48:$B$53</c:f>
              <c:numCache>
                <c:formatCode>General</c:formatCode>
                <c:ptCount val="6"/>
                <c:pt idx="0">
                  <c:v>4</c:v>
                </c:pt>
                <c:pt idx="1">
                  <c:v>3</c:v>
                </c:pt>
                <c:pt idx="2">
                  <c:v>3</c:v>
                </c:pt>
                <c:pt idx="3">
                  <c:v>2</c:v>
                </c:pt>
                <c:pt idx="4">
                  <c:v>1</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D14-4EBD-8346-2F552A2BF27D}"/>
            </c:ext>
          </c:extLst>
        </c:ser>
        <c:dLbls>
          <c:showLegendKey val="0"/>
          <c:showVal val="0"/>
          <c:showCatName val="0"/>
          <c:showSerName val="0"/>
          <c:showPercent val="0"/>
          <c:showBubbleSize val="0"/>
        </c:dLbls>
        <c:gapWidth val="150"/>
        <c:axId val="10"/>
        <c:axId val="100"/>
      </c:barChart>
      <c:lineChart>
        <c:grouping val="standard"/>
        <c:varyColors val="1"/>
        <c:ser>
          <c:idx val="1"/>
          <c:order val="1"/>
          <c:tx>
            <c:strRef>
              <c:f>'Метрики и прогноз'!$C$47</c:f>
              <c:strCache>
                <c:ptCount val="1"/>
                <c:pt idx="0">
                  <c:v>Накопл. %</c:v>
                </c:pt>
              </c:strCache>
            </c:strRef>
          </c:tx>
          <c:spPr>
            <a:ln>
              <a:solidFill>
                <a:srgbClr val="C00000"/>
              </a:solidFill>
              <a:prstDash val="solid"/>
            </a:ln>
          </c:spPr>
          <c:marker>
            <c:symbol val="none"/>
          </c:marker>
          <c:val>
            <c:numRef>
              <c:f>'Метрики и прогноз'!$C$48:$C$53</c:f>
              <c:numCache>
                <c:formatCode>0%</c:formatCode>
                <c:ptCount val="6"/>
                <c:pt idx="0">
                  <c:v>0.30769230769230771</c:v>
                </c:pt>
                <c:pt idx="1">
                  <c:v>0.53846153846153844</c:v>
                </c:pt>
                <c:pt idx="2">
                  <c:v>0.76923076923076927</c:v>
                </c:pt>
                <c:pt idx="3">
                  <c:v>0.92307692307692313</c:v>
                </c:pt>
                <c:pt idx="4">
                  <c:v>1</c:v>
                </c:pt>
                <c:pt idx="5">
                  <c:v>1</c:v>
                </c:pt>
              </c:numCache>
            </c:numRef>
          </c:val>
          <c:smooth val="1"/>
          <c:extLst>
            <c:ext xmlns:c16="http://schemas.microsoft.com/office/drawing/2014/chart" uri="{C3380CC4-5D6E-409C-BE32-E72D297353CC}">
              <c16:uniqueId val="{00000001-FD14-4EBD-8346-2F552A2BF27D}"/>
            </c:ext>
          </c:extLst>
        </c:ser>
        <c:dLbls>
          <c:showLegendKey val="0"/>
          <c:showVal val="0"/>
          <c:showCatName val="0"/>
          <c:showSerName val="0"/>
          <c:showPercent val="0"/>
          <c:showBubbleSize val="0"/>
        </c:dLbls>
        <c:marker val="1"/>
        <c:smooth val="0"/>
        <c:axId val="10"/>
        <c:axId val="2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valAx>
        <c:axId val="200"/>
        <c:scaling>
          <c:orientation val="minMax"/>
        </c:scaling>
        <c:delete val="1"/>
        <c:axPos val="r"/>
        <c:majorGridlines/>
        <c:numFmt formatCode="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Нагрузка по ролям: ёмкость </a:t>
            </a:r>
            <a:r>
              <a:rPr lang="en-US"/>
              <a:t>vs </a:t>
            </a:r>
            <a:r>
              <a:rPr lang="ru-RU"/>
              <a:t>спрос</a:t>
            </a:r>
          </a:p>
        </c:rich>
      </c:tx>
      <c:overlay val="0"/>
    </c:title>
    <c:autoTitleDeleted val="0"/>
    <c:plotArea>
      <c:layout/>
      <c:radarChart>
        <c:radarStyle val="filled"/>
        <c:varyColors val="1"/>
        <c:ser>
          <c:idx val="0"/>
          <c:order val="0"/>
          <c:tx>
            <c:strRef>
              <c:f>'Ёмкость на горизонт'!$B$11</c:f>
              <c:strCache>
                <c:ptCount val="1"/>
                <c:pt idx="0">
                  <c:v>Ёмкость (дн)</c:v>
                </c:pt>
              </c:strCache>
            </c:strRef>
          </c:tx>
          <c:spPr>
            <a:ln>
              <a:prstDash val="solid"/>
            </a:ln>
          </c:spPr>
          <c:cat>
            <c:strRef>
              <c:f>'Ёмкость на горизонт'!$A$12:$A$17</c:f>
              <c:strCache>
                <c:ptCount val="6"/>
                <c:pt idx="0">
                  <c:v>Backend</c:v>
                </c:pt>
                <c:pt idx="1">
                  <c:v>Frontend</c:v>
                </c:pt>
                <c:pt idx="2">
                  <c:v>QA</c:v>
                </c:pt>
                <c:pt idx="3">
                  <c:v>DevOps</c:v>
                </c:pt>
                <c:pt idx="4">
                  <c:v>Analyst</c:v>
                </c:pt>
                <c:pt idx="5">
                  <c:v>Designer</c:v>
                </c:pt>
              </c:strCache>
            </c:strRef>
          </c:cat>
          <c:val>
            <c:numRef>
              <c:f>'Ёмкость на горизонт'!$B$12:$B$17</c:f>
              <c:numCache>
                <c:formatCode>#\ ##0.0</c:formatCode>
                <c:ptCount val="6"/>
                <c:pt idx="0">
                  <c:v>339.99999999999989</c:v>
                </c:pt>
                <c:pt idx="1">
                  <c:v>258.39999999999992</c:v>
                </c:pt>
                <c:pt idx="2">
                  <c:v>155.52000000000001</c:v>
                </c:pt>
                <c:pt idx="3">
                  <c:v>69.11999999999999</c:v>
                </c:pt>
                <c:pt idx="4">
                  <c:v>127.6</c:v>
                </c:pt>
                <c:pt idx="5">
                  <c:v>69.11999999999999</c:v>
                </c:pt>
              </c:numCache>
            </c:numRef>
          </c:val>
          <c:extLst>
            <c:ext xmlns:c16="http://schemas.microsoft.com/office/drawing/2014/chart" uri="{C3380CC4-5D6E-409C-BE32-E72D297353CC}">
              <c16:uniqueId val="{00000000-5C4E-4FBF-A10B-92DF366C34FC}"/>
            </c:ext>
          </c:extLst>
        </c:ser>
        <c:ser>
          <c:idx val="1"/>
          <c:order val="1"/>
          <c:tx>
            <c:strRef>
              <c:f>'Ёмкость на горизонт'!$C$11</c:f>
              <c:strCache>
                <c:ptCount val="1"/>
                <c:pt idx="0">
                  <c:v>Спрос (дн)</c:v>
                </c:pt>
              </c:strCache>
            </c:strRef>
          </c:tx>
          <c:spPr>
            <a:ln>
              <a:prstDash val="solid"/>
            </a:ln>
          </c:spPr>
          <c:cat>
            <c:strRef>
              <c:f>'Ёмкость на горизонт'!$A$12:$A$17</c:f>
              <c:strCache>
                <c:ptCount val="6"/>
                <c:pt idx="0">
                  <c:v>Backend</c:v>
                </c:pt>
                <c:pt idx="1">
                  <c:v>Frontend</c:v>
                </c:pt>
                <c:pt idx="2">
                  <c:v>QA</c:v>
                </c:pt>
                <c:pt idx="3">
                  <c:v>DevOps</c:v>
                </c:pt>
                <c:pt idx="4">
                  <c:v>Analyst</c:v>
                </c:pt>
                <c:pt idx="5">
                  <c:v>Designer</c:v>
                </c:pt>
              </c:strCache>
            </c:strRef>
          </c:cat>
          <c:val>
            <c:numRef>
              <c:f>'Ёмкость на горизонт'!$C$12:$C$17</c:f>
              <c:numCache>
                <c:formatCode>#\ ##0.0</c:formatCode>
                <c:ptCount val="6"/>
                <c:pt idx="0">
                  <c:v>35</c:v>
                </c:pt>
                <c:pt idx="1">
                  <c:v>29</c:v>
                </c:pt>
                <c:pt idx="2">
                  <c:v>20</c:v>
                </c:pt>
                <c:pt idx="3">
                  <c:v>7</c:v>
                </c:pt>
                <c:pt idx="4">
                  <c:v>11</c:v>
                </c:pt>
                <c:pt idx="5">
                  <c:v>5</c:v>
                </c:pt>
              </c:numCache>
            </c:numRef>
          </c:val>
          <c:extLst>
            <c:ext xmlns:c16="http://schemas.microsoft.com/office/drawing/2014/chart" uri="{C3380CC4-5D6E-409C-BE32-E72D297353CC}">
              <c16:uniqueId val="{00000001-5C4E-4FBF-A10B-92DF366C34FC}"/>
            </c:ext>
          </c:extLst>
        </c:ser>
        <c:dLbls>
          <c:showLegendKey val="0"/>
          <c:showVal val="0"/>
          <c:showCatName val="0"/>
          <c:showSerName val="0"/>
          <c:showPercent val="0"/>
          <c:showBubbleSize val="0"/>
        </c:dLbls>
        <c:axId val="10"/>
        <c:axId val="100"/>
      </c:rad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 ##0.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Burn-up </a:t>
            </a:r>
            <a:r>
              <a:rPr lang="ru-RU"/>
              <a:t>к релизу</a:t>
            </a:r>
          </a:p>
        </c:rich>
      </c:tx>
      <c:overlay val="0"/>
    </c:title>
    <c:autoTitleDeleted val="0"/>
    <c:plotArea>
      <c:layout/>
      <c:lineChart>
        <c:grouping val="standard"/>
        <c:varyColors val="1"/>
        <c:ser>
          <c:idx val="0"/>
          <c:order val="0"/>
          <c:tx>
            <c:strRef>
              <c:f>'Метрики и прогноз'!$F$18</c:f>
              <c:strCache>
                <c:ptCount val="1"/>
                <c:pt idx="0">
                  <c:v>Сделано (накопл.)</c:v>
                </c:pt>
              </c:strCache>
            </c:strRef>
          </c:tx>
          <c:spPr>
            <a:ln w="26000">
              <a:solidFill>
                <a:srgbClr val="70AD47"/>
              </a:solidFill>
              <a:prstDash val="solid"/>
            </a:ln>
          </c:spPr>
          <c:marker>
            <c:symbol val="none"/>
          </c:marker>
          <c:cat>
            <c:numRef>
              <c:f>'Метрики и прогноз'!$E$19:$E$29</c:f>
              <c:numCache>
                <c:formatCode>#\ ##0.0</c:formatCode>
                <c:ptCount val="11"/>
                <c:pt idx="0">
                  <c:v>1</c:v>
                </c:pt>
                <c:pt idx="1">
                  <c:v>2</c:v>
                </c:pt>
                <c:pt idx="2">
                  <c:v>3</c:v>
                </c:pt>
                <c:pt idx="3">
                  <c:v>4</c:v>
                </c:pt>
                <c:pt idx="4">
                  <c:v>5</c:v>
                </c:pt>
                <c:pt idx="5">
                  <c:v>6</c:v>
                </c:pt>
                <c:pt idx="6">
                  <c:v>7</c:v>
                </c:pt>
                <c:pt idx="7">
                  <c:v>8</c:v>
                </c:pt>
                <c:pt idx="8">
                  <c:v>9</c:v>
                </c:pt>
                <c:pt idx="9">
                  <c:v>10</c:v>
                </c:pt>
                <c:pt idx="10">
                  <c:v>11</c:v>
                </c:pt>
              </c:numCache>
            </c:numRef>
          </c:cat>
          <c:val>
            <c:numRef>
              <c:f>'Метрики и прогноз'!$F$19:$F$29</c:f>
              <c:numCache>
                <c:formatCode>#\ ##0.0</c:formatCode>
                <c:ptCount val="11"/>
                <c:pt idx="0">
                  <c:v>17</c:v>
                </c:pt>
                <c:pt idx="1">
                  <c:v>38</c:v>
                </c:pt>
                <c:pt idx="2">
                  <c:v>38</c:v>
                </c:pt>
                <c:pt idx="3">
                  <c:v>38</c:v>
                </c:pt>
                <c:pt idx="4">
                  <c:v>38</c:v>
                </c:pt>
                <c:pt idx="5">
                  <c:v>38</c:v>
                </c:pt>
                <c:pt idx="6">
                  <c:v>38</c:v>
                </c:pt>
                <c:pt idx="7">
                  <c:v>38</c:v>
                </c:pt>
                <c:pt idx="8">
                  <c:v>38</c:v>
                </c:pt>
                <c:pt idx="9">
                  <c:v>38</c:v>
                </c:pt>
                <c:pt idx="10">
                  <c:v>38</c:v>
                </c:pt>
              </c:numCache>
            </c:numRef>
          </c:val>
          <c:smooth val="1"/>
          <c:extLst>
            <c:ext xmlns:c16="http://schemas.microsoft.com/office/drawing/2014/chart" uri="{C3380CC4-5D6E-409C-BE32-E72D297353CC}">
              <c16:uniqueId val="{00000000-A759-41A7-8A99-1F985AD13F6E}"/>
            </c:ext>
          </c:extLst>
        </c:ser>
        <c:ser>
          <c:idx val="1"/>
          <c:order val="1"/>
          <c:tx>
            <c:strRef>
              <c:f>'Метрики и прогноз'!$G$18</c:f>
              <c:strCache>
                <c:ptCount val="1"/>
                <c:pt idx="0">
                  <c:v>Объём (scope)</c:v>
                </c:pt>
              </c:strCache>
            </c:strRef>
          </c:tx>
          <c:spPr>
            <a:ln>
              <a:solidFill>
                <a:srgbClr val="C00000"/>
              </a:solidFill>
              <a:prstDash val="dash"/>
            </a:ln>
          </c:spPr>
          <c:marker>
            <c:symbol val="none"/>
          </c:marker>
          <c:cat>
            <c:numRef>
              <c:f>'Метрики и прогноз'!$E$19:$E$29</c:f>
              <c:numCache>
                <c:formatCode>#\ ##0.0</c:formatCode>
                <c:ptCount val="11"/>
                <c:pt idx="0">
                  <c:v>1</c:v>
                </c:pt>
                <c:pt idx="1">
                  <c:v>2</c:v>
                </c:pt>
                <c:pt idx="2">
                  <c:v>3</c:v>
                </c:pt>
                <c:pt idx="3">
                  <c:v>4</c:v>
                </c:pt>
                <c:pt idx="4">
                  <c:v>5</c:v>
                </c:pt>
                <c:pt idx="5">
                  <c:v>6</c:v>
                </c:pt>
                <c:pt idx="6">
                  <c:v>7</c:v>
                </c:pt>
                <c:pt idx="7">
                  <c:v>8</c:v>
                </c:pt>
                <c:pt idx="8">
                  <c:v>9</c:v>
                </c:pt>
                <c:pt idx="9">
                  <c:v>10</c:v>
                </c:pt>
                <c:pt idx="10">
                  <c:v>11</c:v>
                </c:pt>
              </c:numCache>
            </c:numRef>
          </c:cat>
          <c:val>
            <c:numRef>
              <c:f>'Метрики и прогноз'!$G$19:$G$29</c:f>
              <c:numCache>
                <c:formatCode>#\ ##0.0</c:formatCode>
                <c:ptCount val="11"/>
                <c:pt idx="0">
                  <c:v>107</c:v>
                </c:pt>
                <c:pt idx="1">
                  <c:v>107</c:v>
                </c:pt>
                <c:pt idx="2">
                  <c:v>107</c:v>
                </c:pt>
                <c:pt idx="3">
                  <c:v>107</c:v>
                </c:pt>
                <c:pt idx="4">
                  <c:v>107</c:v>
                </c:pt>
                <c:pt idx="5">
                  <c:v>107</c:v>
                </c:pt>
                <c:pt idx="6">
                  <c:v>107</c:v>
                </c:pt>
                <c:pt idx="7">
                  <c:v>107</c:v>
                </c:pt>
                <c:pt idx="8">
                  <c:v>107</c:v>
                </c:pt>
                <c:pt idx="9">
                  <c:v>107</c:v>
                </c:pt>
                <c:pt idx="10">
                  <c:v>107</c:v>
                </c:pt>
              </c:numCache>
            </c:numRef>
          </c:val>
          <c:smooth val="1"/>
          <c:extLst>
            <c:ext xmlns:c16="http://schemas.microsoft.com/office/drawing/2014/chart" uri="{C3380CC4-5D6E-409C-BE32-E72D297353CC}">
              <c16:uniqueId val="{00000001-A759-41A7-8A99-1F985AD13F6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 ##0.0"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 ##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Cycle time (</a:t>
            </a:r>
            <a:r>
              <a:rPr lang="ru-RU"/>
              <a:t>контрольная карта)</a:t>
            </a:r>
          </a:p>
        </c:rich>
      </c:tx>
      <c:overlay val="0"/>
    </c:title>
    <c:autoTitleDeleted val="0"/>
    <c:plotArea>
      <c:layout/>
      <c:lineChart>
        <c:grouping val="standard"/>
        <c:varyColors val="1"/>
        <c:ser>
          <c:idx val="0"/>
          <c:order val="0"/>
          <c:tx>
            <c:strRef>
              <c:f>'Cycle time'!$G$9</c:f>
              <c:strCache>
                <c:ptCount val="1"/>
                <c:pt idx="0">
                  <c:v>Cycle (дн)</c:v>
                </c:pt>
              </c:strCache>
            </c:strRef>
          </c:tx>
          <c:spPr>
            <a:ln w="20000">
              <a:solidFill>
                <a:srgbClr val="4472C4"/>
              </a:solidFill>
              <a:prstDash val="solid"/>
            </a:ln>
          </c:spPr>
          <c:marker>
            <c:symbol val="circle"/>
            <c:size val="7"/>
            <c:spPr>
              <a:ln>
                <a:prstDash val="solid"/>
              </a:ln>
            </c:spPr>
          </c:marker>
          <c:cat>
            <c:strRef>
              <c:f>'Cycle time'!$A$10:$A$29</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'Cycle time'!$G$10:$G$29</c:f>
              <c:numCache>
                <c:formatCode>General</c:formatCode>
                <c:ptCount val="20"/>
                <c:pt idx="0">
                  <c:v>3</c:v>
                </c:pt>
                <c:pt idx="1">
                  <c:v>8</c:v>
                </c:pt>
                <c:pt idx="2">
                  <c:v>2</c:v>
                </c:pt>
                <c:pt idx="3">
                  <c:v>#N/A</c:v>
                </c:pt>
                <c:pt idx="4">
                  <c:v>7</c:v>
                </c:pt>
                <c:pt idx="5">
                  <c:v>2</c:v>
                </c:pt>
                <c:pt idx="6">
                  <c:v>7</c:v>
                </c:pt>
                <c:pt idx="7">
                  <c:v>8</c:v>
                </c:pt>
                <c:pt idx="8">
                  <c:v>#N/A</c:v>
                </c:pt>
                <c:pt idx="9">
                  <c:v>#N/A</c:v>
                </c:pt>
                <c:pt idx="10">
                  <c:v>#N/A</c:v>
                </c:pt>
                <c:pt idx="11">
                  <c:v>#N/A</c:v>
                </c:pt>
                <c:pt idx="12">
                  <c:v>#N/A</c:v>
                </c:pt>
                <c:pt idx="13">
                  <c:v>#N/A</c:v>
                </c:pt>
                <c:pt idx="14">
                  <c:v>#N/A</c:v>
                </c:pt>
                <c:pt idx="15">
                  <c:v>#N/A</c:v>
                </c:pt>
                <c:pt idx="16">
                  <c:v>#N/A</c:v>
                </c:pt>
                <c:pt idx="17">
                  <c:v>#N/A</c:v>
                </c:pt>
                <c:pt idx="18">
                  <c:v>#N/A</c:v>
                </c:pt>
                <c:pt idx="19">
                  <c:v>#N/A</c:v>
                </c:pt>
              </c:numCache>
            </c:numRef>
          </c:val>
          <c:smooth val="1"/>
          <c:extLst>
            <c:ext xmlns:c16="http://schemas.microsoft.com/office/drawing/2014/chart" uri="{C3380CC4-5D6E-409C-BE32-E72D297353CC}">
              <c16:uniqueId val="{00000000-FB46-47A5-94A8-2C0B930E6338}"/>
            </c:ext>
          </c:extLst>
        </c:ser>
        <c:ser>
          <c:idx val="1"/>
          <c:order val="1"/>
          <c:tx>
            <c:strRef>
              <c:f>'Cycle time'!$C$9</c:f>
              <c:strCache>
                <c:ptCount val="1"/>
                <c:pt idx="0">
                  <c:v>CL</c:v>
                </c:pt>
              </c:strCache>
            </c:strRef>
          </c:tx>
          <c:spPr>
            <a:ln w="18000">
              <a:solidFill>
                <a:srgbClr val="000000"/>
              </a:solidFill>
              <a:prstDash val="solid"/>
            </a:ln>
          </c:spPr>
          <c:marker>
            <c:symbol val="none"/>
          </c:marker>
          <c:cat>
            <c:strRef>
              <c:f>'Cycle time'!$A$10:$A$29</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'Cycle time'!$C$10:$C$29</c:f>
              <c:numCache>
                <c:formatCode>General</c:formatCode>
                <c:ptCount val="20"/>
                <c:pt idx="0">
                  <c:v>5.2857142857142856</c:v>
                </c:pt>
                <c:pt idx="1">
                  <c:v>5.2857142857142856</c:v>
                </c:pt>
                <c:pt idx="2">
                  <c:v>5.2857142857142856</c:v>
                </c:pt>
                <c:pt idx="3">
                  <c:v>5.2857142857142856</c:v>
                </c:pt>
                <c:pt idx="4">
                  <c:v>5.2857142857142856</c:v>
                </c:pt>
                <c:pt idx="5">
                  <c:v>5.2857142857142856</c:v>
                </c:pt>
                <c:pt idx="6">
                  <c:v>5.2857142857142856</c:v>
                </c:pt>
                <c:pt idx="7">
                  <c:v>5.2857142857142856</c:v>
                </c:pt>
                <c:pt idx="8">
                  <c:v>5.2857142857142856</c:v>
                </c:pt>
                <c:pt idx="9">
                  <c:v>5.2857142857142856</c:v>
                </c:pt>
                <c:pt idx="10">
                  <c:v>5.2857142857142856</c:v>
                </c:pt>
                <c:pt idx="11">
                  <c:v>5.2857142857142856</c:v>
                </c:pt>
                <c:pt idx="12">
                  <c:v>5.2857142857142856</c:v>
                </c:pt>
                <c:pt idx="13">
                  <c:v>5.2857142857142856</c:v>
                </c:pt>
                <c:pt idx="14">
                  <c:v>5.2857142857142856</c:v>
                </c:pt>
                <c:pt idx="15">
                  <c:v>5.2857142857142856</c:v>
                </c:pt>
                <c:pt idx="16">
                  <c:v>5.2857142857142856</c:v>
                </c:pt>
                <c:pt idx="17">
                  <c:v>5.2857142857142856</c:v>
                </c:pt>
                <c:pt idx="18">
                  <c:v>5.2857142857142856</c:v>
                </c:pt>
                <c:pt idx="19">
                  <c:v>5.2857142857142856</c:v>
                </c:pt>
              </c:numCache>
            </c:numRef>
          </c:val>
          <c:smooth val="1"/>
          <c:extLst>
            <c:ext xmlns:c16="http://schemas.microsoft.com/office/drawing/2014/chart" uri="{C3380CC4-5D6E-409C-BE32-E72D297353CC}">
              <c16:uniqueId val="{00000001-FB46-47A5-94A8-2C0B930E6338}"/>
            </c:ext>
          </c:extLst>
        </c:ser>
        <c:ser>
          <c:idx val="2"/>
          <c:order val="2"/>
          <c:tx>
            <c:strRef>
              <c:f>'Cycle time'!$D$9</c:f>
              <c:strCache>
                <c:ptCount val="1"/>
                <c:pt idx="0">
                  <c:v>UCL</c:v>
                </c:pt>
              </c:strCache>
            </c:strRef>
          </c:tx>
          <c:spPr>
            <a:ln>
              <a:solidFill>
                <a:srgbClr val="C00000"/>
              </a:solidFill>
              <a:prstDash val="dash"/>
            </a:ln>
          </c:spPr>
          <c:marker>
            <c:symbol val="none"/>
          </c:marker>
          <c:cat>
            <c:strRef>
              <c:f>'Cycle time'!$A$10:$A$29</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'Cycle time'!$D$10:$D$29</c:f>
              <c:numCache>
                <c:formatCode>General</c:formatCode>
                <c:ptCount val="20"/>
                <c:pt idx="0">
                  <c:v>13.720336810928863</c:v>
                </c:pt>
                <c:pt idx="1">
                  <c:v>13.720336810928863</c:v>
                </c:pt>
                <c:pt idx="2">
                  <c:v>13.720336810928863</c:v>
                </c:pt>
                <c:pt idx="3">
                  <c:v>13.720336810928863</c:v>
                </c:pt>
                <c:pt idx="4">
                  <c:v>13.720336810928863</c:v>
                </c:pt>
                <c:pt idx="5">
                  <c:v>13.720336810928863</c:v>
                </c:pt>
                <c:pt idx="6">
                  <c:v>13.720336810928863</c:v>
                </c:pt>
                <c:pt idx="7">
                  <c:v>13.720336810928863</c:v>
                </c:pt>
                <c:pt idx="8">
                  <c:v>13.720336810928863</c:v>
                </c:pt>
                <c:pt idx="9">
                  <c:v>13.720336810928863</c:v>
                </c:pt>
                <c:pt idx="10">
                  <c:v>13.720336810928863</c:v>
                </c:pt>
                <c:pt idx="11">
                  <c:v>13.720336810928863</c:v>
                </c:pt>
                <c:pt idx="12">
                  <c:v>13.720336810928863</c:v>
                </c:pt>
                <c:pt idx="13">
                  <c:v>13.720336810928863</c:v>
                </c:pt>
                <c:pt idx="14">
                  <c:v>13.720336810928863</c:v>
                </c:pt>
                <c:pt idx="15">
                  <c:v>13.720336810928863</c:v>
                </c:pt>
                <c:pt idx="16">
                  <c:v>13.720336810928863</c:v>
                </c:pt>
                <c:pt idx="17">
                  <c:v>13.720336810928863</c:v>
                </c:pt>
                <c:pt idx="18">
                  <c:v>13.720336810928863</c:v>
                </c:pt>
                <c:pt idx="19">
                  <c:v>13.720336810928863</c:v>
                </c:pt>
              </c:numCache>
            </c:numRef>
          </c:val>
          <c:smooth val="1"/>
          <c:extLst>
            <c:ext xmlns:c16="http://schemas.microsoft.com/office/drawing/2014/chart" uri="{C3380CC4-5D6E-409C-BE32-E72D297353CC}">
              <c16:uniqueId val="{00000002-FB46-47A5-94A8-2C0B930E6338}"/>
            </c:ext>
          </c:extLst>
        </c:ser>
        <c:ser>
          <c:idx val="3"/>
          <c:order val="3"/>
          <c:tx>
            <c:strRef>
              <c:f>'Cycle time'!$E$9</c:f>
              <c:strCache>
                <c:ptCount val="1"/>
                <c:pt idx="0">
                  <c:v>LCL</c:v>
                </c:pt>
              </c:strCache>
            </c:strRef>
          </c:tx>
          <c:spPr>
            <a:ln>
              <a:solidFill>
                <a:srgbClr val="C00000"/>
              </a:solidFill>
              <a:prstDash val="dash"/>
            </a:ln>
          </c:spPr>
          <c:marker>
            <c:symbol val="none"/>
          </c:marker>
          <c:cat>
            <c:strRef>
              <c:f>'Cycle time'!$A$10:$A$29</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'Cycle time'!$E$10:$E$29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1"/>
          <c:extLst>
            <c:ext xmlns:c16="http://schemas.microsoft.com/office/drawing/2014/chart" uri="{C3380CC4-5D6E-409C-BE32-E72D297353CC}">
              <c16:uniqueId val="{00000003-FB46-47A5-94A8-2C0B930E633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Матрица рисков (Вероятность × Влияние)</a:t>
            </a:r>
          </a:p>
        </c:rich>
      </c:tx>
      <c:overlay val="0"/>
    </c:title>
    <c:autoTitleDeleted val="0"/>
    <c:plotArea>
      <c:layout/>
      <c:scatterChart>
        <c:scatterStyle val="lineMarker"/>
        <c:varyColors val="1"/>
        <c:ser>
          <c:idx val="0"/>
          <c:order val="0"/>
          <c:tx>
            <c:v>Риски</c:v>
          </c:tx>
          <c:spPr>
            <a:ln>
              <a:noFill/>
              <a:prstDash val="solid"/>
            </a:ln>
          </c:spPr>
          <c:marker>
            <c:symbol val="circle"/>
            <c:size val="9"/>
            <c:spPr>
              <a:ln>
                <a:prstDash val="solid"/>
              </a:ln>
            </c:spPr>
          </c:marker>
          <c:xVal>
            <c:numRef>
              <c:f>Риски!$C$5:$C$8</c:f>
              <c:numCache>
                <c:formatCode>General</c:formatCode>
                <c:ptCount val="4"/>
                <c:pt idx="0">
                  <c:v>4</c:v>
                </c:pt>
                <c:pt idx="1">
                  <c:v>5</c:v>
                </c:pt>
                <c:pt idx="2">
                  <c:v>3</c:v>
                </c:pt>
                <c:pt idx="3">
                  <c:v>2</c:v>
                </c:pt>
              </c:numCache>
            </c:numRef>
          </c:xVal>
          <c:yVal>
            <c:numRef>
              <c:f>Риски!$D$5:$D$8</c:f>
              <c:numCache>
                <c:formatCode>General</c:formatCode>
                <c:ptCount val="4"/>
                <c:pt idx="0">
                  <c:v>5</c:v>
                </c:pt>
                <c:pt idx="1">
                  <c:v>3</c:v>
                </c:pt>
                <c:pt idx="2">
                  <c:v>4</c:v>
                </c:pt>
                <c:pt idx="3">
                  <c:v>4</c:v>
                </c:pt>
              </c:numCache>
            </c:numRef>
          </c:yVal>
          <c:smooth val="1"/>
          <c:extLst>
            <c:ext xmlns:c16="http://schemas.microsoft.com/office/drawing/2014/chart" uri="{C3380CC4-5D6E-409C-BE32-E72D297353CC}">
              <c16:uniqueId val="{00000000-EE51-403A-8E5E-640312730E45}"/>
            </c:ext>
          </c:extLst>
        </c:ser>
        <c:dLbls>
          <c:showLegendKey val="0"/>
          <c:showVal val="0"/>
          <c:showCatName val="0"/>
          <c:showSerName val="0"/>
          <c:showPercent val="0"/>
          <c:showBubbleSize val="0"/>
        </c:dLbls>
        <c:axId val="10"/>
        <c:axId val="20"/>
      </c:scatterChart>
      <c:valAx>
        <c:axId val="10"/>
        <c:scaling>
          <c:orientation val="minMax"/>
          <c:max val="5"/>
          <c:min val="0"/>
        </c:scaling>
        <c:delete val="0"/>
        <c:axPos val="b"/>
        <c:majorGridlines/>
        <c:title>
          <c:tx>
            <c:rich>
              <a:bodyPr/>
              <a:lstStyle/>
              <a:p>
                <a:pPr>
                  <a:defRPr/>
                </a:pPr>
                <a:r>
                  <a:rPr lang="ru-RU"/>
                  <a:t>Вероятность</a:t>
                </a:r>
              </a:p>
            </c:rich>
          </c:tx>
          <c:overlay val="1"/>
        </c:title>
        <c:numFmt formatCode="General" sourceLinked="1"/>
        <c:majorTickMark val="none"/>
        <c:minorTickMark val="none"/>
        <c:tickLblPos val="nextTo"/>
        <c:spPr>
          <a:ln>
            <a:solidFill>
              <a:srgbClr val="808080"/>
            </a:solidFill>
            <a:prstDash val="solid"/>
          </a:ln>
        </c:spPr>
        <c:crossAx val="20"/>
        <c:crosses val="autoZero"/>
        <c:crossBetween val="midCat"/>
      </c:valAx>
      <c:valAx>
        <c:axId val="20"/>
        <c:scaling>
          <c:orientation val="minMax"/>
          <c:max val="5"/>
          <c:min val="0"/>
        </c:scaling>
        <c:delete val="0"/>
        <c:axPos val="l"/>
        <c:majorGridlines/>
        <c:title>
          <c:tx>
            <c:rich>
              <a:bodyPr/>
              <a:lstStyle/>
              <a:p>
                <a:pPr>
                  <a:defRPr/>
                </a:pPr>
                <a:r>
                  <a:rPr lang="ru-RU"/>
                  <a:t>Влияние</a:t>
                </a:r>
              </a:p>
            </c:rich>
          </c:tx>
          <c:overlay val="1"/>
        </c:title>
        <c:numFmt formatCode="General" sourceLinked="1"/>
        <c:majorTickMark val="none"/>
        <c:minorTickMark val="none"/>
        <c:tickLblPos val="nextTo"/>
        <c:spPr>
          <a:ln>
            <a:solidFill>
              <a:srgbClr val="808080"/>
            </a:solidFill>
            <a:prstDash val="solid"/>
          </a:ln>
        </c:spPr>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Риски по баллу (Вероятность × Влияние)</a:t>
            </a:r>
          </a:p>
        </c:rich>
      </c:tx>
      <c:overlay val="0"/>
    </c:title>
    <c:autoTitleDeleted val="0"/>
    <c:plotArea>
      <c:layout/>
      <c:barChart>
        <c:barDir val="bar"/>
        <c:grouping val="clustered"/>
        <c:varyColors val="1"/>
        <c:ser>
          <c:idx val="0"/>
          <c:order val="0"/>
          <c:tx>
            <c:strRef>
              <c:f>'Матрица рисков'!$E$4</c:f>
              <c:strCache>
                <c:ptCount val="1"/>
                <c:pt idx="0">
                  <c:v>Балл</c:v>
                </c:pt>
              </c:strCache>
            </c:strRef>
          </c:tx>
          <c:spPr>
            <a:solidFill>
              <a:srgbClr val="C00000"/>
            </a:solidFill>
            <a:ln>
              <a:prstDash val="solid"/>
            </a:ln>
          </c:spPr>
          <c:invertIfNegative val="1"/>
          <c:cat>
            <c:strRef>
              <c:f>'Матрица рисков'!$B$5:$B$8</c:f>
              <c:strCache>
                <c:ptCount val="4"/>
                <c:pt idx="0">
                  <c:v>Зависимость от внешнего API оплаты</c:v>
                </c:pt>
                <c:pt idx="1">
                  <c:v>Отпуска в декабре (Спринт 11)</c:v>
                </c:pt>
                <c:pt idx="2">
                  <c:v>Недооценка интеграции</c:v>
                </c:pt>
                <c:pt idx="3">
                  <c:v>Текучесть в QA</c:v>
                </c:pt>
              </c:strCache>
            </c:strRef>
          </c:cat>
          <c:val>
            <c:numRef>
              <c:f>'Матрица рисков'!$E$5:$E$8</c:f>
              <c:numCache>
                <c:formatCode>General</c:formatCode>
                <c:ptCount val="4"/>
                <c:pt idx="0">
                  <c:v>20</c:v>
                </c:pt>
                <c:pt idx="1">
                  <c:v>15</c:v>
                </c:pt>
                <c:pt idx="2">
                  <c:v>12</c:v>
                </c:pt>
                <c:pt idx="3">
                  <c:v>8</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65D-43D1-9C82-78F4CA15F778}"/>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ru-RU"/>
              <a:t>Дней по исполнителям</a:t>
            </a:r>
          </a:p>
        </c:rich>
      </c:tx>
      <c:overlay val="0"/>
    </c:title>
    <c:autoTitleDeleted val="0"/>
    <c:plotArea>
      <c:layout/>
      <c:barChart>
        <c:barDir val="bar"/>
        <c:grouping val="clustered"/>
        <c:varyColors val="1"/>
        <c:ser>
          <c:idx val="0"/>
          <c:order val="0"/>
          <c:tx>
            <c:strRef>
              <c:f>Распределение!$C$4</c:f>
              <c:strCache>
                <c:ptCount val="1"/>
                <c:pt idx="0">
                  <c:v>Дней</c:v>
                </c:pt>
              </c:strCache>
            </c:strRef>
          </c:tx>
          <c:spPr>
            <a:solidFill>
              <a:srgbClr val="8EAADB"/>
            </a:solidFill>
            <a:ln>
              <a:prstDash val="solid"/>
            </a:ln>
          </c:spPr>
          <c:invertIfNegative val="1"/>
          <c:cat>
            <c:strRef>
              <c:f>Распределение!$A$5:$A$17</c:f>
              <c:strCache>
                <c:ptCount val="13"/>
                <c:pt idx="0">
                  <c:v>Иванов А.</c:v>
                </c:pt>
                <c:pt idx="1">
                  <c:v>Петрова М.</c:v>
                </c:pt>
                <c:pt idx="2">
                  <c:v>Сидоров К.</c:v>
                </c:pt>
                <c:pt idx="3">
                  <c:v>Кузнецов Д.</c:v>
                </c:pt>
                <c:pt idx="4">
                  <c:v>Орлова Е.</c:v>
                </c:pt>
                <c:pt idx="5">
                  <c:v>Смирнов П.</c:v>
                </c:pt>
                <c:pt idx="6">
                  <c:v>Волкова Н.</c:v>
                </c:pt>
                <c:pt idx="7">
                  <c:v>Морозов И.</c:v>
                </c:pt>
                <c:pt idx="8">
                  <c:v>Новиков А.</c:v>
                </c:pt>
                <c:pt idx="9">
                  <c:v>Фёдорова О.</c:v>
                </c:pt>
                <c:pt idx="10">
                  <c:v>Козлов В.</c:v>
                </c:pt>
                <c:pt idx="11">
                  <c:v>Лебедева Т.</c:v>
                </c:pt>
                <c:pt idx="12">
                  <c:v>Соколов Р.</c:v>
                </c:pt>
              </c:strCache>
            </c:strRef>
          </c:cat>
          <c:val>
            <c:numRef>
              <c:f>Распределение!$C$5:$C$17</c:f>
              <c:numCache>
                <c:formatCode>#\ ##0.0</c:formatCode>
                <c:ptCount val="13"/>
                <c:pt idx="0">
                  <c:v>5</c:v>
                </c:pt>
                <c:pt idx="1">
                  <c:v>0</c:v>
                </c:pt>
                <c:pt idx="2">
                  <c:v>5</c:v>
                </c:pt>
                <c:pt idx="3">
                  <c:v>3</c:v>
                </c:pt>
                <c:pt idx="4">
                  <c:v>3</c:v>
                </c:pt>
                <c:pt idx="5">
                  <c:v>0</c:v>
                </c:pt>
                <c:pt idx="6">
                  <c:v>8</c:v>
                </c:pt>
                <c:pt idx="7">
                  <c:v>0</c:v>
                </c:pt>
                <c:pt idx="8">
                  <c:v>0</c:v>
                </c:pt>
                <c:pt idx="9">
                  <c:v>0</c:v>
                </c:pt>
                <c:pt idx="10">
                  <c:v>0</c:v>
                </c:pt>
                <c:pt idx="11">
                  <c:v>0</c:v>
                </c:pt>
                <c:pt idx="12">
                  <c:v>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73F-4D6E-AB71-1B30E2BD9868}"/>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numFmt formatCode="General" sourceLinked="1"/>
        <c:majorTickMark val="none"/>
        <c:minorTickMark val="none"/>
        <c:tickLblPos val="nextTo"/>
        <c:spPr>
          <a:ln>
            <a:solidFill>
              <a:srgbClr val="808080"/>
            </a:solidFill>
            <a:prstDash val="solid"/>
          </a:ln>
        </c:spPr>
        <c:crossAx val="100"/>
        <c:crosses val="autoZero"/>
        <c:auto val="1"/>
        <c:lblAlgn val="ctr"/>
        <c:lblOffset val="100"/>
        <c:noMultiLvlLbl val="1"/>
      </c:catAx>
      <c:valAx>
        <c:axId val="100"/>
        <c:scaling>
          <c:orientation val="minMax"/>
        </c:scaling>
        <c:delete val="0"/>
        <c:axPos val="b"/>
        <c:majorGridlines/>
        <c:title>
          <c:tx>
            <c:rich>
              <a:bodyPr/>
              <a:lstStyle/>
              <a:p>
                <a:pPr>
                  <a:defRPr/>
                </a:pPr>
                <a:r>
                  <a:rPr lang="ru-RU"/>
                  <a:t>Дней</a:t>
                </a:r>
              </a:p>
            </c:rich>
          </c:tx>
          <c:overlay val="1"/>
        </c:title>
        <c:numFmt formatCode="#\ ##0.0" sourceLinked="1"/>
        <c:majorTickMark val="none"/>
        <c:minorTickMark val="none"/>
        <c:tickLblPos val="nextTo"/>
        <c:spPr>
          <a:ln>
            <a:solidFill>
              <a:srgbClr val="808080"/>
            </a:solidFill>
            <a:prstDash val="solid"/>
          </a:ln>
        </c:spPr>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rPr lang="en-US"/>
              <a:t>Time to Market </a:t>
            </a:r>
            <a:r>
              <a:rPr lang="ru-RU"/>
              <a:t>по задачам (цель 15 дн, линия тренда)</a:t>
            </a:r>
          </a:p>
        </c:rich>
      </c:tx>
      <c:overlay val="0"/>
    </c:title>
    <c:autoTitleDeleted val="0"/>
    <c:plotArea>
      <c:layout/>
      <c:lineChart>
        <c:grouping val="standard"/>
        <c:varyColors val="1"/>
        <c:ser>
          <c:idx val="0"/>
          <c:order val="0"/>
          <c:tx>
            <c:strRef>
              <c:f>'Time to Market'!$F$6</c:f>
              <c:strCache>
                <c:ptCount val="1"/>
                <c:pt idx="0">
                  <c:v>TTM (дн)</c:v>
                </c:pt>
              </c:strCache>
            </c:strRef>
          </c:tx>
          <c:spPr>
            <a:ln w="22000">
              <a:solidFill>
                <a:srgbClr val="4472C4"/>
              </a:solidFill>
              <a:prstDash val="solid"/>
            </a:ln>
          </c:spPr>
          <c:marker>
            <c:symbol val="circle"/>
            <c:size val="7"/>
            <c:spPr>
              <a:ln>
                <a:prstDash val="solid"/>
              </a:ln>
            </c:spPr>
          </c:marker>
          <c:trendline>
            <c:trendlineType val="linear"/>
            <c:dispRSqr val="1"/>
            <c:dispEq val="1"/>
            <c:trendlineLbl>
              <c:numFmt formatCode="General" sourceLinked="0"/>
            </c:trendlineLbl>
          </c:trendline>
          <c:cat>
            <c:strRef>
              <c:f>'Time to Market'!$A$7:$A$26</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'Time to Market'!$F$7:$F$26</c:f>
              <c:numCache>
                <c:formatCode>General</c:formatCode>
                <c:ptCount val="20"/>
                <c:pt idx="0">
                  <c:v>25</c:v>
                </c:pt>
                <c:pt idx="1">
                  <c:v>24</c:v>
                </c:pt>
                <c:pt idx="2">
                  <c:v>25</c:v>
                </c:pt>
                <c:pt idx="3">
                  <c:v>23</c:v>
                </c:pt>
                <c:pt idx="4">
                  <c:v>11</c:v>
                </c:pt>
                <c:pt idx="5">
                  <c:v>10</c:v>
                </c:pt>
                <c:pt idx="6">
                  <c:v>9</c:v>
                </c:pt>
                <c:pt idx="7">
                  <c:v>11</c:v>
                </c:pt>
                <c:pt idx="8">
                  <c:v>#N/A</c:v>
                </c:pt>
                <c:pt idx="9">
                  <c:v>23</c:v>
                </c:pt>
                <c:pt idx="10">
                  <c:v>#N/A</c:v>
                </c:pt>
                <c:pt idx="11">
                  <c:v>#N/A</c:v>
                </c:pt>
                <c:pt idx="12">
                  <c:v>24</c:v>
                </c:pt>
                <c:pt idx="13">
                  <c:v>#N/A</c:v>
                </c:pt>
                <c:pt idx="14">
                  <c:v>#N/A</c:v>
                </c:pt>
                <c:pt idx="15">
                  <c:v>#N/A</c:v>
                </c:pt>
                <c:pt idx="16">
                  <c:v>#N/A</c:v>
                </c:pt>
                <c:pt idx="17">
                  <c:v>#N/A</c:v>
                </c:pt>
                <c:pt idx="18">
                  <c:v>#N/A</c:v>
                </c:pt>
                <c:pt idx="19">
                  <c:v>#N/A</c:v>
                </c:pt>
              </c:numCache>
            </c:numRef>
          </c:val>
          <c:smooth val="1"/>
          <c:extLst>
            <c:ext xmlns:c16="http://schemas.microsoft.com/office/drawing/2014/chart" uri="{C3380CC4-5D6E-409C-BE32-E72D297353CC}">
              <c16:uniqueId val="{00000001-036D-4034-B8FB-9B8433E287DB}"/>
            </c:ext>
          </c:extLst>
        </c:ser>
        <c:ser>
          <c:idx val="1"/>
          <c:order val="1"/>
          <c:tx>
            <c:strRef>
              <c:f>'Time to Market'!$E$6</c:f>
              <c:strCache>
                <c:ptCount val="1"/>
                <c:pt idx="0">
                  <c:v>Цель (дн)</c:v>
                </c:pt>
              </c:strCache>
            </c:strRef>
          </c:tx>
          <c:spPr>
            <a:ln w="24000">
              <a:solidFill>
                <a:srgbClr val="C00000"/>
              </a:solidFill>
              <a:prstDash val="dash"/>
            </a:ln>
          </c:spPr>
          <c:marker>
            <c:symbol val="none"/>
          </c:marker>
          <c:cat>
            <c:strRef>
              <c:f>'Time to Market'!$A$7:$A$26</c:f>
              <c:strCache>
                <c:ptCount val="20"/>
                <c:pt idx="0">
                  <c:v>T-01</c:v>
                </c:pt>
                <c:pt idx="1">
                  <c:v>T-02</c:v>
                </c:pt>
                <c:pt idx="2">
                  <c:v>T-09</c:v>
                </c:pt>
                <c:pt idx="3">
                  <c:v>T-10</c:v>
                </c:pt>
                <c:pt idx="4">
                  <c:v>T-03</c:v>
                </c:pt>
                <c:pt idx="5">
                  <c:v>T-04</c:v>
                </c:pt>
                <c:pt idx="6">
                  <c:v>T-08</c:v>
                </c:pt>
                <c:pt idx="7">
                  <c:v>T-11</c:v>
                </c:pt>
                <c:pt idx="8">
                  <c:v>T-12</c:v>
                </c:pt>
                <c:pt idx="9">
                  <c:v>T-05</c:v>
                </c:pt>
                <c:pt idx="10">
                  <c:v>T-06</c:v>
                </c:pt>
                <c:pt idx="11">
                  <c:v>T-07</c:v>
                </c:pt>
                <c:pt idx="12">
                  <c:v>T-13</c:v>
                </c:pt>
                <c:pt idx="13">
                  <c:v>T-14</c:v>
                </c:pt>
                <c:pt idx="14">
                  <c:v>T-15</c:v>
                </c:pt>
                <c:pt idx="15">
                  <c:v>T-16</c:v>
                </c:pt>
                <c:pt idx="16">
                  <c:v>T-17</c:v>
                </c:pt>
                <c:pt idx="17">
                  <c:v>T-18</c:v>
                </c:pt>
                <c:pt idx="18">
                  <c:v>T-19</c:v>
                </c:pt>
                <c:pt idx="19">
                  <c:v>T-20</c:v>
                </c:pt>
              </c:strCache>
            </c:strRef>
          </c:cat>
          <c:val>
            <c:numRef>
              <c:f>'Time to Market'!$E$7:$E$26</c:f>
              <c:numCache>
                <c:formatCode>0</c:formatCode>
                <c:ptCount val="2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numCache>
            </c:numRef>
          </c:val>
          <c:smooth val="1"/>
          <c:extLst>
            <c:ext xmlns:c16="http://schemas.microsoft.com/office/drawing/2014/chart" uri="{C3380CC4-5D6E-409C-BE32-E72D297353CC}">
              <c16:uniqueId val="{00000002-036D-4034-B8FB-9B8433E287DB}"/>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General" sourceLinked="1"/>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 Type="http://schemas.openxmlformats.org/officeDocument/2006/relationships/chart" Target="../charts/chart3.xml"/><Relationship Id="rId21" Type="http://schemas.openxmlformats.org/officeDocument/2006/relationships/chart" Target="../charts/chart21.xml"/><Relationship Id="rId34" Type="http://schemas.openxmlformats.org/officeDocument/2006/relationships/chart" Target="../charts/chart34.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20.xml"/><Relationship Id="rId29" Type="http://schemas.openxmlformats.org/officeDocument/2006/relationships/chart" Target="../charts/chart29.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5" Type="http://schemas.openxmlformats.org/officeDocument/2006/relationships/chart" Target="../charts/chart5.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image" Target="../media/image1.png"/><Relationship Id="rId10" Type="http://schemas.openxmlformats.org/officeDocument/2006/relationships/chart" Target="../charts/chart10.xml"/><Relationship Id="rId19" Type="http://schemas.openxmlformats.org/officeDocument/2006/relationships/chart" Target="../charts/chart19.xml"/><Relationship Id="rId31" Type="http://schemas.openxmlformats.org/officeDocument/2006/relationships/chart" Target="../charts/chart31.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7.xml"/><Relationship Id="rId1" Type="http://schemas.openxmlformats.org/officeDocument/2006/relationships/chart" Target="../charts/chart3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0.xml"/><Relationship Id="rId2" Type="http://schemas.openxmlformats.org/officeDocument/2006/relationships/chart" Target="../charts/chart39.xml"/><Relationship Id="rId1" Type="http://schemas.openxmlformats.org/officeDocument/2006/relationships/chart" Target="../charts/chart38.xml"/></Relationships>
</file>

<file path=xl/drawings/_rels/drawing4.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57.xml"/><Relationship Id="rId1" Type="http://schemas.openxmlformats.org/officeDocument/2006/relationships/chart" Target="../charts/chart56.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61.xml"/><Relationship Id="rId2" Type="http://schemas.openxmlformats.org/officeDocument/2006/relationships/chart" Target="../charts/chart60.xml"/><Relationship Id="rId1" Type="http://schemas.openxmlformats.org/officeDocument/2006/relationships/chart" Target="../charts/chart59.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20.xml.rels><?xml version="1.0" encoding="UTF-8" standalone="yes"?>
<Relationships xmlns="http://schemas.openxmlformats.org/package/2006/relationships"><Relationship Id="rId3" Type="http://schemas.openxmlformats.org/officeDocument/2006/relationships/chart" Target="../charts/chart65.xml"/><Relationship Id="rId2" Type="http://schemas.openxmlformats.org/officeDocument/2006/relationships/chart" Target="../charts/chart64.xml"/><Relationship Id="rId1" Type="http://schemas.openxmlformats.org/officeDocument/2006/relationships/chart" Target="../charts/chart63.xml"/><Relationship Id="rId5" Type="http://schemas.openxmlformats.org/officeDocument/2006/relationships/chart" Target="../charts/chart67.xml"/><Relationship Id="rId4" Type="http://schemas.openxmlformats.org/officeDocument/2006/relationships/chart" Target="../charts/chart66.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2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70.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2.xml"/></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5400000" cy="270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13</xdr:col>
      <xdr:colOff>0</xdr:colOff>
      <xdr:row>4</xdr:row>
      <xdr:rowOff>0</xdr:rowOff>
    </xdr:from>
    <xdr:ext cx="5400000" cy="270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5400000" cy="270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13</xdr:col>
      <xdr:colOff>0</xdr:colOff>
      <xdr:row>24</xdr:row>
      <xdr:rowOff>0</xdr:rowOff>
    </xdr:from>
    <xdr:ext cx="5400000" cy="270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44</xdr:row>
      <xdr:rowOff>0</xdr:rowOff>
    </xdr:from>
    <xdr:ext cx="5400000" cy="270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13</xdr:col>
      <xdr:colOff>0</xdr:colOff>
      <xdr:row>44</xdr:row>
      <xdr:rowOff>0</xdr:rowOff>
    </xdr:from>
    <xdr:ext cx="5400000" cy="270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64</xdr:row>
      <xdr:rowOff>0</xdr:rowOff>
    </xdr:from>
    <xdr:ext cx="5400000" cy="270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13</xdr:col>
      <xdr:colOff>0</xdr:colOff>
      <xdr:row>64</xdr:row>
      <xdr:rowOff>0</xdr:rowOff>
    </xdr:from>
    <xdr:ext cx="5400000" cy="270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0</xdr:col>
      <xdr:colOff>0</xdr:colOff>
      <xdr:row>84</xdr:row>
      <xdr:rowOff>0</xdr:rowOff>
    </xdr:from>
    <xdr:ext cx="5400000" cy="2700000"/>
    <xdr:graphicFrame macro="">
      <xdr:nvGraphicFramePr>
        <xdr:cNvPr id="10" name="Chart 9">
          <a:extLst>
            <a:ext uri="{FF2B5EF4-FFF2-40B4-BE49-F238E27FC236}">
              <a16:creationId xmlns:a16="http://schemas.microsoft.com/office/drawing/2014/main" id="{00000000-0008-0000-0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oneCellAnchor>
    <xdr:from>
      <xdr:col>13</xdr:col>
      <xdr:colOff>0</xdr:colOff>
      <xdr:row>84</xdr:row>
      <xdr:rowOff>0</xdr:rowOff>
    </xdr:from>
    <xdr:ext cx="5400000" cy="2700000"/>
    <xdr:graphicFrame macro="">
      <xdr:nvGraphicFramePr>
        <xdr:cNvPr id="11" name="Chart 10">
          <a:extLst>
            <a:ext uri="{FF2B5EF4-FFF2-40B4-BE49-F238E27FC236}">
              <a16:creationId xmlns:a16="http://schemas.microsoft.com/office/drawing/2014/main" id="{00000000-0008-0000-00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oneCellAnchor>
  <xdr:oneCellAnchor>
    <xdr:from>
      <xdr:col>0</xdr:col>
      <xdr:colOff>0</xdr:colOff>
      <xdr:row>104</xdr:row>
      <xdr:rowOff>0</xdr:rowOff>
    </xdr:from>
    <xdr:ext cx="5400000" cy="2700000"/>
    <xdr:graphicFrame macro="">
      <xdr:nvGraphicFramePr>
        <xdr:cNvPr id="12" name="Chart 11">
          <a:extLst>
            <a:ext uri="{FF2B5EF4-FFF2-40B4-BE49-F238E27FC236}">
              <a16:creationId xmlns:a16="http://schemas.microsoft.com/office/drawing/2014/main" id="{00000000-0008-0000-00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oneCellAnchor>
  <xdr:oneCellAnchor>
    <xdr:from>
      <xdr:col>13</xdr:col>
      <xdr:colOff>0</xdr:colOff>
      <xdr:row>104</xdr:row>
      <xdr:rowOff>0</xdr:rowOff>
    </xdr:from>
    <xdr:ext cx="5400000" cy="2700000"/>
    <xdr:graphicFrame macro="">
      <xdr:nvGraphicFramePr>
        <xdr:cNvPr id="13" name="Chart 12">
          <a:extLst>
            <a:ext uri="{FF2B5EF4-FFF2-40B4-BE49-F238E27FC236}">
              <a16:creationId xmlns:a16="http://schemas.microsoft.com/office/drawing/2014/main" id="{00000000-0008-0000-00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oneCellAnchor>
  <xdr:oneCellAnchor>
    <xdr:from>
      <xdr:col>0</xdr:col>
      <xdr:colOff>0</xdr:colOff>
      <xdr:row>124</xdr:row>
      <xdr:rowOff>0</xdr:rowOff>
    </xdr:from>
    <xdr:ext cx="5400000" cy="2700000"/>
    <xdr:graphicFrame macro="">
      <xdr:nvGraphicFramePr>
        <xdr:cNvPr id="14" name="Chart 13">
          <a:extLst>
            <a:ext uri="{FF2B5EF4-FFF2-40B4-BE49-F238E27FC236}">
              <a16:creationId xmlns:a16="http://schemas.microsoft.com/office/drawing/2014/main" id="{00000000-0008-0000-00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oneCellAnchor>
  <xdr:oneCellAnchor>
    <xdr:from>
      <xdr:col>13</xdr:col>
      <xdr:colOff>0</xdr:colOff>
      <xdr:row>124</xdr:row>
      <xdr:rowOff>0</xdr:rowOff>
    </xdr:from>
    <xdr:ext cx="5400000" cy="2700000"/>
    <xdr:graphicFrame macro="">
      <xdr:nvGraphicFramePr>
        <xdr:cNvPr id="15" name="Chart 14">
          <a:extLst>
            <a:ext uri="{FF2B5EF4-FFF2-40B4-BE49-F238E27FC236}">
              <a16:creationId xmlns:a16="http://schemas.microsoft.com/office/drawing/2014/main" id="{00000000-0008-0000-00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oneCellAnchor>
  <xdr:oneCellAnchor>
    <xdr:from>
      <xdr:col>0</xdr:col>
      <xdr:colOff>0</xdr:colOff>
      <xdr:row>144</xdr:row>
      <xdr:rowOff>0</xdr:rowOff>
    </xdr:from>
    <xdr:ext cx="5400000" cy="2700000"/>
    <xdr:graphicFrame macro="">
      <xdr:nvGraphicFramePr>
        <xdr:cNvPr id="16" name="Chart 15">
          <a:extLst>
            <a:ext uri="{FF2B5EF4-FFF2-40B4-BE49-F238E27FC236}">
              <a16:creationId xmlns:a16="http://schemas.microsoft.com/office/drawing/2014/main" id="{00000000-0008-0000-00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oneCellAnchor>
  <xdr:oneCellAnchor>
    <xdr:from>
      <xdr:col>13</xdr:col>
      <xdr:colOff>0</xdr:colOff>
      <xdr:row>144</xdr:row>
      <xdr:rowOff>0</xdr:rowOff>
    </xdr:from>
    <xdr:ext cx="5400000" cy="2700000"/>
    <xdr:graphicFrame macro="">
      <xdr:nvGraphicFramePr>
        <xdr:cNvPr id="17" name="Chart 16">
          <a:extLst>
            <a:ext uri="{FF2B5EF4-FFF2-40B4-BE49-F238E27FC236}">
              <a16:creationId xmlns:a16="http://schemas.microsoft.com/office/drawing/2014/main" id="{00000000-0008-0000-00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oneCellAnchor>
  <xdr:oneCellAnchor>
    <xdr:from>
      <xdr:col>0</xdr:col>
      <xdr:colOff>0</xdr:colOff>
      <xdr:row>164</xdr:row>
      <xdr:rowOff>0</xdr:rowOff>
    </xdr:from>
    <xdr:ext cx="5400000" cy="2700000"/>
    <xdr:graphicFrame macro="">
      <xdr:nvGraphicFramePr>
        <xdr:cNvPr id="18" name="Chart 17">
          <a:extLst>
            <a:ext uri="{FF2B5EF4-FFF2-40B4-BE49-F238E27FC236}">
              <a16:creationId xmlns:a16="http://schemas.microsoft.com/office/drawing/2014/main" id="{00000000-0008-0000-00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oneCellAnchor>
  <xdr:oneCellAnchor>
    <xdr:from>
      <xdr:col>13</xdr:col>
      <xdr:colOff>0</xdr:colOff>
      <xdr:row>164</xdr:row>
      <xdr:rowOff>0</xdr:rowOff>
    </xdr:from>
    <xdr:ext cx="5400000" cy="2700000"/>
    <xdr:graphicFrame macro="">
      <xdr:nvGraphicFramePr>
        <xdr:cNvPr id="19" name="Chart 18">
          <a:extLst>
            <a:ext uri="{FF2B5EF4-FFF2-40B4-BE49-F238E27FC236}">
              <a16:creationId xmlns:a16="http://schemas.microsoft.com/office/drawing/2014/main" id="{00000000-0008-0000-00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oneCellAnchor>
  <xdr:oneCellAnchor>
    <xdr:from>
      <xdr:col>0</xdr:col>
      <xdr:colOff>0</xdr:colOff>
      <xdr:row>184</xdr:row>
      <xdr:rowOff>0</xdr:rowOff>
    </xdr:from>
    <xdr:ext cx="5400000" cy="2700000"/>
    <xdr:graphicFrame macro="">
      <xdr:nvGraphicFramePr>
        <xdr:cNvPr id="20" name="Chart 19">
          <a:extLst>
            <a:ext uri="{FF2B5EF4-FFF2-40B4-BE49-F238E27FC236}">
              <a16:creationId xmlns:a16="http://schemas.microsoft.com/office/drawing/2014/main" id="{00000000-0008-0000-00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oneCellAnchor>
  <xdr:oneCellAnchor>
    <xdr:from>
      <xdr:col>13</xdr:col>
      <xdr:colOff>0</xdr:colOff>
      <xdr:row>184</xdr:row>
      <xdr:rowOff>0</xdr:rowOff>
    </xdr:from>
    <xdr:ext cx="5400000" cy="2700000"/>
    <xdr:graphicFrame macro="">
      <xdr:nvGraphicFramePr>
        <xdr:cNvPr id="21" name="Chart 20">
          <a:extLst>
            <a:ext uri="{FF2B5EF4-FFF2-40B4-BE49-F238E27FC236}">
              <a16:creationId xmlns:a16="http://schemas.microsoft.com/office/drawing/2014/main" id="{00000000-0008-0000-00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oneCellAnchor>
  <xdr:oneCellAnchor>
    <xdr:from>
      <xdr:col>0</xdr:col>
      <xdr:colOff>0</xdr:colOff>
      <xdr:row>204</xdr:row>
      <xdr:rowOff>0</xdr:rowOff>
    </xdr:from>
    <xdr:ext cx="5400000" cy="2700000"/>
    <xdr:graphicFrame macro="">
      <xdr:nvGraphicFramePr>
        <xdr:cNvPr id="22" name="Chart 21">
          <a:extLst>
            <a:ext uri="{FF2B5EF4-FFF2-40B4-BE49-F238E27FC236}">
              <a16:creationId xmlns:a16="http://schemas.microsoft.com/office/drawing/2014/main" id="{00000000-0008-0000-00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oneCellAnchor>
  <xdr:oneCellAnchor>
    <xdr:from>
      <xdr:col>13</xdr:col>
      <xdr:colOff>0</xdr:colOff>
      <xdr:row>204</xdr:row>
      <xdr:rowOff>0</xdr:rowOff>
    </xdr:from>
    <xdr:ext cx="5400000" cy="2700000"/>
    <xdr:graphicFrame macro="">
      <xdr:nvGraphicFramePr>
        <xdr:cNvPr id="23" name="Chart 22">
          <a:extLst>
            <a:ext uri="{FF2B5EF4-FFF2-40B4-BE49-F238E27FC236}">
              <a16:creationId xmlns:a16="http://schemas.microsoft.com/office/drawing/2014/main" id="{00000000-0008-0000-00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oneCellAnchor>
  <xdr:oneCellAnchor>
    <xdr:from>
      <xdr:col>0</xdr:col>
      <xdr:colOff>0</xdr:colOff>
      <xdr:row>224</xdr:row>
      <xdr:rowOff>0</xdr:rowOff>
    </xdr:from>
    <xdr:ext cx="5400000" cy="2700000"/>
    <xdr:graphicFrame macro="">
      <xdr:nvGraphicFramePr>
        <xdr:cNvPr id="24" name="Chart 23">
          <a:extLst>
            <a:ext uri="{FF2B5EF4-FFF2-40B4-BE49-F238E27FC236}">
              <a16:creationId xmlns:a16="http://schemas.microsoft.com/office/drawing/2014/main" id="{00000000-0008-0000-00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oneCellAnchor>
  <xdr:oneCellAnchor>
    <xdr:from>
      <xdr:col>13</xdr:col>
      <xdr:colOff>0</xdr:colOff>
      <xdr:row>224</xdr:row>
      <xdr:rowOff>0</xdr:rowOff>
    </xdr:from>
    <xdr:ext cx="5400000" cy="2700000"/>
    <xdr:graphicFrame macro="">
      <xdr:nvGraphicFramePr>
        <xdr:cNvPr id="25" name="Chart 24">
          <a:extLst>
            <a:ext uri="{FF2B5EF4-FFF2-40B4-BE49-F238E27FC236}">
              <a16:creationId xmlns:a16="http://schemas.microsoft.com/office/drawing/2014/main" id="{00000000-0008-0000-00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oneCellAnchor>
  <xdr:oneCellAnchor>
    <xdr:from>
      <xdr:col>0</xdr:col>
      <xdr:colOff>0</xdr:colOff>
      <xdr:row>244</xdr:row>
      <xdr:rowOff>0</xdr:rowOff>
    </xdr:from>
    <xdr:ext cx="5400000" cy="2700000"/>
    <xdr:graphicFrame macro="">
      <xdr:nvGraphicFramePr>
        <xdr:cNvPr id="26" name="Chart 25">
          <a:extLst>
            <a:ext uri="{FF2B5EF4-FFF2-40B4-BE49-F238E27FC236}">
              <a16:creationId xmlns:a16="http://schemas.microsoft.com/office/drawing/2014/main" id="{00000000-0008-0000-00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oneCellAnchor>
  <xdr:oneCellAnchor>
    <xdr:from>
      <xdr:col>13</xdr:col>
      <xdr:colOff>0</xdr:colOff>
      <xdr:row>244</xdr:row>
      <xdr:rowOff>0</xdr:rowOff>
    </xdr:from>
    <xdr:ext cx="5400000" cy="2700000"/>
    <xdr:graphicFrame macro="">
      <xdr:nvGraphicFramePr>
        <xdr:cNvPr id="27" name="Chart 26">
          <a:extLst>
            <a:ext uri="{FF2B5EF4-FFF2-40B4-BE49-F238E27FC236}">
              <a16:creationId xmlns:a16="http://schemas.microsoft.com/office/drawing/2014/main" id="{00000000-0008-0000-00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oneCellAnchor>
  <xdr:oneCellAnchor>
    <xdr:from>
      <xdr:col>0</xdr:col>
      <xdr:colOff>0</xdr:colOff>
      <xdr:row>264</xdr:row>
      <xdr:rowOff>0</xdr:rowOff>
    </xdr:from>
    <xdr:ext cx="5400000" cy="2700000"/>
    <xdr:graphicFrame macro="">
      <xdr:nvGraphicFramePr>
        <xdr:cNvPr id="28" name="Chart 27">
          <a:extLst>
            <a:ext uri="{FF2B5EF4-FFF2-40B4-BE49-F238E27FC236}">
              <a16:creationId xmlns:a16="http://schemas.microsoft.com/office/drawing/2014/main" id="{00000000-0008-0000-00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oneCellAnchor>
  <xdr:oneCellAnchor>
    <xdr:from>
      <xdr:col>13</xdr:col>
      <xdr:colOff>0</xdr:colOff>
      <xdr:row>264</xdr:row>
      <xdr:rowOff>0</xdr:rowOff>
    </xdr:from>
    <xdr:ext cx="5400000" cy="2700000"/>
    <xdr:graphicFrame macro="">
      <xdr:nvGraphicFramePr>
        <xdr:cNvPr id="29" name="Chart 28">
          <a:extLst>
            <a:ext uri="{FF2B5EF4-FFF2-40B4-BE49-F238E27FC236}">
              <a16:creationId xmlns:a16="http://schemas.microsoft.com/office/drawing/2014/main" id="{00000000-0008-0000-00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oneCellAnchor>
  <xdr:oneCellAnchor>
    <xdr:from>
      <xdr:col>0</xdr:col>
      <xdr:colOff>0</xdr:colOff>
      <xdr:row>284</xdr:row>
      <xdr:rowOff>0</xdr:rowOff>
    </xdr:from>
    <xdr:ext cx="5400000" cy="2700000"/>
    <xdr:graphicFrame macro="">
      <xdr:nvGraphicFramePr>
        <xdr:cNvPr id="30" name="Chart 29">
          <a:extLst>
            <a:ext uri="{FF2B5EF4-FFF2-40B4-BE49-F238E27FC236}">
              <a16:creationId xmlns:a16="http://schemas.microsoft.com/office/drawing/2014/main" id="{00000000-0008-0000-00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oneCellAnchor>
  <xdr:oneCellAnchor>
    <xdr:from>
      <xdr:col>13</xdr:col>
      <xdr:colOff>0</xdr:colOff>
      <xdr:row>284</xdr:row>
      <xdr:rowOff>0</xdr:rowOff>
    </xdr:from>
    <xdr:ext cx="5400000" cy="2700000"/>
    <xdr:graphicFrame macro="">
      <xdr:nvGraphicFramePr>
        <xdr:cNvPr id="31" name="Chart 30">
          <a:extLst>
            <a:ext uri="{FF2B5EF4-FFF2-40B4-BE49-F238E27FC236}">
              <a16:creationId xmlns:a16="http://schemas.microsoft.com/office/drawing/2014/main" id="{00000000-0008-0000-00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oneCellAnchor>
  <xdr:oneCellAnchor>
    <xdr:from>
      <xdr:col>0</xdr:col>
      <xdr:colOff>0</xdr:colOff>
      <xdr:row>304</xdr:row>
      <xdr:rowOff>0</xdr:rowOff>
    </xdr:from>
    <xdr:ext cx="5400000" cy="2700000"/>
    <xdr:graphicFrame macro="">
      <xdr:nvGraphicFramePr>
        <xdr:cNvPr id="32" name="Chart 31">
          <a:extLst>
            <a:ext uri="{FF2B5EF4-FFF2-40B4-BE49-F238E27FC236}">
              <a16:creationId xmlns:a16="http://schemas.microsoft.com/office/drawing/2014/main" id="{00000000-0008-0000-00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oneCellAnchor>
  <xdr:oneCellAnchor>
    <xdr:from>
      <xdr:col>13</xdr:col>
      <xdr:colOff>0</xdr:colOff>
      <xdr:row>304</xdr:row>
      <xdr:rowOff>0</xdr:rowOff>
    </xdr:from>
    <xdr:ext cx="5400000" cy="2700000"/>
    <xdr:graphicFrame macro="">
      <xdr:nvGraphicFramePr>
        <xdr:cNvPr id="33" name="Chart 32">
          <a:extLst>
            <a:ext uri="{FF2B5EF4-FFF2-40B4-BE49-F238E27FC236}">
              <a16:creationId xmlns:a16="http://schemas.microsoft.com/office/drawing/2014/main" id="{00000000-0008-0000-00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oneCellAnchor>
  <xdr:oneCellAnchor>
    <xdr:from>
      <xdr:col>0</xdr:col>
      <xdr:colOff>0</xdr:colOff>
      <xdr:row>324</xdr:row>
      <xdr:rowOff>0</xdr:rowOff>
    </xdr:from>
    <xdr:ext cx="5400000" cy="2700000"/>
    <xdr:graphicFrame macro="">
      <xdr:nvGraphicFramePr>
        <xdr:cNvPr id="34" name="Chart 33">
          <a:extLst>
            <a:ext uri="{FF2B5EF4-FFF2-40B4-BE49-F238E27FC236}">
              <a16:creationId xmlns:a16="http://schemas.microsoft.com/office/drawing/2014/main" id="{00000000-0008-0000-00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oneCellAnchor>
  <xdr:oneCellAnchor>
    <xdr:from>
      <xdr:col>0</xdr:col>
      <xdr:colOff>0</xdr:colOff>
      <xdr:row>344</xdr:row>
      <xdr:rowOff>0</xdr:rowOff>
    </xdr:from>
    <xdr:ext cx="5400000" cy="2700000"/>
    <xdr:graphicFrame macro="">
      <xdr:nvGraphicFramePr>
        <xdr:cNvPr id="35" name="Chart 34">
          <a:extLst>
            <a:ext uri="{FF2B5EF4-FFF2-40B4-BE49-F238E27FC236}">
              <a16:creationId xmlns:a16="http://schemas.microsoft.com/office/drawing/2014/main" id="{00000000-0008-0000-00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oneCellAnchor>
  <xdr:oneCellAnchor>
    <xdr:from>
      <xdr:col>13</xdr:col>
      <xdr:colOff>0</xdr:colOff>
      <xdr:row>344</xdr:row>
      <xdr:rowOff>0</xdr:rowOff>
    </xdr:from>
    <xdr:ext cx="5400000" cy="2700000"/>
    <xdr:graphicFrame macro="">
      <xdr:nvGraphicFramePr>
        <xdr:cNvPr id="36" name="Chart 35">
          <a:extLst>
            <a:ext uri="{FF2B5EF4-FFF2-40B4-BE49-F238E27FC236}">
              <a16:creationId xmlns:a16="http://schemas.microsoft.com/office/drawing/2014/main" id="{00000000-0008-0000-00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oneCellAnchor>
  <xdr:oneCellAnchor>
    <xdr:from>
      <xdr:col>13</xdr:col>
      <xdr:colOff>0</xdr:colOff>
      <xdr:row>324</xdr:row>
      <xdr:rowOff>0</xdr:rowOff>
    </xdr:from>
    <xdr:ext cx="14859000" cy="7810500"/>
    <xdr:pic>
      <xdr:nvPicPr>
        <xdr:cNvPr id="37" name="Image 36" descr="Picture">
          <a:extLst>
            <a:ext uri="{FF2B5EF4-FFF2-40B4-BE49-F238E27FC236}">
              <a16:creationId xmlns:a16="http://schemas.microsoft.com/office/drawing/2014/main" id="{00000000-0008-0000-0000-000025000000}"/>
            </a:ext>
          </a:extLst>
        </xdr:cNvPr>
        <xdr:cNvPicPr/>
      </xdr:nvPicPr>
      <xdr:blipFill>
        <a:blip xmlns:r="http://schemas.openxmlformats.org/officeDocument/2006/relationships" r:embed="rId36" cstate="print"/>
        <a:stretch>
          <a:fillRect/>
        </a:stretch>
      </xdr:blipFill>
      <xdr:spPr>
        <a:prstGeom prst="rect">
          <a:avLst/>
        </a:prstGeom>
        <a:ln>
          <a:prstDash val="solid"/>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3</xdr:col>
      <xdr:colOff>0</xdr:colOff>
      <xdr:row>5</xdr:row>
      <xdr:rowOff>0</xdr:rowOff>
    </xdr:from>
    <xdr:ext cx="6120000" cy="270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xdr:col>
      <xdr:colOff>106680</xdr:colOff>
      <xdr:row>19</xdr:row>
      <xdr:rowOff>160020</xdr:rowOff>
    </xdr:from>
    <xdr:ext cx="6120000" cy="270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13</xdr:col>
      <xdr:colOff>279400</xdr:colOff>
      <xdr:row>5</xdr:row>
      <xdr:rowOff>42333</xdr:rowOff>
    </xdr:from>
    <xdr:ext cx="7200000" cy="288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13</xdr:col>
      <xdr:colOff>0</xdr:colOff>
      <xdr:row>21</xdr:row>
      <xdr:rowOff>0</xdr:rowOff>
    </xdr:from>
    <xdr:ext cx="7200000" cy="2880000"/>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13</xdr:col>
      <xdr:colOff>0</xdr:colOff>
      <xdr:row>38</xdr:row>
      <xdr:rowOff>0</xdr:rowOff>
    </xdr:from>
    <xdr:ext cx="7200000" cy="2880000"/>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8</xdr:col>
      <xdr:colOff>449580</xdr:colOff>
      <xdr:row>4</xdr:row>
      <xdr:rowOff>129540</xdr:rowOff>
    </xdr:from>
    <xdr:ext cx="6480000" cy="28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21</xdr:row>
      <xdr:rowOff>0</xdr:rowOff>
    </xdr:from>
    <xdr:ext cx="6480000" cy="2880000"/>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10</xdr:col>
      <xdr:colOff>0</xdr:colOff>
      <xdr:row>3</xdr:row>
      <xdr:rowOff>0</xdr:rowOff>
    </xdr:from>
    <xdr:ext cx="6120000" cy="30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6</xdr:col>
      <xdr:colOff>0</xdr:colOff>
      <xdr:row>3</xdr:row>
      <xdr:rowOff>0</xdr:rowOff>
    </xdr:from>
    <xdr:ext cx="8640000" cy="432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11</xdr:col>
      <xdr:colOff>167640</xdr:colOff>
      <xdr:row>4</xdr:row>
      <xdr:rowOff>76200</xdr:rowOff>
    </xdr:from>
    <xdr:ext cx="6480000" cy="288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7</xdr:col>
      <xdr:colOff>342900</xdr:colOff>
      <xdr:row>4</xdr:row>
      <xdr:rowOff>99060</xdr:rowOff>
    </xdr:from>
    <xdr:ext cx="4320000" cy="252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11</xdr:col>
      <xdr:colOff>76200</xdr:colOff>
      <xdr:row>4</xdr:row>
      <xdr:rowOff>91440</xdr:rowOff>
    </xdr:from>
    <xdr:ext cx="540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21</xdr:row>
      <xdr:rowOff>0</xdr:rowOff>
    </xdr:from>
    <xdr:ext cx="5400000" cy="288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39</xdr:row>
      <xdr:rowOff>0</xdr:rowOff>
    </xdr:from>
    <xdr:ext cx="7200000" cy="2880000"/>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7</xdr:col>
      <xdr:colOff>0</xdr:colOff>
      <xdr:row>5</xdr:row>
      <xdr:rowOff>0</xdr:rowOff>
    </xdr:from>
    <xdr:ext cx="612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1.xml><?xml version="1.0" encoding="utf-8"?>
<xdr:wsDr xmlns:xdr="http://schemas.openxmlformats.org/drawingml/2006/spreadsheetDrawing" xmlns:a="http://schemas.openxmlformats.org/drawingml/2006/main">
  <xdr:oneCellAnchor>
    <xdr:from>
      <xdr:col>8</xdr:col>
      <xdr:colOff>0</xdr:colOff>
      <xdr:row>3</xdr:row>
      <xdr:rowOff>0</xdr:rowOff>
    </xdr:from>
    <xdr:ext cx="6480000" cy="324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2.xml><?xml version="1.0" encoding="utf-8"?>
<xdr:wsDr xmlns:xdr="http://schemas.openxmlformats.org/drawingml/2006/spreadsheetDrawing" xmlns:a="http://schemas.openxmlformats.org/drawingml/2006/main">
  <xdr:oneCellAnchor>
    <xdr:from>
      <xdr:col>7</xdr:col>
      <xdr:colOff>38100</xdr:colOff>
      <xdr:row>5</xdr:row>
      <xdr:rowOff>83820</xdr:rowOff>
    </xdr:from>
    <xdr:ext cx="576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3.xml><?xml version="1.0" encoding="utf-8"?>
<xdr:wsDr xmlns:xdr="http://schemas.openxmlformats.org/drawingml/2006/spreadsheetDrawing" xmlns:a="http://schemas.openxmlformats.org/drawingml/2006/main">
  <xdr:oneCellAnchor>
    <xdr:from>
      <xdr:col>10</xdr:col>
      <xdr:colOff>213360</xdr:colOff>
      <xdr:row>4</xdr:row>
      <xdr:rowOff>121920</xdr:rowOff>
    </xdr:from>
    <xdr:ext cx="10080000" cy="720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4.xml><?xml version="1.0" encoding="utf-8"?>
<xdr:wsDr xmlns:xdr="http://schemas.openxmlformats.org/drawingml/2006/spreadsheetDrawing" xmlns:a="http://schemas.openxmlformats.org/drawingml/2006/main">
  <xdr:oneCellAnchor>
    <xdr:from>
      <xdr:col>12</xdr:col>
      <xdr:colOff>0</xdr:colOff>
      <xdr:row>3</xdr:row>
      <xdr:rowOff>0</xdr:rowOff>
    </xdr:from>
    <xdr:ext cx="4680000" cy="270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5.xml><?xml version="1.0" encoding="utf-8"?>
<xdr:wsDr xmlns:xdr="http://schemas.openxmlformats.org/drawingml/2006/spreadsheetDrawing" xmlns:a="http://schemas.openxmlformats.org/drawingml/2006/main">
  <xdr:oneCellAnchor>
    <xdr:from>
      <xdr:col>8</xdr:col>
      <xdr:colOff>274320</xdr:colOff>
      <xdr:row>5</xdr:row>
      <xdr:rowOff>167640</xdr:rowOff>
    </xdr:from>
    <xdr:ext cx="6480000" cy="288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6.xml><?xml version="1.0" encoding="utf-8"?>
<xdr:wsDr xmlns:xdr="http://schemas.openxmlformats.org/drawingml/2006/spreadsheetDrawing" xmlns:a="http://schemas.openxmlformats.org/drawingml/2006/main">
  <xdr:oneCellAnchor>
    <xdr:from>
      <xdr:col>5</xdr:col>
      <xdr:colOff>0</xdr:colOff>
      <xdr:row>7</xdr:row>
      <xdr:rowOff>53340</xdr:rowOff>
    </xdr:from>
    <xdr:ext cx="6480000" cy="3240000"/>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480060</xdr:colOff>
      <xdr:row>24</xdr:row>
      <xdr:rowOff>22860</xdr:rowOff>
    </xdr:from>
    <xdr:ext cx="5760000" cy="2880000"/>
    <xdr:graphicFrame macro="">
      <xdr:nvGraphicFramePr>
        <xdr:cNvPr id="3" name="Chart 2">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17.xml><?xml version="1.0" encoding="utf-8"?>
<xdr:wsDr xmlns:xdr="http://schemas.openxmlformats.org/drawingml/2006/spreadsheetDrawing" xmlns:a="http://schemas.openxmlformats.org/drawingml/2006/main">
  <xdr:oneCellAnchor>
    <xdr:from>
      <xdr:col>9</xdr:col>
      <xdr:colOff>198120</xdr:colOff>
      <xdr:row>4</xdr:row>
      <xdr:rowOff>137160</xdr:rowOff>
    </xdr:from>
    <xdr:ext cx="6903720" cy="3223260"/>
    <xdr:graphicFrame macro="">
      <xdr:nvGraphicFramePr>
        <xdr:cNvPr id="2" name="Chart 1">
          <a:extLst>
            <a:ext uri="{FF2B5EF4-FFF2-40B4-BE49-F238E27FC236}">
              <a16:creationId xmlns:a16="http://schemas.microsoft.com/office/drawing/2014/main" id="{00000000-0008-0000-1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8.xml><?xml version="1.0" encoding="utf-8"?>
<xdr:wsDr xmlns:xdr="http://schemas.openxmlformats.org/drawingml/2006/spreadsheetDrawing" xmlns:a="http://schemas.openxmlformats.org/drawingml/2006/main">
  <xdr:oneCellAnchor>
    <xdr:from>
      <xdr:col>9</xdr:col>
      <xdr:colOff>0</xdr:colOff>
      <xdr:row>21</xdr:row>
      <xdr:rowOff>0</xdr:rowOff>
    </xdr:from>
    <xdr:ext cx="5760000" cy="2880000"/>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38</xdr:row>
      <xdr:rowOff>0</xdr:rowOff>
    </xdr:from>
    <xdr:ext cx="5760000" cy="2880000"/>
    <xdr:graphicFrame macro="">
      <xdr:nvGraphicFramePr>
        <xdr:cNvPr id="3" name="Chart 2">
          <a:extLst>
            <a:ext uri="{FF2B5EF4-FFF2-40B4-BE49-F238E27FC236}">
              <a16:creationId xmlns:a16="http://schemas.microsoft.com/office/drawing/2014/main" id="{00000000-0008-0000-1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19</xdr:col>
      <xdr:colOff>182880</xdr:colOff>
      <xdr:row>20</xdr:row>
      <xdr:rowOff>121920</xdr:rowOff>
    </xdr:from>
    <xdr:ext cx="4320000" cy="2880000"/>
    <xdr:graphicFrame macro="">
      <xdr:nvGraphicFramePr>
        <xdr:cNvPr id="4" name="Chart 3">
          <a:extLst>
            <a:ext uri="{FF2B5EF4-FFF2-40B4-BE49-F238E27FC236}">
              <a16:creationId xmlns:a16="http://schemas.microsoft.com/office/drawing/2014/main" id="{00000000-0008-0000-1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drawings/drawing19.xml><?xml version="1.0" encoding="utf-8"?>
<xdr:wsDr xmlns:xdr="http://schemas.openxmlformats.org/drawingml/2006/spreadsheetDrawing" xmlns:a="http://schemas.openxmlformats.org/drawingml/2006/main">
  <xdr:oneCellAnchor>
    <xdr:from>
      <xdr:col>6</xdr:col>
      <xdr:colOff>60960</xdr:colOff>
      <xdr:row>4</xdr:row>
      <xdr:rowOff>83820</xdr:rowOff>
    </xdr:from>
    <xdr:ext cx="6480000" cy="3240000"/>
    <xdr:graphicFrame macro="">
      <xdr:nvGraphicFramePr>
        <xdr:cNvPr id="2" name="Chart 1">
          <a:extLst>
            <a:ext uri="{FF2B5EF4-FFF2-40B4-BE49-F238E27FC236}">
              <a16:creationId xmlns:a16="http://schemas.microsoft.com/office/drawing/2014/main" id="{00000000-0008-0000-1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0.xml><?xml version="1.0" encoding="utf-8"?>
<xdr:wsDr xmlns:xdr="http://schemas.openxmlformats.org/drawingml/2006/spreadsheetDrawing" xmlns:a="http://schemas.openxmlformats.org/drawingml/2006/main">
  <xdr:oneCellAnchor>
    <xdr:from>
      <xdr:col>7</xdr:col>
      <xdr:colOff>0</xdr:colOff>
      <xdr:row>2</xdr:row>
      <xdr:rowOff>0</xdr:rowOff>
    </xdr:from>
    <xdr:ext cx="5760000" cy="2880000"/>
    <xdr:graphicFrame macro="">
      <xdr:nvGraphicFramePr>
        <xdr:cNvPr id="2" name="Chart 1">
          <a:extLst>
            <a:ext uri="{FF2B5EF4-FFF2-40B4-BE49-F238E27FC236}">
              <a16:creationId xmlns:a16="http://schemas.microsoft.com/office/drawing/2014/main" id="{00000000-0008-0000-1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19</xdr:row>
      <xdr:rowOff>0</xdr:rowOff>
    </xdr:from>
    <xdr:ext cx="5760000" cy="2880000"/>
    <xdr:graphicFrame macro="">
      <xdr:nvGraphicFramePr>
        <xdr:cNvPr id="3" name="Chart 2">
          <a:extLst>
            <a:ext uri="{FF2B5EF4-FFF2-40B4-BE49-F238E27FC236}">
              <a16:creationId xmlns:a16="http://schemas.microsoft.com/office/drawing/2014/main" id="{00000000-0008-0000-1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7</xdr:col>
      <xdr:colOff>0</xdr:colOff>
      <xdr:row>36</xdr:row>
      <xdr:rowOff>0</xdr:rowOff>
    </xdr:from>
    <xdr:ext cx="5760000" cy="2880000"/>
    <xdr:graphicFrame macro="">
      <xdr:nvGraphicFramePr>
        <xdr:cNvPr id="4" name="Chart 3">
          <a:extLst>
            <a:ext uri="{FF2B5EF4-FFF2-40B4-BE49-F238E27FC236}">
              <a16:creationId xmlns:a16="http://schemas.microsoft.com/office/drawing/2014/main" id="{00000000-0008-0000-1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16</xdr:col>
      <xdr:colOff>0</xdr:colOff>
      <xdr:row>2</xdr:row>
      <xdr:rowOff>0</xdr:rowOff>
    </xdr:from>
    <xdr:ext cx="4320000" cy="3240000"/>
    <xdr:graphicFrame macro="">
      <xdr:nvGraphicFramePr>
        <xdr:cNvPr id="5" name="Chart 4">
          <a:extLst>
            <a:ext uri="{FF2B5EF4-FFF2-40B4-BE49-F238E27FC236}">
              <a16:creationId xmlns:a16="http://schemas.microsoft.com/office/drawing/2014/main" id="{00000000-0008-0000-1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16</xdr:col>
      <xdr:colOff>0</xdr:colOff>
      <xdr:row>19</xdr:row>
      <xdr:rowOff>0</xdr:rowOff>
    </xdr:from>
    <xdr:ext cx="5760000" cy="2880000"/>
    <xdr:graphicFrame macro="">
      <xdr:nvGraphicFramePr>
        <xdr:cNvPr id="6" name="Chart 5">
          <a:extLst>
            <a:ext uri="{FF2B5EF4-FFF2-40B4-BE49-F238E27FC236}">
              <a16:creationId xmlns:a16="http://schemas.microsoft.com/office/drawing/2014/main" id="{00000000-0008-0000-18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21.xml><?xml version="1.0" encoding="utf-8"?>
<xdr:wsDr xmlns:xdr="http://schemas.openxmlformats.org/drawingml/2006/spreadsheetDrawing" xmlns:a="http://schemas.openxmlformats.org/drawingml/2006/main">
  <xdr:oneCellAnchor>
    <xdr:from>
      <xdr:col>5</xdr:col>
      <xdr:colOff>541020</xdr:colOff>
      <xdr:row>9</xdr:row>
      <xdr:rowOff>38100</xdr:rowOff>
    </xdr:from>
    <xdr:ext cx="7920000" cy="3240000"/>
    <xdr:graphicFrame macro="">
      <xdr:nvGraphicFramePr>
        <xdr:cNvPr id="2" name="Chart 1">
          <a:extLst>
            <a:ext uri="{FF2B5EF4-FFF2-40B4-BE49-F238E27FC236}">
              <a16:creationId xmlns:a16="http://schemas.microsoft.com/office/drawing/2014/main" id="{00000000-0008-0000-1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2.xml><?xml version="1.0" encoding="utf-8"?>
<xdr:wsDr xmlns:xdr="http://schemas.openxmlformats.org/drawingml/2006/spreadsheetDrawing" xmlns:a="http://schemas.openxmlformats.org/drawingml/2006/main">
  <xdr:oneCellAnchor>
    <xdr:from>
      <xdr:col>10</xdr:col>
      <xdr:colOff>0</xdr:colOff>
      <xdr:row>3</xdr:row>
      <xdr:rowOff>0</xdr:rowOff>
    </xdr:from>
    <xdr:ext cx="4320000" cy="3240000"/>
    <xdr:graphicFrame macro="">
      <xdr:nvGraphicFramePr>
        <xdr:cNvPr id="2" name="Chart 1">
          <a:extLst>
            <a:ext uri="{FF2B5EF4-FFF2-40B4-BE49-F238E27FC236}">
              <a16:creationId xmlns:a16="http://schemas.microsoft.com/office/drawing/2014/main" id="{00000000-0008-0000-1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3.xml><?xml version="1.0" encoding="utf-8"?>
<xdr:wsDr xmlns:xdr="http://schemas.openxmlformats.org/drawingml/2006/spreadsheetDrawing" xmlns:a="http://schemas.openxmlformats.org/drawingml/2006/main">
  <xdr:oneCellAnchor>
    <xdr:from>
      <xdr:col>10</xdr:col>
      <xdr:colOff>0</xdr:colOff>
      <xdr:row>3</xdr:row>
      <xdr:rowOff>0</xdr:rowOff>
    </xdr:from>
    <xdr:ext cx="6480000" cy="2520000"/>
    <xdr:graphicFrame macro="">
      <xdr:nvGraphicFramePr>
        <xdr:cNvPr id="2" name="Chart 1">
          <a:extLst>
            <a:ext uri="{FF2B5EF4-FFF2-40B4-BE49-F238E27FC236}">
              <a16:creationId xmlns:a16="http://schemas.microsoft.com/office/drawing/2014/main" id="{00000000-0008-0000-1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20</xdr:row>
      <xdr:rowOff>0</xdr:rowOff>
    </xdr:from>
    <xdr:ext cx="9906000" cy="5200650"/>
    <xdr:pic>
      <xdr:nvPicPr>
        <xdr:cNvPr id="3" name="Image 2" descr="Picture">
          <a:extLst>
            <a:ext uri="{FF2B5EF4-FFF2-40B4-BE49-F238E27FC236}">
              <a16:creationId xmlns:a16="http://schemas.microsoft.com/office/drawing/2014/main" id="{00000000-0008-0000-1B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wsDr>
</file>

<file path=xl/drawings/drawing24.xml><?xml version="1.0" encoding="utf-8"?>
<xdr:wsDr xmlns:xdr="http://schemas.openxmlformats.org/drawingml/2006/spreadsheetDrawing" xmlns:a="http://schemas.openxmlformats.org/drawingml/2006/main">
  <xdr:oneCellAnchor>
    <xdr:from>
      <xdr:col>6</xdr:col>
      <xdr:colOff>457200</xdr:colOff>
      <xdr:row>4</xdr:row>
      <xdr:rowOff>76200</xdr:rowOff>
    </xdr:from>
    <xdr:ext cx="5760000" cy="3600000"/>
    <xdr:graphicFrame macro="">
      <xdr:nvGraphicFramePr>
        <xdr:cNvPr id="2" name="Chart 1">
          <a:extLst>
            <a:ext uri="{FF2B5EF4-FFF2-40B4-BE49-F238E27FC236}">
              <a16:creationId xmlns:a16="http://schemas.microsoft.com/office/drawing/2014/main" id="{00000000-0008-0000-1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5.xml><?xml version="1.0" encoding="utf-8"?>
<xdr:wsDr xmlns:xdr="http://schemas.openxmlformats.org/drawingml/2006/spreadsheetDrawing" xmlns:a="http://schemas.openxmlformats.org/drawingml/2006/main">
  <xdr:oneCellAnchor>
    <xdr:from>
      <xdr:col>7</xdr:col>
      <xdr:colOff>0</xdr:colOff>
      <xdr:row>5</xdr:row>
      <xdr:rowOff>0</xdr:rowOff>
    </xdr:from>
    <xdr:ext cx="7920000" cy="3240000"/>
    <xdr:graphicFrame macro="">
      <xdr:nvGraphicFramePr>
        <xdr:cNvPr id="2" name="Chart 1">
          <a:extLst>
            <a:ext uri="{FF2B5EF4-FFF2-40B4-BE49-F238E27FC236}">
              <a16:creationId xmlns:a16="http://schemas.microsoft.com/office/drawing/2014/main" id="{00000000-0008-0000-1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44"/>
  <sheetViews>
    <sheetView showGridLines="0" topLeftCell="A141" workbookViewId="0"/>
  </sheetViews>
  <sheetFormatPr defaultRowHeight="14.4" x14ac:dyDescent="0.3"/>
  <cols>
    <col min="1" max="1" width="12" customWidth="1"/>
  </cols>
  <sheetData>
    <row r="1" spans="1:14" ht="17.399999999999999" customHeight="1" x14ac:dyDescent="0.3">
      <c r="A1" s="213" t="s">
        <v>0</v>
      </c>
    </row>
    <row r="2" spans="1:14" x14ac:dyDescent="0.3">
      <c r="A2" s="214" t="s">
        <v>1</v>
      </c>
    </row>
    <row r="4" spans="1:14" x14ac:dyDescent="0.3">
      <c r="A4" s="222" t="s">
        <v>2</v>
      </c>
      <c r="N4" s="222" t="s">
        <v>3</v>
      </c>
    </row>
    <row r="24" spans="1:14" x14ac:dyDescent="0.3">
      <c r="A24" s="222" t="s">
        <v>4</v>
      </c>
      <c r="N24" s="222" t="s">
        <v>5</v>
      </c>
    </row>
    <row r="44" spans="1:14" x14ac:dyDescent="0.3">
      <c r="A44" s="222" t="s">
        <v>6</v>
      </c>
      <c r="N44" s="222" t="s">
        <v>7</v>
      </c>
    </row>
    <row r="64" spans="1:14" x14ac:dyDescent="0.3">
      <c r="A64" s="222" t="s">
        <v>8</v>
      </c>
      <c r="N64" s="222" t="s">
        <v>9</v>
      </c>
    </row>
    <row r="84" spans="1:14" x14ac:dyDescent="0.3">
      <c r="A84" s="222" t="s">
        <v>10</v>
      </c>
      <c r="N84" s="222" t="s">
        <v>11</v>
      </c>
    </row>
    <row r="104" spans="1:14" x14ac:dyDescent="0.3">
      <c r="A104" s="222" t="s">
        <v>12</v>
      </c>
      <c r="N104" s="222" t="s">
        <v>13</v>
      </c>
    </row>
    <row r="124" spans="1:14" x14ac:dyDescent="0.3">
      <c r="A124" s="222" t="s">
        <v>14</v>
      </c>
      <c r="N124" s="222" t="s">
        <v>15</v>
      </c>
    </row>
    <row r="144" spans="1:14" x14ac:dyDescent="0.3">
      <c r="A144" s="222" t="s">
        <v>16</v>
      </c>
      <c r="N144" s="222" t="s">
        <v>17</v>
      </c>
    </row>
    <row r="164" spans="1:14" x14ac:dyDescent="0.3">
      <c r="A164" s="222" t="s">
        <v>18</v>
      </c>
      <c r="N164" s="222" t="s">
        <v>19</v>
      </c>
    </row>
    <row r="184" spans="1:14" x14ac:dyDescent="0.3">
      <c r="A184" s="222" t="s">
        <v>20</v>
      </c>
      <c r="N184" s="222" t="s">
        <v>21</v>
      </c>
    </row>
    <row r="204" spans="1:14" x14ac:dyDescent="0.3">
      <c r="A204" s="222" t="s">
        <v>22</v>
      </c>
      <c r="N204" s="222" t="s">
        <v>23</v>
      </c>
    </row>
    <row r="224" spans="1:14" x14ac:dyDescent="0.3">
      <c r="A224" s="222" t="s">
        <v>24</v>
      </c>
      <c r="N224" s="222" t="s">
        <v>25</v>
      </c>
    </row>
    <row r="244" spans="1:14" x14ac:dyDescent="0.3">
      <c r="A244" s="222" t="s">
        <v>26</v>
      </c>
      <c r="N244" s="222" t="s">
        <v>27</v>
      </c>
    </row>
    <row r="264" spans="1:14" x14ac:dyDescent="0.3">
      <c r="A264" s="222" t="s">
        <v>28</v>
      </c>
      <c r="N264" s="222" t="s">
        <v>29</v>
      </c>
    </row>
    <row r="284" spans="1:14" x14ac:dyDescent="0.3">
      <c r="A284" s="222" t="s">
        <v>30</v>
      </c>
      <c r="N284" s="222" t="s">
        <v>31</v>
      </c>
    </row>
    <row r="304" spans="1:14" x14ac:dyDescent="0.3">
      <c r="A304" s="222" t="s">
        <v>32</v>
      </c>
      <c r="N304" s="222" t="s">
        <v>33</v>
      </c>
    </row>
    <row r="324" spans="1:14" x14ac:dyDescent="0.3">
      <c r="A324" s="222" t="s">
        <v>34</v>
      </c>
      <c r="N324" s="222" t="s">
        <v>35</v>
      </c>
    </row>
    <row r="344" spans="1:14" x14ac:dyDescent="0.3">
      <c r="A344" s="222" t="s">
        <v>36</v>
      </c>
      <c r="N344" s="222" t="s">
        <v>37</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35"/>
  <sheetViews>
    <sheetView showGridLines="0" workbookViewId="0"/>
  </sheetViews>
  <sheetFormatPr defaultRowHeight="14.4" x14ac:dyDescent="0.3"/>
  <cols>
    <col min="1" max="1" width="26" customWidth="1"/>
    <col min="2" max="2" width="16" customWidth="1"/>
    <col min="3" max="11" width="11" customWidth="1"/>
  </cols>
  <sheetData>
    <row r="1" spans="1:5" ht="21" customHeight="1" x14ac:dyDescent="0.4">
      <c r="A1" s="75" t="s">
        <v>38</v>
      </c>
    </row>
    <row r="3" spans="1:5" x14ac:dyDescent="0.3">
      <c r="A3" s="14" t="s">
        <v>39</v>
      </c>
      <c r="B3" s="241" t="str">
        <f>Параметры!$B$19</f>
        <v>Запустить оформление заказа с онлайн-оплатой</v>
      </c>
      <c r="C3" s="242"/>
      <c r="D3" s="242"/>
      <c r="E3" s="243"/>
    </row>
    <row r="4" spans="1:5" x14ac:dyDescent="0.3">
      <c r="A4" s="38" t="s">
        <v>40</v>
      </c>
    </row>
    <row r="6" spans="1:5" ht="15.6" customHeight="1" x14ac:dyDescent="0.3">
      <c r="A6" s="58" t="s">
        <v>41</v>
      </c>
    </row>
    <row r="7" spans="1:5" ht="15.6" customHeight="1" x14ac:dyDescent="0.3">
      <c r="A7" s="32" t="s">
        <v>42</v>
      </c>
      <c r="B7" s="76">
        <f>Параметры!$B$13</f>
        <v>3</v>
      </c>
    </row>
    <row r="8" spans="1:5" ht="15.6" customHeight="1" x14ac:dyDescent="0.3">
      <c r="A8" s="32" t="s">
        <v>43</v>
      </c>
      <c r="B8" s="77">
        <f>Параметры!$B$14</f>
        <v>95.2</v>
      </c>
    </row>
    <row r="9" spans="1:5" ht="15.6" customHeight="1" x14ac:dyDescent="0.3">
      <c r="A9" s="32" t="s">
        <v>44</v>
      </c>
      <c r="B9" s="77">
        <f>Параметры!$B$15</f>
        <v>29</v>
      </c>
    </row>
    <row r="10" spans="1:5" ht="15.6" customHeight="1" x14ac:dyDescent="0.3">
      <c r="A10" s="32" t="s">
        <v>45</v>
      </c>
      <c r="B10" s="78">
        <f>Параметры!$B$16</f>
        <v>0.30462184873949577</v>
      </c>
    </row>
    <row r="11" spans="1:5" ht="15.6" customHeight="1" x14ac:dyDescent="0.3">
      <c r="A11" s="32" t="s">
        <v>46</v>
      </c>
      <c r="B11" s="77">
        <f>Параметры!$B$17</f>
        <v>66.2</v>
      </c>
    </row>
    <row r="12" spans="1:5" ht="15.6" customHeight="1" x14ac:dyDescent="0.3">
      <c r="A12" s="32" t="s">
        <v>47</v>
      </c>
      <c r="B12" s="78">
        <f>Параметры!$B$29</f>
        <v>0</v>
      </c>
    </row>
    <row r="14" spans="1:5" ht="15.6" customHeight="1" x14ac:dyDescent="0.3">
      <c r="A14" s="58" t="s">
        <v>48</v>
      </c>
    </row>
    <row r="15" spans="1:5" ht="15.6" customHeight="1" x14ac:dyDescent="0.3">
      <c r="A15" s="32" t="s">
        <v>49</v>
      </c>
      <c r="B15" s="76">
        <f>'Дорожная карта'!$C$20</f>
        <v>2</v>
      </c>
    </row>
    <row r="16" spans="1:5" ht="15.6" customHeight="1" x14ac:dyDescent="0.3">
      <c r="A16" s="32" t="s">
        <v>50</v>
      </c>
      <c r="B16" s="77">
        <f>'Дорожная карта'!$C$21</f>
        <v>19</v>
      </c>
    </row>
    <row r="17" spans="1:2" ht="15.6" customHeight="1" x14ac:dyDescent="0.3">
      <c r="A17" s="32" t="s">
        <v>51</v>
      </c>
      <c r="B17" s="78">
        <f>'Дорожная карта'!$C$22</f>
        <v>0.82386363636363635</v>
      </c>
    </row>
    <row r="18" spans="1:2" ht="15.6" customHeight="1" x14ac:dyDescent="0.3">
      <c r="A18" s="32" t="s">
        <v>52</v>
      </c>
      <c r="B18" s="79">
        <f>'Дорожная карта'!$F$20</f>
        <v>61</v>
      </c>
    </row>
    <row r="19" spans="1:2" ht="15.6" customHeight="1" x14ac:dyDescent="0.3">
      <c r="A19" s="32" t="s">
        <v>53</v>
      </c>
      <c r="B19" s="76">
        <f>'Дорожная карта'!$F$22</f>
        <v>4</v>
      </c>
    </row>
    <row r="20" spans="1:2" ht="15.6" customHeight="1" x14ac:dyDescent="0.3">
      <c r="A20" s="32" t="s">
        <v>54</v>
      </c>
      <c r="B20" s="80">
        <f>'Дорожная карта'!$F$23</f>
        <v>46332</v>
      </c>
    </row>
    <row r="22" spans="1:2" ht="15.6" customHeight="1" x14ac:dyDescent="0.3">
      <c r="A22" s="58" t="s">
        <v>55</v>
      </c>
    </row>
    <row r="23" spans="1:2" ht="15.6" customHeight="1" x14ac:dyDescent="0.3">
      <c r="A23" s="32" t="s">
        <v>56</v>
      </c>
      <c r="B23" s="81">
        <f>Бэклог!$E$47</f>
        <v>1.0789473684210527</v>
      </c>
    </row>
    <row r="24" spans="1:2" ht="15.6" customHeight="1" x14ac:dyDescent="0.3">
      <c r="A24" s="32" t="s">
        <v>57</v>
      </c>
      <c r="B24" s="76">
        <f>COUNTA(Баги!$A$5:$A$64)</f>
        <v>13</v>
      </c>
    </row>
    <row r="25" spans="1:2" ht="15.6" customHeight="1" x14ac:dyDescent="0.3">
      <c r="A25" s="32" t="s">
        <v>58</v>
      </c>
      <c r="B25" s="76">
        <f>COUNTIF(Баги!$F$5:$F$64,"Открыт")</f>
        <v>3</v>
      </c>
    </row>
    <row r="26" spans="1:2" ht="15.6" customHeight="1" x14ac:dyDescent="0.3">
      <c r="A26" s="32" t="s">
        <v>59</v>
      </c>
      <c r="B26" s="76">
        <f>COUNTIF(Бэклог!$K$5:$K$44,"Да")</f>
        <v>1</v>
      </c>
    </row>
    <row r="27" spans="1:2" ht="15.6" customHeight="1" x14ac:dyDescent="0.3">
      <c r="A27" s="32" t="s">
        <v>60</v>
      </c>
      <c r="B27" s="77">
        <f>SUM(Бэклог!$L$5:$L$44)</f>
        <v>1</v>
      </c>
    </row>
    <row r="29" spans="1:2" ht="15.6" customHeight="1" x14ac:dyDescent="0.3">
      <c r="A29" s="91" t="s">
        <v>61</v>
      </c>
    </row>
    <row r="30" spans="1:2" ht="15.6" customHeight="1" x14ac:dyDescent="0.3">
      <c r="A30" s="88" t="s">
        <v>62</v>
      </c>
      <c r="B30" s="114">
        <f>Бэклог!$E$49</f>
        <v>5.2857142857142856</v>
      </c>
    </row>
    <row r="31" spans="1:2" ht="15.6" customHeight="1" x14ac:dyDescent="0.3">
      <c r="A31" s="88" t="s">
        <v>63</v>
      </c>
      <c r="B31" s="106">
        <f>COUNTIF(Бэклог!$N$5:$N$44,"Да")</f>
        <v>2</v>
      </c>
    </row>
    <row r="32" spans="1:2" ht="15.6" x14ac:dyDescent="0.3">
      <c r="A32" s="223" t="s">
        <v>64</v>
      </c>
      <c r="B32" s="224">
        <f>'Time to Market'!$C$4</f>
        <v>18.5</v>
      </c>
    </row>
    <row r="33" spans="1:11" x14ac:dyDescent="0.3">
      <c r="A33" s="82" t="s">
        <v>65</v>
      </c>
    </row>
    <row r="34" spans="1:11" x14ac:dyDescent="0.3">
      <c r="A34" s="115">
        <f>'Дорожная карта'!I6</f>
        <v>17</v>
      </c>
      <c r="B34" s="115">
        <f>'Дорожная карта'!I7</f>
        <v>21</v>
      </c>
      <c r="C34" s="115" t="str">
        <f>'Дорожная карта'!I8</f>
        <v/>
      </c>
      <c r="D34" s="115" t="str">
        <f>'Дорожная карта'!I9</f>
        <v/>
      </c>
      <c r="E34" s="115" t="str">
        <f>'Дорожная карта'!I10</f>
        <v/>
      </c>
      <c r="F34" s="115" t="str">
        <f>'Дорожная карта'!I11</f>
        <v/>
      </c>
      <c r="G34" s="115" t="str">
        <f>'Дорожная карта'!I12</f>
        <v/>
      </c>
      <c r="H34" s="115" t="str">
        <f>'Дорожная карта'!I13</f>
        <v/>
      </c>
      <c r="I34" s="115" t="str">
        <f>'Дорожная карта'!I14</f>
        <v/>
      </c>
      <c r="J34" s="115" t="str">
        <f>'Дорожная карта'!I15</f>
        <v/>
      </c>
      <c r="K34" s="115" t="str">
        <f>'Дорожная карта'!I16</f>
        <v/>
      </c>
    </row>
    <row r="35" spans="1:11" x14ac:dyDescent="0.3">
      <c r="A35" s="82" t="s">
        <v>66</v>
      </c>
    </row>
  </sheetData>
  <mergeCells count="1">
    <mergeCell ref="B3:E3"/>
  </mergeCells>
  <conditionalFormatting sqref="B10">
    <cfRule type="cellIs" dxfId="46" priority="1" operator="greaterThan">
      <formula>1</formula>
    </cfRule>
    <cfRule type="cellIs" dxfId="45" priority="2" operator="between">
      <formula>0.9</formula>
      <formula>1</formula>
    </cfRule>
    <cfRule type="cellIs" dxfId="44" priority="3" operator="lessThan">
      <formula>0.9</formula>
    </cfRule>
  </conditionalFormatting>
  <conditionalFormatting sqref="B11">
    <cfRule type="cellIs" dxfId="43" priority="4" operator="lessThan">
      <formula>0</formula>
    </cfRule>
    <cfRule type="cellIs" dxfId="42" priority="5" operator="greaterThanOrEqual">
      <formula>0</formula>
    </cfRule>
  </conditionalFormatting>
  <conditionalFormatting sqref="B12">
    <cfRule type="cellIs" dxfId="41" priority="6" operator="lessThan">
      <formula>0.8</formula>
    </cfRule>
    <cfRule type="cellIs" dxfId="40" priority="7" operator="between">
      <formula>0.8</formula>
      <formula>0.999</formula>
    </cfRule>
    <cfRule type="cellIs" dxfId="39" priority="8" operator="greaterThanOrEqual">
      <formula>1</formula>
    </cfRule>
  </conditionalFormatting>
  <conditionalFormatting sqref="B17">
    <cfRule type="cellIs" dxfId="38" priority="9" operator="greaterThanOrEqual">
      <formula>0.9</formula>
    </cfRule>
    <cfRule type="cellIs" dxfId="37" priority="10" operator="between">
      <formula>0.7</formula>
      <formula>0.899</formula>
    </cfRule>
    <cfRule type="cellIs" dxfId="36" priority="11" operator="lessThan">
      <formula>0.7</formula>
    </cfRule>
  </conditionalFormatting>
  <conditionalFormatting sqref="B23">
    <cfRule type="cellIs" dxfId="35" priority="12" operator="between">
      <formula>0.8</formula>
      <formula>1.2</formula>
    </cfRule>
    <cfRule type="cellIs" dxfId="34" priority="13" operator="between">
      <formula>0.9</formula>
      <formula>1.1</formula>
    </cfRule>
  </conditionalFormatting>
  <conditionalFormatting sqref="B25">
    <cfRule type="cellIs" dxfId="33" priority="14" operator="greaterThan">
      <formula>3</formula>
    </cfRule>
    <cfRule type="cellIs" dxfId="32" priority="15" operator="between">
      <formula>1</formula>
      <formula>3</formula>
    </cfRule>
    <cfRule type="cellIs" dxfId="31" priority="16" operator="equal">
      <formula>0</formula>
    </cfRule>
  </conditionalFormatting>
  <conditionalFormatting sqref="B32">
    <cfRule type="cellIs" dxfId="30" priority="17" operator="lessThanOrEqual">
      <formula>15</formula>
    </cfRule>
    <cfRule type="cellIs" dxfId="29" priority="18" operator="greaterThan">
      <formula>15</formula>
    </cfRule>
  </conditionalFormatting>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9"/>
  <sheetViews>
    <sheetView showGridLines="0" workbookViewId="0">
      <selection activeCell="B36" sqref="B36"/>
    </sheetView>
  </sheetViews>
  <sheetFormatPr defaultRowHeight="14.4" x14ac:dyDescent="0.3"/>
  <cols>
    <col min="1" max="1" width="37.6640625" customWidth="1"/>
    <col min="2" max="2" width="16" customWidth="1"/>
    <col min="3" max="3" width="52" customWidth="1"/>
  </cols>
  <sheetData>
    <row r="1" spans="1:3" ht="17.399999999999999" customHeight="1" x14ac:dyDescent="0.3">
      <c r="A1" s="1" t="s">
        <v>67</v>
      </c>
    </row>
    <row r="2" spans="1:3" x14ac:dyDescent="0.3">
      <c r="A2" s="2" t="s">
        <v>68</v>
      </c>
    </row>
    <row r="4" spans="1:3" x14ac:dyDescent="0.3">
      <c r="A4" s="3" t="s">
        <v>69</v>
      </c>
      <c r="B4" s="3" t="s">
        <v>70</v>
      </c>
      <c r="C4" s="3" t="s">
        <v>71</v>
      </c>
    </row>
    <row r="5" spans="1:3" x14ac:dyDescent="0.3">
      <c r="A5" s="4" t="s">
        <v>72</v>
      </c>
      <c r="B5" s="5" t="s">
        <v>73</v>
      </c>
      <c r="C5" s="6" t="s">
        <v>74</v>
      </c>
    </row>
    <row r="6" spans="1:3" x14ac:dyDescent="0.3">
      <c r="A6" s="4" t="s">
        <v>75</v>
      </c>
      <c r="B6" s="16">
        <v>46237</v>
      </c>
      <c r="C6" s="6" t="s">
        <v>76</v>
      </c>
    </row>
    <row r="7" spans="1:3" x14ac:dyDescent="0.3">
      <c r="A7" s="4" t="s">
        <v>77</v>
      </c>
      <c r="B7" s="5">
        <v>10</v>
      </c>
      <c r="C7" s="6" t="s">
        <v>78</v>
      </c>
    </row>
    <row r="8" spans="1:3" x14ac:dyDescent="0.3">
      <c r="A8" s="4" t="s">
        <v>79</v>
      </c>
      <c r="B8" s="5">
        <v>8</v>
      </c>
      <c r="C8" s="6" t="s">
        <v>80</v>
      </c>
    </row>
    <row r="9" spans="1:3" x14ac:dyDescent="0.3">
      <c r="A9" s="4" t="s">
        <v>81</v>
      </c>
      <c r="B9" s="7">
        <v>0.8</v>
      </c>
      <c r="C9" s="6" t="s">
        <v>82</v>
      </c>
    </row>
    <row r="10" spans="1:3" x14ac:dyDescent="0.3">
      <c r="A10" s="14" t="s">
        <v>83</v>
      </c>
      <c r="B10" s="107">
        <v>46275</v>
      </c>
      <c r="C10" s="82" t="s">
        <v>84</v>
      </c>
    </row>
    <row r="11" spans="1:3" ht="17.399999999999999" customHeight="1" x14ac:dyDescent="0.3">
      <c r="A11" s="1" t="s">
        <v>85</v>
      </c>
    </row>
    <row r="12" spans="1:3" x14ac:dyDescent="0.3">
      <c r="A12" s="3" t="s">
        <v>86</v>
      </c>
      <c r="B12" s="3" t="s">
        <v>70</v>
      </c>
      <c r="C12" s="3" t="s">
        <v>71</v>
      </c>
    </row>
    <row r="13" spans="1:3" x14ac:dyDescent="0.3">
      <c r="A13" s="32" t="s">
        <v>87</v>
      </c>
      <c r="B13" s="83">
        <f>MAX(1,COUNTIF('Дорожная карта'!$C$6:$C$16,"&lt;="&amp;$B$10))</f>
        <v>3</v>
      </c>
      <c r="C13" s="34" t="s">
        <v>88</v>
      </c>
    </row>
    <row r="14" spans="1:3" x14ac:dyDescent="0.3">
      <c r="A14" s="32" t="s">
        <v>89</v>
      </c>
      <c r="B14" s="35">
        <f>SUMIF(Капасити!$A$5:$A$147,$B$13,Капасити!$H$5:$H$147)</f>
        <v>95.2</v>
      </c>
      <c r="C14" s="34" t="s">
        <v>90</v>
      </c>
    </row>
    <row r="15" spans="1:3" x14ac:dyDescent="0.3">
      <c r="A15" s="32" t="s">
        <v>91</v>
      </c>
      <c r="B15" s="35">
        <f>SUMIF(Бэклог!$M$5:$M$44,$B$13,Бэклог!$E$5:$E$44)</f>
        <v>29</v>
      </c>
      <c r="C15" s="34" t="s">
        <v>92</v>
      </c>
    </row>
    <row r="16" spans="1:3" x14ac:dyDescent="0.3">
      <c r="A16" s="32" t="s">
        <v>93</v>
      </c>
      <c r="B16" s="36">
        <f>IFERROR(B15/B14,0)</f>
        <v>0.30462184873949577</v>
      </c>
      <c r="C16" s="34" t="s">
        <v>94</v>
      </c>
    </row>
    <row r="17" spans="1:3" x14ac:dyDescent="0.3">
      <c r="A17" s="32" t="s">
        <v>46</v>
      </c>
      <c r="B17" s="35">
        <f>B14-B15</f>
        <v>66.2</v>
      </c>
      <c r="C17" s="34" t="s">
        <v>95</v>
      </c>
    </row>
    <row r="19" spans="1:3" ht="55.2" customHeight="1" x14ac:dyDescent="0.3">
      <c r="A19" s="14" t="s">
        <v>39</v>
      </c>
      <c r="B19" s="57" t="s">
        <v>96</v>
      </c>
      <c r="C19" s="38" t="s">
        <v>97</v>
      </c>
    </row>
    <row r="21" spans="1:3" ht="15.6" customHeight="1" x14ac:dyDescent="0.3">
      <c r="A21" s="58" t="s">
        <v>98</v>
      </c>
    </row>
    <row r="22" spans="1:3" x14ac:dyDescent="0.3">
      <c r="A22" s="39" t="s">
        <v>99</v>
      </c>
      <c r="B22" s="39" t="s">
        <v>100</v>
      </c>
    </row>
    <row r="23" spans="1:3" x14ac:dyDescent="0.3">
      <c r="A23" s="59" t="s">
        <v>101</v>
      </c>
      <c r="B23" s="50" t="s">
        <v>102</v>
      </c>
    </row>
    <row r="24" spans="1:3" x14ac:dyDescent="0.3">
      <c r="A24" s="59" t="s">
        <v>103</v>
      </c>
      <c r="B24" s="50" t="s">
        <v>102</v>
      </c>
    </row>
    <row r="25" spans="1:3" x14ac:dyDescent="0.3">
      <c r="A25" s="59" t="s">
        <v>104</v>
      </c>
      <c r="B25" s="50" t="s">
        <v>102</v>
      </c>
    </row>
    <row r="26" spans="1:3" x14ac:dyDescent="0.3">
      <c r="A26" s="59" t="s">
        <v>105</v>
      </c>
      <c r="B26" s="50" t="s">
        <v>102</v>
      </c>
    </row>
    <row r="27" spans="1:3" x14ac:dyDescent="0.3">
      <c r="A27" s="59" t="s">
        <v>106</v>
      </c>
      <c r="B27" s="50" t="s">
        <v>102</v>
      </c>
    </row>
    <row r="28" spans="1:3" x14ac:dyDescent="0.3">
      <c r="A28" s="59" t="s">
        <v>107</v>
      </c>
      <c r="B28" s="50" t="s">
        <v>102</v>
      </c>
    </row>
    <row r="29" spans="1:3" x14ac:dyDescent="0.3">
      <c r="A29" s="32" t="s">
        <v>47</v>
      </c>
      <c r="B29" s="60">
        <f>COUNTIF(B23:B28,"Да")/6</f>
        <v>0</v>
      </c>
    </row>
  </sheetData>
  <dataValidations count="1">
    <dataValidation type="list" allowBlank="1" sqref="B23 B24 B25 B26 B27 B28" xr:uid="{00000000-0002-0000-0200-000000000000}">
      <formula1>"Да,Нет"</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62"/>
  <sheetViews>
    <sheetView showGridLines="0" zoomScale="90" zoomScaleNormal="90" workbookViewId="0">
      <pane ySplit="5" topLeftCell="A54" activePane="bottomLeft" state="frozen"/>
      <selection pane="bottomLeft" activeCell="K22" sqref="K22"/>
    </sheetView>
  </sheetViews>
  <sheetFormatPr defaultRowHeight="14.4" x14ac:dyDescent="0.3"/>
  <cols>
    <col min="1" max="1" width="9.77734375" customWidth="1"/>
    <col min="2" max="2" width="29.77734375" customWidth="1"/>
    <col min="3" max="4" width="13" customWidth="1"/>
    <col min="5" max="5" width="22.77734375" customWidth="1"/>
    <col min="6" max="6" width="17" customWidth="1"/>
    <col min="7" max="7" width="20.33203125" customWidth="1"/>
    <col min="8" max="8" width="10" customWidth="1"/>
    <col min="9" max="9" width="13" customWidth="1"/>
    <col min="10" max="10" width="12.109375" customWidth="1"/>
    <col min="11" max="11" width="16.6640625" customWidth="1"/>
    <col min="12" max="12" width="30" customWidth="1"/>
    <col min="13" max="13" width="11" customWidth="1"/>
    <col min="28" max="31" width="13" hidden="1" customWidth="1"/>
  </cols>
  <sheetData>
    <row r="1" spans="1:31" ht="17.399999999999999" customHeight="1" x14ac:dyDescent="0.3">
      <c r="A1" s="1" t="s">
        <v>108</v>
      </c>
    </row>
    <row r="2" spans="1:31" x14ac:dyDescent="0.3">
      <c r="A2" s="2" t="s">
        <v>109</v>
      </c>
    </row>
    <row r="3" spans="1:31" x14ac:dyDescent="0.3">
      <c r="A3" s="14" t="s">
        <v>110</v>
      </c>
      <c r="B3" s="17">
        <f>Параметры!$B$6</f>
        <v>46237</v>
      </c>
    </row>
    <row r="5" spans="1:31" ht="41.4" customHeight="1" x14ac:dyDescent="0.3">
      <c r="A5" s="3" t="s">
        <v>111</v>
      </c>
      <c r="B5" s="3" t="s">
        <v>112</v>
      </c>
      <c r="C5" s="3" t="s">
        <v>113</v>
      </c>
      <c r="D5" s="3" t="s">
        <v>114</v>
      </c>
      <c r="E5" s="3" t="s">
        <v>115</v>
      </c>
      <c r="F5" s="3" t="s">
        <v>116</v>
      </c>
      <c r="G5" s="3" t="s">
        <v>117</v>
      </c>
      <c r="H5" s="3" t="s">
        <v>118</v>
      </c>
      <c r="I5" s="3" t="s">
        <v>119</v>
      </c>
      <c r="J5" s="3" t="s">
        <v>120</v>
      </c>
      <c r="K5" s="3" t="s">
        <v>121</v>
      </c>
      <c r="L5" s="3" t="s">
        <v>122</v>
      </c>
      <c r="M5" s="161" t="s">
        <v>123</v>
      </c>
      <c r="AB5" t="s">
        <v>124</v>
      </c>
      <c r="AC5" t="s">
        <v>125</v>
      </c>
      <c r="AD5" t="s">
        <v>126</v>
      </c>
      <c r="AE5" t="s">
        <v>127</v>
      </c>
    </row>
    <row r="6" spans="1:31" x14ac:dyDescent="0.3">
      <c r="A6" s="9">
        <v>1</v>
      </c>
      <c r="B6" s="10" t="s">
        <v>128</v>
      </c>
      <c r="C6" s="18">
        <f t="shared" ref="C6:C16" si="0">$B$3+(A6-1)*14</f>
        <v>46237</v>
      </c>
      <c r="D6" s="18">
        <f t="shared" ref="D6:D16" si="1">C6+11</f>
        <v>46248</v>
      </c>
      <c r="E6" s="84">
        <f>NETWORKDAYS(C6,D6,Календарь!$A$5:$A$29)</f>
        <v>10</v>
      </c>
      <c r="F6" s="23">
        <f>SUMIF(Капасити!$A$5:$A$147,A6,Капасити!$H$5:$H$147)</f>
        <v>92.800000000000011</v>
      </c>
      <c r="G6" s="85">
        <f>SUMIF(Бэклог!$M$5:$M$44,A6,Бэклог!$E$5:$E$44)</f>
        <v>22</v>
      </c>
      <c r="H6" s="8">
        <f t="shared" ref="H6:H16" si="2">IFERROR(G6/F6,0)</f>
        <v>0.23706896551724135</v>
      </c>
      <c r="I6" s="85">
        <f>IF(K6="Закрыт",SUMIFS(Бэклог!$E$5:$E$44,Бэклог!$M$5:$M$44,A6,Бэклог!$F$5:$F$44,"Готово"),"")</f>
        <v>17</v>
      </c>
      <c r="J6" s="8">
        <f t="shared" ref="J6:J16" si="3">IF(I6="","",IFERROR(I6/G6,0))</f>
        <v>0.77272727272727271</v>
      </c>
      <c r="K6" s="86" t="str">
        <f>IF(Параметры!$B$10&gt;D6,"Закрыт",IF(Параметры!$B$10&gt;=C6,"Активный","Планируется"))</f>
        <v>Закрыт</v>
      </c>
      <c r="L6" s="10"/>
      <c r="M6" s="162" t="str">
        <f t="shared" ref="M6:M16" si="4">"Q"&amp;ROUNDUP(MONTH(C6)/3,0)&amp;" "&amp;YEAR(C6)</f>
        <v>Q3 2026</v>
      </c>
      <c r="AB6" s="27" t="e">
        <f t="shared" ref="AB6:AB16" si="5">IF(AND($J6&lt;&gt;"",$J6&gt;=$C$29),$J6,NA())</f>
        <v>#N/A</v>
      </c>
      <c r="AC6" s="27">
        <f t="shared" ref="AC6:AC16" si="6">IF(AND($J6&lt;&gt;"",$J6&gt;=$C$30,$J6&lt;$C$29),$J6,NA())</f>
        <v>0.77272727272727271</v>
      </c>
      <c r="AD6" s="27" t="e">
        <f t="shared" ref="AD6:AD16" si="7">IF(AND($J6&lt;&gt;"",$J6&lt;$C$30),$J6,NA())</f>
        <v>#N/A</v>
      </c>
      <c r="AE6" s="27">
        <v>1</v>
      </c>
    </row>
    <row r="7" spans="1:31" x14ac:dyDescent="0.3">
      <c r="A7" s="9">
        <v>2</v>
      </c>
      <c r="B7" s="10" t="s">
        <v>129</v>
      </c>
      <c r="C7" s="18">
        <f t="shared" si="0"/>
        <v>46251</v>
      </c>
      <c r="D7" s="18">
        <f t="shared" si="1"/>
        <v>46262</v>
      </c>
      <c r="E7" s="84">
        <f>NETWORKDAYS(C7,D7,Календарь!$A$5:$A$29)</f>
        <v>10</v>
      </c>
      <c r="F7" s="23">
        <f>SUMIF(Капасити!$A$5:$A$147,A7,Капасити!$H$5:$H$147)</f>
        <v>95.2</v>
      </c>
      <c r="G7" s="85">
        <f>SUMIF(Бэклог!$M$5:$M$44,A7,Бэклог!$E$5:$E$44)</f>
        <v>24</v>
      </c>
      <c r="H7" s="8">
        <f t="shared" si="2"/>
        <v>0.25210084033613445</v>
      </c>
      <c r="I7" s="85">
        <f>IF(K7="Закрыт",SUMIFS(Бэклог!$E$5:$E$44,Бэклог!$M$5:$M$44,A7,Бэклог!$F$5:$F$44,"Готово"),"")</f>
        <v>21</v>
      </c>
      <c r="J7" s="8">
        <f t="shared" si="3"/>
        <v>0.875</v>
      </c>
      <c r="K7" s="86" t="str">
        <f>IF(Параметры!$B$10&gt;D7,"Закрыт",IF(Параметры!$B$10&gt;=C7,"Активный","Планируется"))</f>
        <v>Закрыт</v>
      </c>
      <c r="L7" s="10"/>
      <c r="M7" s="162" t="str">
        <f t="shared" si="4"/>
        <v>Q3 2026</v>
      </c>
      <c r="AB7" s="27" t="e">
        <f t="shared" si="5"/>
        <v>#N/A</v>
      </c>
      <c r="AC7" s="27">
        <f t="shared" si="6"/>
        <v>0.875</v>
      </c>
      <c r="AD7" s="27" t="e">
        <f t="shared" si="7"/>
        <v>#N/A</v>
      </c>
      <c r="AE7" s="27">
        <v>1</v>
      </c>
    </row>
    <row r="8" spans="1:31" x14ac:dyDescent="0.3">
      <c r="A8" s="9">
        <v>3</v>
      </c>
      <c r="B8" s="10" t="s">
        <v>130</v>
      </c>
      <c r="C8" s="18">
        <f t="shared" si="0"/>
        <v>46265</v>
      </c>
      <c r="D8" s="18">
        <f t="shared" si="1"/>
        <v>46276</v>
      </c>
      <c r="E8" s="84">
        <f>NETWORKDAYS(C8,D8,Календарь!$A$5:$A$29)</f>
        <v>10</v>
      </c>
      <c r="F8" s="23">
        <f>SUMIF(Капасити!$A$5:$A$147,A8,Капасити!$H$5:$H$147)</f>
        <v>95.2</v>
      </c>
      <c r="G8" s="85">
        <f>SUMIF(Бэклог!$M$5:$M$44,A8,Бэклог!$E$5:$E$44)</f>
        <v>29</v>
      </c>
      <c r="H8" s="8">
        <f t="shared" si="2"/>
        <v>0.30462184873949577</v>
      </c>
      <c r="I8" s="85" t="str">
        <f>IF(K8="Закрыт",SUMIFS(Бэклог!$E$5:$E$44,Бэклог!$M$5:$M$44,A8,Бэклог!$F$5:$F$44,"Готово"),"")</f>
        <v/>
      </c>
      <c r="J8" s="8" t="str">
        <f t="shared" si="3"/>
        <v/>
      </c>
      <c r="K8" s="86" t="str">
        <f>IF(Параметры!$B$10&gt;D8,"Закрыт",IF(Параметры!$B$10&gt;=C8,"Активный","Планируется"))</f>
        <v>Активный</v>
      </c>
      <c r="L8" s="10"/>
      <c r="M8" s="162" t="str">
        <f t="shared" si="4"/>
        <v>Q3 2026</v>
      </c>
      <c r="AB8" s="27" t="e">
        <f t="shared" si="5"/>
        <v>#N/A</v>
      </c>
      <c r="AC8" s="27" t="e">
        <f t="shared" si="6"/>
        <v>#N/A</v>
      </c>
      <c r="AD8" s="27" t="e">
        <f t="shared" si="7"/>
        <v>#N/A</v>
      </c>
      <c r="AE8" s="27">
        <v>1</v>
      </c>
    </row>
    <row r="9" spans="1:31" x14ac:dyDescent="0.3">
      <c r="A9" s="9">
        <v>4</v>
      </c>
      <c r="B9" s="10" t="s">
        <v>131</v>
      </c>
      <c r="C9" s="18">
        <f t="shared" si="0"/>
        <v>46279</v>
      </c>
      <c r="D9" s="18">
        <f t="shared" si="1"/>
        <v>46290</v>
      </c>
      <c r="E9" s="84">
        <f>NETWORKDAYS(C9,D9,Календарь!$A$5:$A$29)</f>
        <v>10</v>
      </c>
      <c r="F9" s="23">
        <f>SUMIF(Капасити!$A$5:$A$147,A9,Капасити!$H$5:$H$147)</f>
        <v>95.2</v>
      </c>
      <c r="G9" s="85">
        <f>SUMIF(Бэклог!$M$5:$M$44,A9,Бэклог!$E$5:$E$44)</f>
        <v>19</v>
      </c>
      <c r="H9" s="8">
        <f t="shared" si="2"/>
        <v>0.19957983193277309</v>
      </c>
      <c r="I9" s="85" t="str">
        <f>IF(K9="Закрыт",SUMIFS(Бэклог!$E$5:$E$44,Бэклог!$M$5:$M$44,A9,Бэклог!$F$5:$F$44,"Готово"),"")</f>
        <v/>
      </c>
      <c r="J9" s="8" t="str">
        <f t="shared" si="3"/>
        <v/>
      </c>
      <c r="K9" s="86" t="str">
        <f>IF(Параметры!$B$10&gt;D9,"Закрыт",IF(Параметры!$B$10&gt;=C9,"Активный","Планируется"))</f>
        <v>Планируется</v>
      </c>
      <c r="L9" s="10"/>
      <c r="M9" s="162" t="str">
        <f t="shared" si="4"/>
        <v>Q3 2026</v>
      </c>
      <c r="AB9" s="27" t="e">
        <f t="shared" si="5"/>
        <v>#N/A</v>
      </c>
      <c r="AC9" s="27" t="e">
        <f t="shared" si="6"/>
        <v>#N/A</v>
      </c>
      <c r="AD9" s="27" t="e">
        <f t="shared" si="7"/>
        <v>#N/A</v>
      </c>
      <c r="AE9" s="27">
        <v>1</v>
      </c>
    </row>
    <row r="10" spans="1:31" x14ac:dyDescent="0.3">
      <c r="A10" s="9">
        <v>5</v>
      </c>
      <c r="B10" s="10" t="s">
        <v>132</v>
      </c>
      <c r="C10" s="18">
        <f t="shared" si="0"/>
        <v>46293</v>
      </c>
      <c r="D10" s="18">
        <f t="shared" si="1"/>
        <v>46304</v>
      </c>
      <c r="E10" s="84">
        <f>NETWORKDAYS(C10,D10,Календарь!$A$5:$A$29)</f>
        <v>10</v>
      </c>
      <c r="F10" s="23">
        <f>SUMIF(Капасити!$A$5:$A$147,A10,Капасити!$H$5:$H$147)</f>
        <v>93.2</v>
      </c>
      <c r="G10" s="85">
        <f>SUMIF(Бэклог!$M$5:$M$44,A10,Бэклог!$E$5:$E$44)</f>
        <v>13</v>
      </c>
      <c r="H10" s="8">
        <f t="shared" si="2"/>
        <v>0.13948497854077252</v>
      </c>
      <c r="I10" s="85" t="str">
        <f>IF(K10="Закрыт",SUMIFS(Бэклог!$E$5:$E$44,Бэклог!$M$5:$M$44,A10,Бэклог!$F$5:$F$44,"Готово"),"")</f>
        <v/>
      </c>
      <c r="J10" s="8" t="str">
        <f t="shared" si="3"/>
        <v/>
      </c>
      <c r="K10" s="86" t="str">
        <f>IF(Параметры!$B$10&gt;D10,"Закрыт",IF(Параметры!$B$10&gt;=C10,"Активный","Планируется"))</f>
        <v>Планируется</v>
      </c>
      <c r="L10" s="10"/>
      <c r="M10" s="162" t="str">
        <f t="shared" si="4"/>
        <v>Q3 2026</v>
      </c>
      <c r="AB10" s="27" t="e">
        <f t="shared" si="5"/>
        <v>#N/A</v>
      </c>
      <c r="AC10" s="27" t="e">
        <f t="shared" si="6"/>
        <v>#N/A</v>
      </c>
      <c r="AD10" s="27" t="e">
        <f t="shared" si="7"/>
        <v>#N/A</v>
      </c>
      <c r="AE10" s="27">
        <v>1</v>
      </c>
    </row>
    <row r="11" spans="1:31" x14ac:dyDescent="0.3">
      <c r="A11" s="9">
        <v>6</v>
      </c>
      <c r="B11" s="10" t="s">
        <v>133</v>
      </c>
      <c r="C11" s="18">
        <f t="shared" si="0"/>
        <v>46307</v>
      </c>
      <c r="D11" s="18">
        <f t="shared" si="1"/>
        <v>46318</v>
      </c>
      <c r="E11" s="84">
        <f>NETWORKDAYS(C11,D11,Календарь!$A$5:$A$29)</f>
        <v>10</v>
      </c>
      <c r="F11" s="23">
        <f>SUMIF(Капасити!$A$5:$A$147,A11,Капасити!$H$5:$H$147)</f>
        <v>95.2</v>
      </c>
      <c r="G11" s="85">
        <f>SUMIF(Бэклог!$M$5:$M$44,A11,Бэклог!$E$5:$E$44)</f>
        <v>0</v>
      </c>
      <c r="H11" s="8">
        <f t="shared" si="2"/>
        <v>0</v>
      </c>
      <c r="I11" s="85" t="str">
        <f>IF(K11="Закрыт",SUMIFS(Бэклог!$E$5:$E$44,Бэклог!$M$5:$M$44,A11,Бэклог!$F$5:$F$44,"Готово"),"")</f>
        <v/>
      </c>
      <c r="J11" s="8" t="str">
        <f t="shared" si="3"/>
        <v/>
      </c>
      <c r="K11" s="86" t="str">
        <f>IF(Параметры!$B$10&gt;D11,"Закрыт",IF(Параметры!$B$10&gt;=C11,"Активный","Планируется"))</f>
        <v>Планируется</v>
      </c>
      <c r="L11" s="10"/>
      <c r="M11" s="162" t="str">
        <f t="shared" si="4"/>
        <v>Q4 2026</v>
      </c>
      <c r="AB11" s="27" t="e">
        <f t="shared" si="5"/>
        <v>#N/A</v>
      </c>
      <c r="AC11" s="27" t="e">
        <f t="shared" si="6"/>
        <v>#N/A</v>
      </c>
      <c r="AD11" s="27" t="e">
        <f t="shared" si="7"/>
        <v>#N/A</v>
      </c>
      <c r="AE11" s="27">
        <v>1</v>
      </c>
    </row>
    <row r="12" spans="1:31" x14ac:dyDescent="0.3">
      <c r="A12" s="9">
        <v>7</v>
      </c>
      <c r="B12" s="10" t="s">
        <v>134</v>
      </c>
      <c r="C12" s="18">
        <f t="shared" si="0"/>
        <v>46321</v>
      </c>
      <c r="D12" s="18">
        <f t="shared" si="1"/>
        <v>46332</v>
      </c>
      <c r="E12" s="84">
        <f>NETWORKDAYS(C12,D12,Календарь!$A$5:$A$29)</f>
        <v>9</v>
      </c>
      <c r="F12" s="23">
        <f>SUMIF(Капасити!$A$5:$A$147,A12,Капасити!$H$5:$H$147)</f>
        <v>85.680000000000021</v>
      </c>
      <c r="G12" s="85">
        <f>SUMIF(Бэклог!$M$5:$M$44,A12,Бэклог!$E$5:$E$44)</f>
        <v>0</v>
      </c>
      <c r="H12" s="8">
        <f t="shared" si="2"/>
        <v>0</v>
      </c>
      <c r="I12" s="85" t="str">
        <f>IF(K12="Закрыт",SUMIFS(Бэклог!$E$5:$E$44,Бэклог!$M$5:$M$44,A12,Бэклог!$F$5:$F$44,"Готово"),"")</f>
        <v/>
      </c>
      <c r="J12" s="8" t="str">
        <f t="shared" si="3"/>
        <v/>
      </c>
      <c r="K12" s="86" t="str">
        <f>IF(Параметры!$B$10&gt;D12,"Закрыт",IF(Параметры!$B$10&gt;=C12,"Активный","Планируется"))</f>
        <v>Планируется</v>
      </c>
      <c r="L12" s="10"/>
      <c r="M12" s="162" t="str">
        <f t="shared" si="4"/>
        <v>Q4 2026</v>
      </c>
      <c r="AB12" s="27" t="e">
        <f t="shared" si="5"/>
        <v>#N/A</v>
      </c>
      <c r="AC12" s="27" t="e">
        <f t="shared" si="6"/>
        <v>#N/A</v>
      </c>
      <c r="AD12" s="27" t="e">
        <f t="shared" si="7"/>
        <v>#N/A</v>
      </c>
      <c r="AE12" s="27">
        <v>1</v>
      </c>
    </row>
    <row r="13" spans="1:31" x14ac:dyDescent="0.3">
      <c r="A13" s="9">
        <v>8</v>
      </c>
      <c r="B13" s="10" t="s">
        <v>135</v>
      </c>
      <c r="C13" s="18">
        <f t="shared" si="0"/>
        <v>46335</v>
      </c>
      <c r="D13" s="18">
        <f t="shared" si="1"/>
        <v>46346</v>
      </c>
      <c r="E13" s="84">
        <f>NETWORKDAYS(C13,D13,Календарь!$A$5:$A$29)</f>
        <v>10</v>
      </c>
      <c r="F13" s="23">
        <f>SUMIF(Капасити!$A$5:$A$147,A13,Капасити!$H$5:$H$147)</f>
        <v>91.2</v>
      </c>
      <c r="G13" s="85">
        <f>SUMIF(Бэклог!$M$5:$M$44,A13,Бэклог!$E$5:$E$44)</f>
        <v>0</v>
      </c>
      <c r="H13" s="8">
        <f t="shared" si="2"/>
        <v>0</v>
      </c>
      <c r="I13" s="85" t="str">
        <f>IF(K13="Закрыт",SUMIFS(Бэклог!$E$5:$E$44,Бэклог!$M$5:$M$44,A13,Бэклог!$F$5:$F$44,"Готово"),"")</f>
        <v/>
      </c>
      <c r="J13" s="8" t="str">
        <f t="shared" si="3"/>
        <v/>
      </c>
      <c r="K13" s="86" t="str">
        <f>IF(Параметры!$B$10&gt;D13,"Закрыт",IF(Параметры!$B$10&gt;=C13,"Активный","Планируется"))</f>
        <v>Планируется</v>
      </c>
      <c r="L13" s="10"/>
      <c r="M13" s="162" t="str">
        <f t="shared" si="4"/>
        <v>Q4 2026</v>
      </c>
      <c r="AB13" s="27" t="e">
        <f t="shared" si="5"/>
        <v>#N/A</v>
      </c>
      <c r="AC13" s="27" t="e">
        <f t="shared" si="6"/>
        <v>#N/A</v>
      </c>
      <c r="AD13" s="27" t="e">
        <f t="shared" si="7"/>
        <v>#N/A</v>
      </c>
      <c r="AE13" s="27">
        <v>1</v>
      </c>
    </row>
    <row r="14" spans="1:31" x14ac:dyDescent="0.3">
      <c r="A14" s="9">
        <v>9</v>
      </c>
      <c r="B14" s="10" t="s">
        <v>136</v>
      </c>
      <c r="C14" s="18">
        <f t="shared" si="0"/>
        <v>46349</v>
      </c>
      <c r="D14" s="18">
        <f t="shared" si="1"/>
        <v>46360</v>
      </c>
      <c r="E14" s="84">
        <f>NETWORKDAYS(C14,D14,Календарь!$A$5:$A$29)</f>
        <v>10</v>
      </c>
      <c r="F14" s="23">
        <f>SUMIF(Капасити!$A$5:$A$147,A14,Капасити!$H$5:$H$147)</f>
        <v>95.2</v>
      </c>
      <c r="G14" s="85">
        <f>SUMIF(Бэклог!$M$5:$M$44,A14,Бэклог!$E$5:$E$44)</f>
        <v>0</v>
      </c>
      <c r="H14" s="8">
        <f t="shared" si="2"/>
        <v>0</v>
      </c>
      <c r="I14" s="85" t="str">
        <f>IF(K14="Закрыт",SUMIFS(Бэклог!$E$5:$E$44,Бэклог!$M$5:$M$44,A14,Бэклог!$F$5:$F$44,"Готово"),"")</f>
        <v/>
      </c>
      <c r="J14" s="8" t="str">
        <f t="shared" si="3"/>
        <v/>
      </c>
      <c r="K14" s="86" t="str">
        <f>IF(Параметры!$B$10&gt;D14,"Закрыт",IF(Параметры!$B$10&gt;=C14,"Активный","Планируется"))</f>
        <v>Планируется</v>
      </c>
      <c r="L14" s="10"/>
      <c r="M14" s="162" t="str">
        <f t="shared" si="4"/>
        <v>Q4 2026</v>
      </c>
      <c r="AB14" s="27" t="e">
        <f t="shared" si="5"/>
        <v>#N/A</v>
      </c>
      <c r="AC14" s="27" t="e">
        <f t="shared" si="6"/>
        <v>#N/A</v>
      </c>
      <c r="AD14" s="27" t="e">
        <f t="shared" si="7"/>
        <v>#N/A</v>
      </c>
      <c r="AE14" s="27">
        <v>1</v>
      </c>
    </row>
    <row r="15" spans="1:31" x14ac:dyDescent="0.3">
      <c r="A15" s="9">
        <v>10</v>
      </c>
      <c r="B15" s="10" t="s">
        <v>137</v>
      </c>
      <c r="C15" s="18">
        <f t="shared" si="0"/>
        <v>46363</v>
      </c>
      <c r="D15" s="18">
        <f t="shared" si="1"/>
        <v>46374</v>
      </c>
      <c r="E15" s="84">
        <f>NETWORKDAYS(C15,D15,Календарь!$A$5:$A$29)</f>
        <v>10</v>
      </c>
      <c r="F15" s="23">
        <f>SUMIF(Капасити!$A$5:$A$147,A15,Капасити!$H$5:$H$147)</f>
        <v>95.2</v>
      </c>
      <c r="G15" s="85">
        <f>SUMIF(Бэклог!$M$5:$M$44,A15,Бэклог!$E$5:$E$44)</f>
        <v>0</v>
      </c>
      <c r="H15" s="8">
        <f t="shared" si="2"/>
        <v>0</v>
      </c>
      <c r="I15" s="85" t="str">
        <f>IF(K15="Закрыт",SUMIFS(Бэклог!$E$5:$E$44,Бэклог!$M$5:$M$44,A15,Бэклог!$F$5:$F$44,"Готово"),"")</f>
        <v/>
      </c>
      <c r="J15" s="8" t="str">
        <f t="shared" si="3"/>
        <v/>
      </c>
      <c r="K15" s="86" t="str">
        <f>IF(Параметры!$B$10&gt;D15,"Закрыт",IF(Параметры!$B$10&gt;=C15,"Активный","Планируется"))</f>
        <v>Планируется</v>
      </c>
      <c r="L15" s="10"/>
      <c r="M15" s="162" t="str">
        <f t="shared" si="4"/>
        <v>Q4 2026</v>
      </c>
      <c r="AB15" s="27" t="e">
        <f t="shared" si="5"/>
        <v>#N/A</v>
      </c>
      <c r="AC15" s="27" t="e">
        <f t="shared" si="6"/>
        <v>#N/A</v>
      </c>
      <c r="AD15" s="27" t="e">
        <f t="shared" si="7"/>
        <v>#N/A</v>
      </c>
      <c r="AE15" s="27">
        <v>1</v>
      </c>
    </row>
    <row r="16" spans="1:31" ht="27.6" customHeight="1" x14ac:dyDescent="0.3">
      <c r="A16" s="9">
        <v>11</v>
      </c>
      <c r="B16" s="10" t="s">
        <v>138</v>
      </c>
      <c r="C16" s="18">
        <f t="shared" si="0"/>
        <v>46377</v>
      </c>
      <c r="D16" s="18">
        <f t="shared" si="1"/>
        <v>46388</v>
      </c>
      <c r="E16" s="84">
        <f>NETWORKDAYS(C16,D16,Календарь!$A$5:$A$29)</f>
        <v>9</v>
      </c>
      <c r="F16" s="23">
        <f>SUMIF(Капасити!$A$5:$A$147,A16,Капасити!$H$5:$H$147)</f>
        <v>85.680000000000021</v>
      </c>
      <c r="G16" s="85">
        <f>SUMIF(Бэклог!$M$5:$M$44,A16,Бэклог!$E$5:$E$44)</f>
        <v>0</v>
      </c>
      <c r="H16" s="8">
        <f t="shared" si="2"/>
        <v>0</v>
      </c>
      <c r="I16" s="85" t="str">
        <f>IF(K16="Закрыт",SUMIFS(Бэклог!$E$5:$E$44,Бэклог!$M$5:$M$44,A16,Бэклог!$F$5:$F$44,"Готово"),"")</f>
        <v/>
      </c>
      <c r="J16" s="8" t="str">
        <f t="shared" si="3"/>
        <v/>
      </c>
      <c r="K16" s="86" t="str">
        <f>IF(Параметры!$B$10&gt;D16,"Закрыт",IF(Параметры!$B$10&gt;=C16,"Активный","Планируется"))</f>
        <v>Планируется</v>
      </c>
      <c r="L16" s="19" t="s">
        <v>139</v>
      </c>
      <c r="M16" s="162" t="str">
        <f t="shared" si="4"/>
        <v>Q4 2026</v>
      </c>
      <c r="AB16" s="27" t="e">
        <f t="shared" si="5"/>
        <v>#N/A</v>
      </c>
      <c r="AC16" s="27" t="e">
        <f t="shared" si="6"/>
        <v>#N/A</v>
      </c>
      <c r="AD16" s="27" t="e">
        <f t="shared" si="7"/>
        <v>#N/A</v>
      </c>
      <c r="AE16" s="27">
        <v>1</v>
      </c>
    </row>
    <row r="17" spans="1:12" x14ac:dyDescent="0.3">
      <c r="A17" s="11"/>
      <c r="B17" s="12" t="s">
        <v>140</v>
      </c>
      <c r="C17" s="11"/>
      <c r="D17" s="11"/>
      <c r="E17" s="11"/>
      <c r="F17" s="21">
        <f>SUM(F6:F16)</f>
        <v>1019.7600000000002</v>
      </c>
      <c r="G17" s="21">
        <f>SUM(G6:G16)</f>
        <v>107</v>
      </c>
      <c r="H17" s="20">
        <f>IFERROR(AVERAGE(H6:H16),0)</f>
        <v>0.1029869513696743</v>
      </c>
      <c r="I17" s="21">
        <f>SUM(I6:I16)</f>
        <v>38</v>
      </c>
      <c r="J17" s="20">
        <f>IFERROR(I17/G17,0)</f>
        <v>0.35514018691588783</v>
      </c>
      <c r="K17" s="11"/>
      <c r="L17" s="11"/>
    </row>
    <row r="19" spans="1:12" ht="17.399999999999999" customHeight="1" x14ac:dyDescent="0.3">
      <c r="B19" s="1" t="s">
        <v>141</v>
      </c>
      <c r="E19" s="58" t="s">
        <v>142</v>
      </c>
    </row>
    <row r="20" spans="1:12" x14ac:dyDescent="0.3">
      <c r="B20" s="4" t="s">
        <v>49</v>
      </c>
      <c r="C20" s="26">
        <f>COUNTIF(K6:K16,"Закрыт")</f>
        <v>2</v>
      </c>
      <c r="E20" s="32" t="s">
        <v>143</v>
      </c>
      <c r="F20" s="87">
        <f>SUMIF(K6:K16,"&lt;&gt;Закрыт",G6:G16)</f>
        <v>61</v>
      </c>
    </row>
    <row r="21" spans="1:12" x14ac:dyDescent="0.3">
      <c r="B21" s="4" t="s">
        <v>50</v>
      </c>
      <c r="C21" s="23">
        <f>IFERROR(AVERAGEIF(K6:K16,"Закрыт",I6:I16),0)</f>
        <v>19</v>
      </c>
      <c r="E21" s="32" t="s">
        <v>50</v>
      </c>
      <c r="F21" s="35">
        <f>C21</f>
        <v>19</v>
      </c>
    </row>
    <row r="22" spans="1:12" x14ac:dyDescent="0.3">
      <c r="B22" s="4" t="s">
        <v>51</v>
      </c>
      <c r="C22" s="8">
        <f>IFERROR(AVERAGEIF(K6:K16,"Закрыт",J6:J16),0)</f>
        <v>0.82386363636363635</v>
      </c>
      <c r="E22" s="32" t="s">
        <v>53</v>
      </c>
      <c r="F22" s="61">
        <f>IFERROR(ROUNDUP(F20/F21,0),"")</f>
        <v>4</v>
      </c>
    </row>
    <row r="23" spans="1:12" x14ac:dyDescent="0.3">
      <c r="B23" s="4" t="s">
        <v>144</v>
      </c>
      <c r="C23" s="23">
        <f>SUMIF(K6:K16,"Закрыт",I6:I16)</f>
        <v>38</v>
      </c>
      <c r="E23" s="32" t="s">
        <v>54</v>
      </c>
      <c r="F23" s="62">
        <f>IFERROR($B$3+(Параметры!$B$13-1+F22)*14+11,"")</f>
        <v>46332</v>
      </c>
    </row>
    <row r="24" spans="1:12" x14ac:dyDescent="0.3">
      <c r="B24" s="4" t="s">
        <v>145</v>
      </c>
      <c r="C24" s="23">
        <f>IFERROR(AVERAGEIF(K6:K16,"Закрыт",I6:I16),0)</f>
        <v>19</v>
      </c>
      <c r="E24" s="38" t="s">
        <v>146</v>
      </c>
    </row>
    <row r="25" spans="1:12" x14ac:dyDescent="0.3">
      <c r="B25" s="2" t="s">
        <v>147</v>
      </c>
      <c r="E25" s="88" t="s">
        <v>148</v>
      </c>
      <c r="F25" s="89" t="str">
        <f>IFERROR(_xlfn.MINIFS(I6:I16,K6:K16,"Закрыт"),0)&amp;" / "&amp;IFERROR(_xlfn.MAXIFS(I6:I16,K6:K16,"Закрыт"),0)</f>
        <v>17 / 21</v>
      </c>
    </row>
    <row r="26" spans="1:12" x14ac:dyDescent="0.3">
      <c r="B26" s="2" t="s">
        <v>149</v>
      </c>
      <c r="E26" s="88" t="s">
        <v>150</v>
      </c>
      <c r="F26" s="90">
        <f>IFERROR(ROUNDUP(F20/_xlfn.MAXIFS(I6:I16,K6:K16,"Закрыт"),0),"")</f>
        <v>3</v>
      </c>
    </row>
    <row r="27" spans="1:12" x14ac:dyDescent="0.3">
      <c r="E27" s="88" t="s">
        <v>151</v>
      </c>
      <c r="F27" s="90">
        <f>IFERROR(ROUNDUP(F20/_xlfn.MINIFS(I6:I16,K6:K16,"Закрыт"),0),"")</f>
        <v>4</v>
      </c>
    </row>
    <row r="28" spans="1:12" ht="22.8" customHeight="1" x14ac:dyDescent="0.3">
      <c r="B28" s="28" t="s">
        <v>152</v>
      </c>
      <c r="E28" s="88" t="s">
        <v>153</v>
      </c>
      <c r="F28" s="89" t="str">
        <f>IFERROR(TEXT($B$3+(Параметры!$B$13-1+F26)*14+11,"DD.MM.YY")&amp;" – "&amp;TEXT($B$3+(Параметры!$B$13-1+F27)*14+11,"DD.MM.YY"),"")</f>
        <v>DD.MM.YY – DD.MM.YY</v>
      </c>
    </row>
    <row r="29" spans="1:12" x14ac:dyDescent="0.3">
      <c r="B29" s="29" t="s">
        <v>154</v>
      </c>
      <c r="C29" s="30">
        <v>0.9</v>
      </c>
    </row>
    <row r="30" spans="1:12" x14ac:dyDescent="0.3">
      <c r="B30" s="29" t="s">
        <v>155</v>
      </c>
      <c r="C30" s="30">
        <v>0.7</v>
      </c>
    </row>
    <row r="31" spans="1:12" x14ac:dyDescent="0.3">
      <c r="B31" s="31" t="s">
        <v>156</v>
      </c>
    </row>
    <row r="33" spans="1:9" ht="15.6" customHeight="1" x14ac:dyDescent="0.3">
      <c r="A33" s="58" t="s">
        <v>157</v>
      </c>
    </row>
    <row r="34" spans="1:9" ht="41.4" customHeight="1" x14ac:dyDescent="0.3">
      <c r="A34" s="39" t="s">
        <v>112</v>
      </c>
      <c r="B34" s="39" t="s">
        <v>158</v>
      </c>
      <c r="C34" s="39" t="s">
        <v>159</v>
      </c>
      <c r="D34" s="39" t="s">
        <v>160</v>
      </c>
      <c r="E34" s="39" t="s">
        <v>161</v>
      </c>
      <c r="F34" s="39" t="s">
        <v>162</v>
      </c>
      <c r="G34" s="39" t="s">
        <v>163</v>
      </c>
      <c r="H34" s="92" t="s">
        <v>164</v>
      </c>
      <c r="I34" s="92" t="s">
        <v>165</v>
      </c>
    </row>
    <row r="35" spans="1:9" ht="27.6" customHeight="1" x14ac:dyDescent="0.3">
      <c r="A35" s="63" t="s">
        <v>128</v>
      </c>
      <c r="B35" s="50">
        <v>8</v>
      </c>
      <c r="C35" s="50">
        <v>7</v>
      </c>
      <c r="D35" s="64">
        <f t="shared" ref="D35:D45" si="8">IF(AND(B35&lt;&gt;"",C35&lt;&gt;""),B35-C35,"")</f>
        <v>1</v>
      </c>
      <c r="E35" s="36">
        <f t="shared" ref="E35:E45" si="9">IF(AND(B35&lt;&gt;"",C35&lt;&gt;""),IFERROR(C35/B35,""),"")</f>
        <v>0.875</v>
      </c>
      <c r="F35" s="35">
        <f t="shared" ref="F35:F45" si="10">IF(I6="","",MAX(0,G6-I6))</f>
        <v>5</v>
      </c>
      <c r="G35" s="36">
        <f t="shared" ref="G35:G45" si="11">IF(J6="","",J6)</f>
        <v>0.77272727272727271</v>
      </c>
      <c r="H35" s="102">
        <f>SUMIFS(Бэклог!$E$5:$E$44,Бэклог!$M$5:$M$44,1,Бэклог!$N$5:$N$44,"Да")</f>
        <v>0</v>
      </c>
      <c r="I35" s="108">
        <f t="shared" ref="I35:I45" si="12">IFERROR(H35/G6,0)</f>
        <v>0</v>
      </c>
    </row>
    <row r="36" spans="1:9" ht="27.6" customHeight="1" x14ac:dyDescent="0.3">
      <c r="A36" s="63" t="s">
        <v>129</v>
      </c>
      <c r="B36" s="50">
        <v>10</v>
      </c>
      <c r="C36" s="50">
        <v>9</v>
      </c>
      <c r="D36" s="64">
        <f t="shared" si="8"/>
        <v>1</v>
      </c>
      <c r="E36" s="36">
        <f t="shared" si="9"/>
        <v>0.9</v>
      </c>
      <c r="F36" s="35">
        <f t="shared" si="10"/>
        <v>3</v>
      </c>
      <c r="G36" s="36">
        <f t="shared" si="11"/>
        <v>0.875</v>
      </c>
      <c r="H36" s="102">
        <f>SUMIFS(Бэклог!$E$5:$E$44,Бэклог!$M$5:$M$44,2,Бэклог!$N$5:$N$44,"Да")</f>
        <v>0</v>
      </c>
      <c r="I36" s="108">
        <f t="shared" si="12"/>
        <v>0</v>
      </c>
    </row>
    <row r="37" spans="1:9" ht="27.6" customHeight="1" x14ac:dyDescent="0.3">
      <c r="A37" s="63" t="s">
        <v>130</v>
      </c>
      <c r="B37" s="50"/>
      <c r="C37" s="50"/>
      <c r="D37" s="64" t="str">
        <f t="shared" si="8"/>
        <v/>
      </c>
      <c r="E37" s="36" t="str">
        <f t="shared" si="9"/>
        <v/>
      </c>
      <c r="F37" s="35" t="str">
        <f t="shared" si="10"/>
        <v/>
      </c>
      <c r="G37" s="36" t="str">
        <f t="shared" si="11"/>
        <v/>
      </c>
      <c r="H37" s="102">
        <f>SUMIFS(Бэклог!$E$5:$E$44,Бэклог!$M$5:$M$44,3,Бэклог!$N$5:$N$44,"Да")</f>
        <v>8</v>
      </c>
      <c r="I37" s="108">
        <f t="shared" si="12"/>
        <v>0.27586206896551724</v>
      </c>
    </row>
    <row r="38" spans="1:9" ht="27.6" customHeight="1" x14ac:dyDescent="0.3">
      <c r="A38" s="63" t="s">
        <v>131</v>
      </c>
      <c r="B38" s="50"/>
      <c r="C38" s="50"/>
      <c r="D38" s="64" t="str">
        <f t="shared" si="8"/>
        <v/>
      </c>
      <c r="E38" s="36" t="str">
        <f t="shared" si="9"/>
        <v/>
      </c>
      <c r="F38" s="35" t="str">
        <f t="shared" si="10"/>
        <v/>
      </c>
      <c r="G38" s="36" t="str">
        <f t="shared" si="11"/>
        <v/>
      </c>
      <c r="H38" s="102">
        <f>SUMIFS(Бэклог!$E$5:$E$44,Бэклог!$M$5:$M$44,4,Бэклог!$N$5:$N$44,"Да")</f>
        <v>0</v>
      </c>
      <c r="I38" s="108">
        <f t="shared" si="12"/>
        <v>0</v>
      </c>
    </row>
    <row r="39" spans="1:9" ht="27.6" customHeight="1" x14ac:dyDescent="0.3">
      <c r="A39" s="63" t="s">
        <v>132</v>
      </c>
      <c r="B39" s="50"/>
      <c r="C39" s="50"/>
      <c r="D39" s="64" t="str">
        <f t="shared" si="8"/>
        <v/>
      </c>
      <c r="E39" s="36" t="str">
        <f t="shared" si="9"/>
        <v/>
      </c>
      <c r="F39" s="35" t="str">
        <f t="shared" si="10"/>
        <v/>
      </c>
      <c r="G39" s="36" t="str">
        <f t="shared" si="11"/>
        <v/>
      </c>
      <c r="H39" s="102">
        <f>SUMIFS(Бэклог!$E$5:$E$44,Бэклог!$M$5:$M$44,5,Бэклог!$N$5:$N$44,"Да")</f>
        <v>0</v>
      </c>
      <c r="I39" s="108">
        <f t="shared" si="12"/>
        <v>0</v>
      </c>
    </row>
    <row r="40" spans="1:9" ht="27.6" customHeight="1" x14ac:dyDescent="0.3">
      <c r="A40" s="63" t="s">
        <v>133</v>
      </c>
      <c r="B40" s="50"/>
      <c r="C40" s="50"/>
      <c r="D40" s="64" t="str">
        <f t="shared" si="8"/>
        <v/>
      </c>
      <c r="E40" s="36" t="str">
        <f t="shared" si="9"/>
        <v/>
      </c>
      <c r="F40" s="35" t="str">
        <f t="shared" si="10"/>
        <v/>
      </c>
      <c r="G40" s="36" t="str">
        <f t="shared" si="11"/>
        <v/>
      </c>
      <c r="H40" s="102">
        <f>SUMIFS(Бэклог!$E$5:$E$44,Бэклог!$M$5:$M$44,6,Бэклог!$N$5:$N$44,"Да")</f>
        <v>0</v>
      </c>
      <c r="I40" s="108">
        <f t="shared" si="12"/>
        <v>0</v>
      </c>
    </row>
    <row r="41" spans="1:9" ht="27.6" customHeight="1" x14ac:dyDescent="0.3">
      <c r="A41" s="63" t="s">
        <v>134</v>
      </c>
      <c r="B41" s="50"/>
      <c r="C41" s="50"/>
      <c r="D41" s="64" t="str">
        <f t="shared" si="8"/>
        <v/>
      </c>
      <c r="E41" s="36" t="str">
        <f t="shared" si="9"/>
        <v/>
      </c>
      <c r="F41" s="35" t="str">
        <f t="shared" si="10"/>
        <v/>
      </c>
      <c r="G41" s="36" t="str">
        <f t="shared" si="11"/>
        <v/>
      </c>
      <c r="H41" s="102">
        <f>SUMIFS(Бэклог!$E$5:$E$44,Бэклог!$M$5:$M$44,7,Бэклог!$N$5:$N$44,"Да")</f>
        <v>0</v>
      </c>
      <c r="I41" s="108">
        <f t="shared" si="12"/>
        <v>0</v>
      </c>
    </row>
    <row r="42" spans="1:9" ht="27.6" customHeight="1" x14ac:dyDescent="0.3">
      <c r="A42" s="63" t="s">
        <v>135</v>
      </c>
      <c r="B42" s="50"/>
      <c r="C42" s="50"/>
      <c r="D42" s="64" t="str">
        <f t="shared" si="8"/>
        <v/>
      </c>
      <c r="E42" s="36" t="str">
        <f t="shared" si="9"/>
        <v/>
      </c>
      <c r="F42" s="35" t="str">
        <f t="shared" si="10"/>
        <v/>
      </c>
      <c r="G42" s="36" t="str">
        <f t="shared" si="11"/>
        <v/>
      </c>
      <c r="H42" s="102">
        <f>SUMIFS(Бэклог!$E$5:$E$44,Бэклог!$M$5:$M$44,8,Бэклог!$N$5:$N$44,"Да")</f>
        <v>0</v>
      </c>
      <c r="I42" s="108">
        <f t="shared" si="12"/>
        <v>0</v>
      </c>
    </row>
    <row r="43" spans="1:9" ht="27.6" customHeight="1" x14ac:dyDescent="0.3">
      <c r="A43" s="63" t="s">
        <v>136</v>
      </c>
      <c r="B43" s="50"/>
      <c r="C43" s="50"/>
      <c r="D43" s="64" t="str">
        <f t="shared" si="8"/>
        <v/>
      </c>
      <c r="E43" s="36" t="str">
        <f t="shared" si="9"/>
        <v/>
      </c>
      <c r="F43" s="35" t="str">
        <f t="shared" si="10"/>
        <v/>
      </c>
      <c r="G43" s="36" t="str">
        <f t="shared" si="11"/>
        <v/>
      </c>
      <c r="H43" s="102">
        <f>SUMIFS(Бэклог!$E$5:$E$44,Бэклог!$M$5:$M$44,9,Бэклог!$N$5:$N$44,"Да")</f>
        <v>0</v>
      </c>
      <c r="I43" s="108">
        <f t="shared" si="12"/>
        <v>0</v>
      </c>
    </row>
    <row r="44" spans="1:9" ht="27.6" customHeight="1" x14ac:dyDescent="0.3">
      <c r="A44" s="63" t="s">
        <v>137</v>
      </c>
      <c r="B44" s="50"/>
      <c r="C44" s="50"/>
      <c r="D44" s="64" t="str">
        <f t="shared" si="8"/>
        <v/>
      </c>
      <c r="E44" s="36" t="str">
        <f t="shared" si="9"/>
        <v/>
      </c>
      <c r="F44" s="35" t="str">
        <f t="shared" si="10"/>
        <v/>
      </c>
      <c r="G44" s="36" t="str">
        <f t="shared" si="11"/>
        <v/>
      </c>
      <c r="H44" s="102">
        <f>SUMIFS(Бэклог!$E$5:$E$44,Бэклог!$M$5:$M$44,10,Бэклог!$N$5:$N$44,"Да")</f>
        <v>0</v>
      </c>
      <c r="I44" s="108">
        <f t="shared" si="12"/>
        <v>0</v>
      </c>
    </row>
    <row r="45" spans="1:9" ht="27.6" customHeight="1" x14ac:dyDescent="0.3">
      <c r="A45" s="63" t="s">
        <v>138</v>
      </c>
      <c r="B45" s="50"/>
      <c r="C45" s="50"/>
      <c r="D45" s="64" t="str">
        <f t="shared" si="8"/>
        <v/>
      </c>
      <c r="E45" s="36" t="str">
        <f t="shared" si="9"/>
        <v/>
      </c>
      <c r="F45" s="35" t="str">
        <f t="shared" si="10"/>
        <v/>
      </c>
      <c r="G45" s="36" t="str">
        <f t="shared" si="11"/>
        <v/>
      </c>
      <c r="H45" s="102">
        <f>SUMIFS(Бэклог!$E$5:$E$44,Бэклог!$M$5:$M$44,11,Бэклог!$N$5:$N$44,"Да")</f>
        <v>0</v>
      </c>
      <c r="I45" s="108">
        <f t="shared" si="12"/>
        <v>0</v>
      </c>
    </row>
    <row r="46" spans="1:9" x14ac:dyDescent="0.3">
      <c r="A46" s="53" t="s">
        <v>140</v>
      </c>
      <c r="B46" s="65"/>
      <c r="C46" s="65"/>
      <c r="D46" s="53">
        <f>SUM(D35:D45)</f>
        <v>2</v>
      </c>
      <c r="E46" s="66">
        <f>IFERROR(AVERAGEIF(C35:C45,"&lt;&gt;",E35:E45),0)</f>
        <v>0.88749999999999996</v>
      </c>
      <c r="F46" s="54">
        <f>SUM(F35:F45)</f>
        <v>8</v>
      </c>
      <c r="G46" s="65"/>
    </row>
    <row r="48" spans="1:9" ht="15.6" customHeight="1" x14ac:dyDescent="0.3">
      <c r="A48" s="58" t="s">
        <v>166</v>
      </c>
    </row>
    <row r="49" spans="1:5" ht="27.6" customHeight="1" x14ac:dyDescent="0.3">
      <c r="A49" s="39" t="s">
        <v>112</v>
      </c>
      <c r="B49" s="39" t="s">
        <v>167</v>
      </c>
      <c r="C49" s="39" t="s">
        <v>168</v>
      </c>
      <c r="D49" s="39" t="s">
        <v>169</v>
      </c>
      <c r="E49" s="39" t="s">
        <v>170</v>
      </c>
    </row>
    <row r="50" spans="1:5" ht="27.6" customHeight="1" x14ac:dyDescent="0.3">
      <c r="A50" s="63" t="s">
        <v>128</v>
      </c>
      <c r="B50" s="35">
        <f t="shared" ref="B50:B60" si="13">F6</f>
        <v>92.800000000000011</v>
      </c>
      <c r="C50" s="35">
        <f t="shared" ref="C50:C60" si="14">IF(I6="","",I6)</f>
        <v>17</v>
      </c>
      <c r="D50" s="36">
        <f t="shared" ref="D50:D60" si="15">IF(I6="","",IFERROR(I6/F6,0))</f>
        <v>0.18318965517241378</v>
      </c>
      <c r="E50" s="36">
        <f>IF(I6="","",IFERROR(I6/(F6/Параметры!$B$9),0))</f>
        <v>0.14655172413793102</v>
      </c>
    </row>
    <row r="51" spans="1:5" ht="27.6" customHeight="1" x14ac:dyDescent="0.3">
      <c r="A51" s="63" t="s">
        <v>129</v>
      </c>
      <c r="B51" s="35">
        <f t="shared" si="13"/>
        <v>95.2</v>
      </c>
      <c r="C51" s="35">
        <f t="shared" si="14"/>
        <v>21</v>
      </c>
      <c r="D51" s="36">
        <f t="shared" si="15"/>
        <v>0.22058823529411764</v>
      </c>
      <c r="E51" s="36">
        <f>IF(I7="","",IFERROR(I7/(F7/Параметры!$B$9),0))</f>
        <v>0.17647058823529413</v>
      </c>
    </row>
    <row r="52" spans="1:5" ht="27.6" customHeight="1" x14ac:dyDescent="0.3">
      <c r="A52" s="63" t="s">
        <v>130</v>
      </c>
      <c r="B52" s="35">
        <f t="shared" si="13"/>
        <v>95.2</v>
      </c>
      <c r="C52" s="35" t="str">
        <f t="shared" si="14"/>
        <v/>
      </c>
      <c r="D52" s="36" t="str">
        <f t="shared" si="15"/>
        <v/>
      </c>
      <c r="E52" s="36" t="str">
        <f>IF(I8="","",IFERROR(I8/(F8/Параметры!$B$9),0))</f>
        <v/>
      </c>
    </row>
    <row r="53" spans="1:5" ht="27.6" customHeight="1" x14ac:dyDescent="0.3">
      <c r="A53" s="63" t="s">
        <v>131</v>
      </c>
      <c r="B53" s="35">
        <f t="shared" si="13"/>
        <v>95.2</v>
      </c>
      <c r="C53" s="35" t="str">
        <f t="shared" si="14"/>
        <v/>
      </c>
      <c r="D53" s="36" t="str">
        <f t="shared" si="15"/>
        <v/>
      </c>
      <c r="E53" s="36" t="str">
        <f>IF(I9="","",IFERROR(I9/(F9/Параметры!$B$9),0))</f>
        <v/>
      </c>
    </row>
    <row r="54" spans="1:5" ht="27.6" customHeight="1" x14ac:dyDescent="0.3">
      <c r="A54" s="63" t="s">
        <v>132</v>
      </c>
      <c r="B54" s="35">
        <f t="shared" si="13"/>
        <v>93.2</v>
      </c>
      <c r="C54" s="35" t="str">
        <f t="shared" si="14"/>
        <v/>
      </c>
      <c r="D54" s="36" t="str">
        <f t="shared" si="15"/>
        <v/>
      </c>
      <c r="E54" s="36" t="str">
        <f>IF(I10="","",IFERROR(I10/(F10/Параметры!$B$9),0))</f>
        <v/>
      </c>
    </row>
    <row r="55" spans="1:5" ht="27.6" customHeight="1" x14ac:dyDescent="0.3">
      <c r="A55" s="63" t="s">
        <v>133</v>
      </c>
      <c r="B55" s="35">
        <f t="shared" si="13"/>
        <v>95.2</v>
      </c>
      <c r="C55" s="35" t="str">
        <f t="shared" si="14"/>
        <v/>
      </c>
      <c r="D55" s="36" t="str">
        <f t="shared" si="15"/>
        <v/>
      </c>
      <c r="E55" s="36" t="str">
        <f>IF(I11="","",IFERROR(I11/(F11/Параметры!$B$9),0))</f>
        <v/>
      </c>
    </row>
    <row r="56" spans="1:5" ht="27.6" customHeight="1" x14ac:dyDescent="0.3">
      <c r="A56" s="63" t="s">
        <v>134</v>
      </c>
      <c r="B56" s="35">
        <f t="shared" si="13"/>
        <v>85.680000000000021</v>
      </c>
      <c r="C56" s="35" t="str">
        <f t="shared" si="14"/>
        <v/>
      </c>
      <c r="D56" s="36" t="str">
        <f t="shared" si="15"/>
        <v/>
      </c>
      <c r="E56" s="36" t="str">
        <f>IF(I12="","",IFERROR(I12/(F12/Параметры!$B$9),0))</f>
        <v/>
      </c>
    </row>
    <row r="57" spans="1:5" ht="27.6" customHeight="1" x14ac:dyDescent="0.3">
      <c r="A57" s="63" t="s">
        <v>135</v>
      </c>
      <c r="B57" s="35">
        <f t="shared" si="13"/>
        <v>91.2</v>
      </c>
      <c r="C57" s="35" t="str">
        <f t="shared" si="14"/>
        <v/>
      </c>
      <c r="D57" s="36" t="str">
        <f t="shared" si="15"/>
        <v/>
      </c>
      <c r="E57" s="36" t="str">
        <f>IF(I13="","",IFERROR(I13/(F13/Параметры!$B$9),0))</f>
        <v/>
      </c>
    </row>
    <row r="58" spans="1:5" ht="27.6" customHeight="1" x14ac:dyDescent="0.3">
      <c r="A58" s="63" t="s">
        <v>136</v>
      </c>
      <c r="B58" s="35">
        <f t="shared" si="13"/>
        <v>95.2</v>
      </c>
      <c r="C58" s="35" t="str">
        <f t="shared" si="14"/>
        <v/>
      </c>
      <c r="D58" s="36" t="str">
        <f t="shared" si="15"/>
        <v/>
      </c>
      <c r="E58" s="36" t="str">
        <f>IF(I14="","",IFERROR(I14/(F14/Параметры!$B$9),0))</f>
        <v/>
      </c>
    </row>
    <row r="59" spans="1:5" ht="27.6" customHeight="1" x14ac:dyDescent="0.3">
      <c r="A59" s="63" t="s">
        <v>137</v>
      </c>
      <c r="B59" s="35">
        <f t="shared" si="13"/>
        <v>95.2</v>
      </c>
      <c r="C59" s="35" t="str">
        <f t="shared" si="14"/>
        <v/>
      </c>
      <c r="D59" s="36" t="str">
        <f t="shared" si="15"/>
        <v/>
      </c>
      <c r="E59" s="36" t="str">
        <f>IF(I15="","",IFERROR(I15/(F15/Параметры!$B$9),0))</f>
        <v/>
      </c>
    </row>
    <row r="60" spans="1:5" ht="27.6" customHeight="1" x14ac:dyDescent="0.3">
      <c r="A60" s="63" t="s">
        <v>138</v>
      </c>
      <c r="B60" s="35">
        <f t="shared" si="13"/>
        <v>85.680000000000021</v>
      </c>
      <c r="C60" s="35" t="str">
        <f t="shared" si="14"/>
        <v/>
      </c>
      <c r="D60" s="36" t="str">
        <f t="shared" si="15"/>
        <v/>
      </c>
      <c r="E60" s="36" t="str">
        <f>IF(I16="","",IFERROR(I16/(F16/Параметры!$B$9),0))</f>
        <v/>
      </c>
    </row>
    <row r="61" spans="1:5" x14ac:dyDescent="0.3">
      <c r="A61" s="53" t="s">
        <v>171</v>
      </c>
      <c r="B61" s="65"/>
      <c r="C61" s="65"/>
      <c r="D61" s="66">
        <f>IFERROR(AVERAGEIF(C50:C60,"&lt;&gt;",D50:D60),0)</f>
        <v>0.20188894523326573</v>
      </c>
      <c r="E61" s="66">
        <f>IFERROR(AVERAGEIF(C50:C60,"&lt;&gt;",E50:E60),0)</f>
        <v>0.16151115618661258</v>
      </c>
    </row>
    <row r="62" spans="1:5" x14ac:dyDescent="0.3">
      <c r="A62" s="38" t="s">
        <v>172</v>
      </c>
    </row>
  </sheetData>
  <dataValidations count="1">
    <dataValidation type="list" allowBlank="1" promptTitle="Статус спринта" prompt="Планируется / Активный / Закрыт" sqref="K6:K16" xr:uid="{00000000-0002-0000-0300-000000000000}">
      <formula1>"Планируется,Активный,Закрыт"</formula1>
    </dataValidation>
  </dataValidations>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
  <sheetViews>
    <sheetView showGridLines="0" workbookViewId="0">
      <pane ySplit="4" topLeftCell="A5" activePane="bottomLeft" state="frozen"/>
      <selection pane="bottomLeft" activeCell="H18" sqref="H18"/>
    </sheetView>
  </sheetViews>
  <sheetFormatPr defaultRowHeight="14.4" x14ac:dyDescent="0.3"/>
  <cols>
    <col min="1" max="1" width="11" customWidth="1"/>
    <col min="2" max="2" width="9" customWidth="1"/>
    <col min="3" max="3" width="14" customWidth="1"/>
    <col min="4" max="4" width="10" customWidth="1"/>
    <col min="5" max="5" width="11" customWidth="1"/>
    <col min="6" max="6" width="10" customWidth="1"/>
    <col min="7" max="7" width="11" customWidth="1"/>
    <col min="8" max="8" width="36" customWidth="1"/>
  </cols>
  <sheetData>
    <row r="1" spans="1:8" ht="17.399999999999999" customHeight="1" x14ac:dyDescent="0.3">
      <c r="A1" s="163" t="s">
        <v>173</v>
      </c>
    </row>
    <row r="2" spans="1:8" x14ac:dyDescent="0.3">
      <c r="A2" s="164" t="s">
        <v>174</v>
      </c>
    </row>
    <row r="4" spans="1:8" ht="41.4" customHeight="1" x14ac:dyDescent="0.3">
      <c r="A4" s="161" t="s">
        <v>123</v>
      </c>
      <c r="B4" s="161" t="s">
        <v>175</v>
      </c>
      <c r="C4" s="161" t="s">
        <v>116</v>
      </c>
      <c r="D4" s="161" t="s">
        <v>176</v>
      </c>
      <c r="E4" s="161" t="s">
        <v>177</v>
      </c>
      <c r="F4" s="161" t="s">
        <v>45</v>
      </c>
      <c r="G4" s="161" t="s">
        <v>178</v>
      </c>
      <c r="H4" s="161" t="s">
        <v>179</v>
      </c>
    </row>
    <row r="5" spans="1:8" ht="27.6" customHeight="1" x14ac:dyDescent="0.3">
      <c r="A5" s="165" t="s">
        <v>180</v>
      </c>
      <c r="B5" s="166">
        <f>COUNTIF('Дорожная карта'!$M$6:$M$16,A5)</f>
        <v>5</v>
      </c>
      <c r="C5" s="167">
        <f>SUMIF('Дорожная карта'!$M$6:$M$16,A5,'Дорожная карта'!$F$6:$F$16)</f>
        <v>471.59999999999997</v>
      </c>
      <c r="D5" s="167">
        <f>SUMIF('Дорожная карта'!$M$6:$M$16,A5,'Дорожная карта'!$G$6:$G$16)</f>
        <v>107</v>
      </c>
      <c r="E5" s="167">
        <f>SUMIF('Дорожная карта'!$M$6:$M$16,A5,'Дорожная карта'!$I$6:$I$16)</f>
        <v>38</v>
      </c>
      <c r="F5" s="168">
        <f t="shared" ref="F5:G8" si="0">IFERROR(D5/C5,0)</f>
        <v>0.22688719253604753</v>
      </c>
      <c r="G5" s="169">
        <f t="shared" si="0"/>
        <v>0.35514018691588783</v>
      </c>
      <c r="H5" s="244" t="s">
        <v>181</v>
      </c>
    </row>
    <row r="6" spans="1:8" x14ac:dyDescent="0.3">
      <c r="A6" s="165" t="s">
        <v>182</v>
      </c>
      <c r="B6" s="166">
        <f>COUNTIF('Дорожная карта'!$M$6:$M$16,A6)</f>
        <v>6</v>
      </c>
      <c r="C6" s="167">
        <f>SUMIF('Дорожная карта'!$M$6:$M$16,A6,'Дорожная карта'!$F$6:$F$16)</f>
        <v>548.16000000000008</v>
      </c>
      <c r="D6" s="167">
        <f>SUMIF('Дорожная карта'!$M$6:$M$16,A6,'Дорожная карта'!$G$6:$G$16)</f>
        <v>0</v>
      </c>
      <c r="E6" s="167">
        <f>SUMIF('Дорожная карта'!$M$6:$M$16,A6,'Дорожная карта'!$I$6:$I$16)</f>
        <v>0</v>
      </c>
      <c r="F6" s="168">
        <f t="shared" si="0"/>
        <v>0</v>
      </c>
      <c r="G6" s="169">
        <f t="shared" si="0"/>
        <v>0</v>
      </c>
      <c r="H6" s="170" t="s">
        <v>183</v>
      </c>
    </row>
    <row r="7" spans="1:8" x14ac:dyDescent="0.3">
      <c r="A7" s="165" t="s">
        <v>184</v>
      </c>
      <c r="B7" s="166">
        <f>COUNTIF('Дорожная карта'!$M$6:$M$16,A7)</f>
        <v>0</v>
      </c>
      <c r="C7" s="167">
        <f>SUMIF('Дорожная карта'!$M$6:$M$16,A7,'Дорожная карта'!$F$6:$F$16)</f>
        <v>0</v>
      </c>
      <c r="D7" s="167">
        <f>SUMIF('Дорожная карта'!$M$6:$M$16,A7,'Дорожная карта'!$G$6:$G$16)</f>
        <v>0</v>
      </c>
      <c r="E7" s="167">
        <f>SUMIF('Дорожная карта'!$M$6:$M$16,A7,'Дорожная карта'!$I$6:$I$16)</f>
        <v>0</v>
      </c>
      <c r="F7" s="168">
        <f t="shared" si="0"/>
        <v>0</v>
      </c>
      <c r="G7" s="169">
        <f t="shared" si="0"/>
        <v>0</v>
      </c>
      <c r="H7" s="170" t="s">
        <v>185</v>
      </c>
    </row>
    <row r="8" spans="1:8" x14ac:dyDescent="0.3">
      <c r="A8" s="171" t="s">
        <v>186</v>
      </c>
      <c r="B8" s="171">
        <f>SUM(B5:B7)</f>
        <v>11</v>
      </c>
      <c r="C8" s="172">
        <f>SUM(C5:C7)</f>
        <v>1019.76</v>
      </c>
      <c r="D8" s="172">
        <f>SUM(D5:D7)</f>
        <v>107</v>
      </c>
      <c r="E8" s="172">
        <f>SUM(E5:E7)</f>
        <v>38</v>
      </c>
      <c r="F8" s="173">
        <f t="shared" si="0"/>
        <v>0.10492664940770377</v>
      </c>
      <c r="G8" s="173">
        <f t="shared" si="0"/>
        <v>0.35514018691588783</v>
      </c>
      <c r="H8" s="174"/>
    </row>
  </sheetData>
  <conditionalFormatting sqref="F5:F7">
    <cfRule type="cellIs" dxfId="28" priority="1" operator="greaterThan">
      <formula>1</formula>
    </cfRule>
    <cfRule type="cellIs" dxfId="27" priority="2" operator="between">
      <formula>0.9</formula>
      <formula>1</formula>
    </cfRule>
    <cfRule type="cellIs" dxfId="26" priority="3" operator="lessThan">
      <formula>0.9</formula>
    </cfRule>
  </conditionalFormatting>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1"/>
  <sheetViews>
    <sheetView showGridLines="0" workbookViewId="0">
      <pane ySplit="4" topLeftCell="A5" activePane="bottomLeft" state="frozen"/>
      <selection pane="bottomLeft"/>
    </sheetView>
  </sheetViews>
  <sheetFormatPr defaultRowHeight="14.4" x14ac:dyDescent="0.3"/>
  <cols>
    <col min="1" max="1" width="7" customWidth="1"/>
    <col min="2" max="2" width="30" customWidth="1"/>
    <col min="3" max="3" width="12" customWidth="1"/>
    <col min="4" max="4" width="10" customWidth="1"/>
    <col min="5" max="7" width="11" customWidth="1"/>
    <col min="8" max="8" width="7" customWidth="1"/>
    <col min="9" max="9" width="12" customWidth="1"/>
  </cols>
  <sheetData>
    <row r="1" spans="1:9" ht="17.399999999999999" x14ac:dyDescent="0.3">
      <c r="A1" s="213" t="s">
        <v>187</v>
      </c>
    </row>
    <row r="2" spans="1:9" x14ac:dyDescent="0.3">
      <c r="A2" s="225" t="s">
        <v>188</v>
      </c>
    </row>
    <row r="4" spans="1:9" ht="41.4" x14ac:dyDescent="0.3">
      <c r="A4" s="226" t="s">
        <v>189</v>
      </c>
      <c r="B4" s="226" t="s">
        <v>190</v>
      </c>
      <c r="C4" s="226" t="s">
        <v>191</v>
      </c>
      <c r="D4" s="226" t="s">
        <v>192</v>
      </c>
      <c r="E4" s="226" t="s">
        <v>193</v>
      </c>
      <c r="F4" s="226" t="s">
        <v>194</v>
      </c>
      <c r="G4" s="226" t="s">
        <v>195</v>
      </c>
      <c r="H4" s="226" t="s">
        <v>196</v>
      </c>
      <c r="I4" s="226" t="s">
        <v>197</v>
      </c>
    </row>
    <row r="5" spans="1:9" x14ac:dyDescent="0.3">
      <c r="A5" s="227" t="s">
        <v>198</v>
      </c>
      <c r="B5" s="228" t="s">
        <v>199</v>
      </c>
      <c r="C5" s="229">
        <v>5000</v>
      </c>
      <c r="D5" s="230">
        <v>3</v>
      </c>
      <c r="E5" s="231">
        <v>1</v>
      </c>
      <c r="F5" s="230">
        <v>40</v>
      </c>
      <c r="G5" s="232">
        <f t="shared" ref="G5:G14" si="0">IFERROR(C5*D5*E5/F5,0)</f>
        <v>375</v>
      </c>
      <c r="H5" s="230">
        <f t="shared" ref="H5:H14" si="1">IF(G5="","",RANK(G5,$G$5:$G$14))</f>
        <v>2</v>
      </c>
      <c r="I5" s="233" t="str">
        <f t="shared" ref="I5:I14" si="2">IF(G5="","",IF(G5&gt;=0.6*MAX($G$5:$G$14),"Высокий",IF(G5&gt;=0.3*MAX($G$5:$G$14),"Средний","Низкий")))</f>
        <v>Высокий</v>
      </c>
    </row>
    <row r="6" spans="1:9" x14ac:dyDescent="0.3">
      <c r="A6" s="227" t="s">
        <v>200</v>
      </c>
      <c r="B6" s="228" t="s">
        <v>201</v>
      </c>
      <c r="C6" s="229">
        <v>5000</v>
      </c>
      <c r="D6" s="230">
        <v>3</v>
      </c>
      <c r="E6" s="231">
        <v>0.8</v>
      </c>
      <c r="F6" s="230">
        <v>25</v>
      </c>
      <c r="G6" s="232">
        <f t="shared" si="0"/>
        <v>480</v>
      </c>
      <c r="H6" s="230">
        <f t="shared" si="1"/>
        <v>1</v>
      </c>
      <c r="I6" s="233" t="str">
        <f t="shared" si="2"/>
        <v>Высокий</v>
      </c>
    </row>
    <row r="7" spans="1:9" x14ac:dyDescent="0.3">
      <c r="A7" s="227" t="s">
        <v>202</v>
      </c>
      <c r="B7" s="228" t="s">
        <v>203</v>
      </c>
      <c r="C7" s="229">
        <v>3000</v>
      </c>
      <c r="D7" s="230">
        <v>1</v>
      </c>
      <c r="E7" s="231">
        <v>0.8</v>
      </c>
      <c r="F7" s="230">
        <v>12</v>
      </c>
      <c r="G7" s="232">
        <f t="shared" si="0"/>
        <v>200</v>
      </c>
      <c r="H7" s="230">
        <f t="shared" si="1"/>
        <v>5</v>
      </c>
      <c r="I7" s="233" t="str">
        <f t="shared" si="2"/>
        <v>Средний</v>
      </c>
    </row>
    <row r="8" spans="1:9" x14ac:dyDescent="0.3">
      <c r="A8" s="227" t="s">
        <v>204</v>
      </c>
      <c r="B8" s="228" t="s">
        <v>205</v>
      </c>
      <c r="C8" s="229">
        <v>4000</v>
      </c>
      <c r="D8" s="230">
        <v>1</v>
      </c>
      <c r="E8" s="231">
        <v>0.8</v>
      </c>
      <c r="F8" s="230">
        <v>15</v>
      </c>
      <c r="G8" s="232">
        <f t="shared" si="0"/>
        <v>213.33333333333334</v>
      </c>
      <c r="H8" s="230">
        <f t="shared" si="1"/>
        <v>4</v>
      </c>
      <c r="I8" s="233" t="str">
        <f t="shared" si="2"/>
        <v>Средний</v>
      </c>
    </row>
    <row r="9" spans="1:9" x14ac:dyDescent="0.3">
      <c r="A9" s="227" t="s">
        <v>206</v>
      </c>
      <c r="B9" s="228" t="s">
        <v>207</v>
      </c>
      <c r="C9" s="229">
        <v>3500</v>
      </c>
      <c r="D9" s="230">
        <v>0.5</v>
      </c>
      <c r="E9" s="231">
        <v>1</v>
      </c>
      <c r="F9" s="230">
        <v>10</v>
      </c>
      <c r="G9" s="232">
        <f t="shared" si="0"/>
        <v>175</v>
      </c>
      <c r="H9" s="230">
        <f t="shared" si="1"/>
        <v>6</v>
      </c>
      <c r="I9" s="233" t="str">
        <f t="shared" si="2"/>
        <v>Средний</v>
      </c>
    </row>
    <row r="10" spans="1:9" x14ac:dyDescent="0.3">
      <c r="A10" s="227" t="s">
        <v>208</v>
      </c>
      <c r="B10" s="228" t="s">
        <v>209</v>
      </c>
      <c r="C10" s="229">
        <v>4500</v>
      </c>
      <c r="D10" s="230">
        <v>2</v>
      </c>
      <c r="E10" s="231">
        <v>0.8</v>
      </c>
      <c r="F10" s="230">
        <v>20</v>
      </c>
      <c r="G10" s="232">
        <f t="shared" si="0"/>
        <v>360</v>
      </c>
      <c r="H10" s="230">
        <f t="shared" si="1"/>
        <v>3</v>
      </c>
      <c r="I10" s="233" t="str">
        <f t="shared" si="2"/>
        <v>Высокий</v>
      </c>
    </row>
    <row r="11" spans="1:9" x14ac:dyDescent="0.3">
      <c r="A11" s="227" t="s">
        <v>210</v>
      </c>
      <c r="B11" s="228" t="s">
        <v>211</v>
      </c>
      <c r="C11" s="229">
        <v>3000</v>
      </c>
      <c r="D11" s="230">
        <v>1</v>
      </c>
      <c r="E11" s="231">
        <v>0.5</v>
      </c>
      <c r="F11" s="230">
        <v>18</v>
      </c>
      <c r="G11" s="232">
        <f t="shared" si="0"/>
        <v>83.333333333333329</v>
      </c>
      <c r="H11" s="230">
        <f t="shared" si="1"/>
        <v>8</v>
      </c>
      <c r="I11" s="233" t="str">
        <f t="shared" si="2"/>
        <v>Низкий</v>
      </c>
    </row>
    <row r="12" spans="1:9" x14ac:dyDescent="0.3">
      <c r="A12" s="227" t="s">
        <v>212</v>
      </c>
      <c r="B12" s="228" t="s">
        <v>213</v>
      </c>
      <c r="C12" s="229">
        <v>2000</v>
      </c>
      <c r="D12" s="230">
        <v>2</v>
      </c>
      <c r="E12" s="231">
        <v>0.5</v>
      </c>
      <c r="F12" s="230">
        <v>22</v>
      </c>
      <c r="G12" s="232">
        <f t="shared" si="0"/>
        <v>90.909090909090907</v>
      </c>
      <c r="H12" s="230">
        <f t="shared" si="1"/>
        <v>7</v>
      </c>
      <c r="I12" s="233" t="str">
        <f t="shared" si="2"/>
        <v>Низкий</v>
      </c>
    </row>
    <row r="13" spans="1:9" x14ac:dyDescent="0.3">
      <c r="A13" s="227" t="s">
        <v>214</v>
      </c>
      <c r="B13" s="228" t="s">
        <v>215</v>
      </c>
      <c r="C13" s="229">
        <v>800</v>
      </c>
      <c r="D13" s="230">
        <v>0.5</v>
      </c>
      <c r="E13" s="231">
        <v>0.8</v>
      </c>
      <c r="F13" s="230">
        <v>8</v>
      </c>
      <c r="G13" s="232">
        <f t="shared" si="0"/>
        <v>40</v>
      </c>
      <c r="H13" s="230">
        <f t="shared" si="1"/>
        <v>9</v>
      </c>
      <c r="I13" s="233" t="str">
        <f t="shared" si="2"/>
        <v>Низкий</v>
      </c>
    </row>
    <row r="14" spans="1:9" x14ac:dyDescent="0.3">
      <c r="A14" s="227" t="s">
        <v>216</v>
      </c>
      <c r="B14" s="228" t="s">
        <v>217</v>
      </c>
      <c r="C14" s="229">
        <v>1500</v>
      </c>
      <c r="D14" s="230">
        <v>1</v>
      </c>
      <c r="E14" s="231">
        <v>0.5</v>
      </c>
      <c r="F14" s="230">
        <v>30</v>
      </c>
      <c r="G14" s="232">
        <f t="shared" si="0"/>
        <v>25</v>
      </c>
      <c r="H14" s="230">
        <f t="shared" si="1"/>
        <v>10</v>
      </c>
      <c r="I14" s="233" t="str">
        <f t="shared" si="2"/>
        <v>Низкий</v>
      </c>
    </row>
    <row r="16" spans="1:9" x14ac:dyDescent="0.3">
      <c r="A16" s="222" t="s">
        <v>218</v>
      </c>
    </row>
    <row r="17" spans="1:2" x14ac:dyDescent="0.3">
      <c r="A17" s="234" t="s">
        <v>219</v>
      </c>
      <c r="B17" s="235" t="s">
        <v>220</v>
      </c>
    </row>
    <row r="18" spans="1:2" x14ac:dyDescent="0.3">
      <c r="A18" s="234" t="s">
        <v>221</v>
      </c>
      <c r="B18" s="235" t="s">
        <v>222</v>
      </c>
    </row>
    <row r="19" spans="1:2" x14ac:dyDescent="0.3">
      <c r="A19" s="234" t="s">
        <v>223</v>
      </c>
      <c r="B19" s="235" t="s">
        <v>224</v>
      </c>
    </row>
    <row r="20" spans="1:2" x14ac:dyDescent="0.3">
      <c r="A20" s="234" t="s">
        <v>225</v>
      </c>
      <c r="B20" s="235" t="s">
        <v>226</v>
      </c>
    </row>
    <row r="21" spans="1:2" x14ac:dyDescent="0.3">
      <c r="A21" s="234" t="s">
        <v>227</v>
      </c>
      <c r="B21" s="235" t="s">
        <v>228</v>
      </c>
    </row>
  </sheetData>
  <conditionalFormatting sqref="G5:G14">
    <cfRule type="colorScale" priority="4">
      <colorScale>
        <cfvo type="min"/>
        <cfvo type="percentile" val="50"/>
        <cfvo type="max"/>
        <color rgb="FFF8696B"/>
        <color rgb="FFFFEB84"/>
        <color rgb="FF63BE7B"/>
      </colorScale>
    </cfRule>
  </conditionalFormatting>
  <conditionalFormatting sqref="I5:I14">
    <cfRule type="cellIs" dxfId="25" priority="1" operator="equal">
      <formula>"Высокий"</formula>
    </cfRule>
    <cfRule type="cellIs" dxfId="24" priority="2" operator="equal">
      <formula>"Средний"</formula>
    </cfRule>
    <cfRule type="cellIs" dxfId="23" priority="3" operator="equal">
      <formula>"Низкий"</formula>
    </cfRule>
  </conditionalFormatting>
  <dataValidations count="2">
    <dataValidation type="list" allowBlank="1" sqref="D5:D14" xr:uid="{00000000-0002-0000-0500-000000000000}">
      <formula1>"3,2,1,0.5,0.25"</formula1>
    </dataValidation>
    <dataValidation type="list" allowBlank="1" sqref="E5:E14" xr:uid="{00000000-0002-0000-0500-000001000000}">
      <formula1>"1,0.8,0.5"</formula1>
    </dataValidation>
  </dataValidation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8"/>
  <sheetViews>
    <sheetView showGridLines="0" workbookViewId="0">
      <pane ySplit="4" topLeftCell="A17" activePane="bottomLeft" state="frozen"/>
      <selection pane="bottomLeft"/>
    </sheetView>
  </sheetViews>
  <sheetFormatPr defaultRowHeight="14.4" x14ac:dyDescent="0.3"/>
  <cols>
    <col min="1" max="1" width="12" customWidth="1"/>
    <col min="2" max="2" width="26" customWidth="1"/>
    <col min="3" max="3" width="12" customWidth="1"/>
    <col min="4" max="4" width="14" customWidth="1"/>
    <col min="5" max="5" width="10" customWidth="1"/>
  </cols>
  <sheetData>
    <row r="1" spans="1:5" ht="17.399999999999999" customHeight="1" x14ac:dyDescent="0.3">
      <c r="A1" s="163" t="s">
        <v>229</v>
      </c>
    </row>
    <row r="2" spans="1:5" x14ac:dyDescent="0.3">
      <c r="A2" s="164" t="s">
        <v>230</v>
      </c>
    </row>
    <row r="4" spans="1:5" ht="27.6" customHeight="1" x14ac:dyDescent="0.3">
      <c r="A4" s="161" t="s">
        <v>112</v>
      </c>
      <c r="B4" s="161" t="s">
        <v>123</v>
      </c>
      <c r="C4" s="161" t="s">
        <v>113</v>
      </c>
      <c r="D4" s="161" t="s">
        <v>114</v>
      </c>
      <c r="E4" s="161" t="s">
        <v>231</v>
      </c>
    </row>
    <row r="5" spans="1:5" x14ac:dyDescent="0.3">
      <c r="A5" s="190" t="s">
        <v>128</v>
      </c>
      <c r="B5" s="162" t="str">
        <f>'Дорожная карта'!M6</f>
        <v>Q3 2026</v>
      </c>
      <c r="C5" s="191">
        <f>'Дорожная карта'!C6</f>
        <v>46237</v>
      </c>
      <c r="D5" s="191">
        <f>'Дорожная карта'!D6</f>
        <v>46248</v>
      </c>
      <c r="E5" s="192">
        <f t="shared" ref="E5:E15" si="0">D5-C5</f>
        <v>11</v>
      </c>
    </row>
    <row r="6" spans="1:5" x14ac:dyDescent="0.3">
      <c r="A6" s="190" t="s">
        <v>129</v>
      </c>
      <c r="B6" s="162" t="str">
        <f>'Дорожная карта'!M7</f>
        <v>Q3 2026</v>
      </c>
      <c r="C6" s="191">
        <f>'Дорожная карта'!C7</f>
        <v>46251</v>
      </c>
      <c r="D6" s="191">
        <f>'Дорожная карта'!D7</f>
        <v>46262</v>
      </c>
      <c r="E6" s="192">
        <f t="shared" si="0"/>
        <v>11</v>
      </c>
    </row>
    <row r="7" spans="1:5" x14ac:dyDescent="0.3">
      <c r="A7" s="190" t="s">
        <v>130</v>
      </c>
      <c r="B7" s="162" t="str">
        <f>'Дорожная карта'!M8</f>
        <v>Q3 2026</v>
      </c>
      <c r="C7" s="191">
        <f>'Дорожная карта'!C8</f>
        <v>46265</v>
      </c>
      <c r="D7" s="191">
        <f>'Дорожная карта'!D8</f>
        <v>46276</v>
      </c>
      <c r="E7" s="192">
        <f t="shared" si="0"/>
        <v>11</v>
      </c>
    </row>
    <row r="8" spans="1:5" x14ac:dyDescent="0.3">
      <c r="A8" s="190" t="s">
        <v>131</v>
      </c>
      <c r="B8" s="162" t="str">
        <f>'Дорожная карта'!M9</f>
        <v>Q3 2026</v>
      </c>
      <c r="C8" s="191">
        <f>'Дорожная карта'!C9</f>
        <v>46279</v>
      </c>
      <c r="D8" s="191">
        <f>'Дорожная карта'!D9</f>
        <v>46290</v>
      </c>
      <c r="E8" s="192">
        <f t="shared" si="0"/>
        <v>11</v>
      </c>
    </row>
    <row r="9" spans="1:5" x14ac:dyDescent="0.3">
      <c r="A9" s="190" t="s">
        <v>132</v>
      </c>
      <c r="B9" s="162" t="str">
        <f>'Дорожная карта'!M10</f>
        <v>Q3 2026</v>
      </c>
      <c r="C9" s="191">
        <f>'Дорожная карта'!C10</f>
        <v>46293</v>
      </c>
      <c r="D9" s="191">
        <f>'Дорожная карта'!D10</f>
        <v>46304</v>
      </c>
      <c r="E9" s="192">
        <f t="shared" si="0"/>
        <v>11</v>
      </c>
    </row>
    <row r="10" spans="1:5" x14ac:dyDescent="0.3">
      <c r="A10" s="190" t="s">
        <v>133</v>
      </c>
      <c r="B10" s="162" t="str">
        <f>'Дорожная карта'!M11</f>
        <v>Q4 2026</v>
      </c>
      <c r="C10" s="191">
        <f>'Дорожная карта'!C11</f>
        <v>46307</v>
      </c>
      <c r="D10" s="191">
        <f>'Дорожная карта'!D11</f>
        <v>46318</v>
      </c>
      <c r="E10" s="192">
        <f t="shared" si="0"/>
        <v>11</v>
      </c>
    </row>
    <row r="11" spans="1:5" x14ac:dyDescent="0.3">
      <c r="A11" s="190" t="s">
        <v>134</v>
      </c>
      <c r="B11" s="162" t="str">
        <f>'Дорожная карта'!M12</f>
        <v>Q4 2026</v>
      </c>
      <c r="C11" s="191">
        <f>'Дорожная карта'!C12</f>
        <v>46321</v>
      </c>
      <c r="D11" s="191">
        <f>'Дорожная карта'!D12</f>
        <v>46332</v>
      </c>
      <c r="E11" s="192">
        <f t="shared" si="0"/>
        <v>11</v>
      </c>
    </row>
    <row r="12" spans="1:5" x14ac:dyDescent="0.3">
      <c r="A12" s="190" t="s">
        <v>135</v>
      </c>
      <c r="B12" s="162" t="str">
        <f>'Дорожная карта'!M13</f>
        <v>Q4 2026</v>
      </c>
      <c r="C12" s="191">
        <f>'Дорожная карта'!C13</f>
        <v>46335</v>
      </c>
      <c r="D12" s="191">
        <f>'Дорожная карта'!D13</f>
        <v>46346</v>
      </c>
      <c r="E12" s="192">
        <f t="shared" si="0"/>
        <v>11</v>
      </c>
    </row>
    <row r="13" spans="1:5" x14ac:dyDescent="0.3">
      <c r="A13" s="190" t="s">
        <v>136</v>
      </c>
      <c r="B13" s="162" t="str">
        <f>'Дорожная карта'!M14</f>
        <v>Q4 2026</v>
      </c>
      <c r="C13" s="191">
        <f>'Дорожная карта'!C14</f>
        <v>46349</v>
      </c>
      <c r="D13" s="191">
        <f>'Дорожная карта'!D14</f>
        <v>46360</v>
      </c>
      <c r="E13" s="192">
        <f t="shared" si="0"/>
        <v>11</v>
      </c>
    </row>
    <row r="14" spans="1:5" x14ac:dyDescent="0.3">
      <c r="A14" s="190" t="s">
        <v>137</v>
      </c>
      <c r="B14" s="162" t="str">
        <f>'Дорожная карта'!M15</f>
        <v>Q4 2026</v>
      </c>
      <c r="C14" s="191">
        <f>'Дорожная карта'!C15</f>
        <v>46363</v>
      </c>
      <c r="D14" s="191">
        <f>'Дорожная карта'!D15</f>
        <v>46374</v>
      </c>
      <c r="E14" s="192">
        <f t="shared" si="0"/>
        <v>11</v>
      </c>
    </row>
    <row r="15" spans="1:5" x14ac:dyDescent="0.3">
      <c r="A15" s="190" t="s">
        <v>138</v>
      </c>
      <c r="B15" s="162" t="str">
        <f>'Дорожная карта'!M16</f>
        <v>Q4 2026</v>
      </c>
      <c r="C15" s="191">
        <f>'Дорожная карта'!C16</f>
        <v>46377</v>
      </c>
      <c r="D15" s="191">
        <f>'Дорожная карта'!D16</f>
        <v>46388</v>
      </c>
      <c r="E15" s="192">
        <f t="shared" si="0"/>
        <v>11</v>
      </c>
    </row>
    <row r="17" spans="1:4" x14ac:dyDescent="0.3">
      <c r="A17" s="14" t="s">
        <v>232</v>
      </c>
    </row>
    <row r="18" spans="1:4" x14ac:dyDescent="0.3">
      <c r="A18" s="193" t="s">
        <v>180</v>
      </c>
    </row>
    <row r="19" spans="1:4" x14ac:dyDescent="0.3">
      <c r="A19" s="194" t="s">
        <v>182</v>
      </c>
    </row>
    <row r="20" spans="1:4" x14ac:dyDescent="0.3">
      <c r="A20" s="195" t="s">
        <v>184</v>
      </c>
    </row>
    <row r="22" spans="1:4" ht="15.6" customHeight="1" x14ac:dyDescent="0.3">
      <c r="A22" s="176" t="s">
        <v>233</v>
      </c>
    </row>
    <row r="23" spans="1:4" x14ac:dyDescent="0.3">
      <c r="A23" s="161" t="s">
        <v>189</v>
      </c>
      <c r="B23" s="161" t="s">
        <v>234</v>
      </c>
      <c r="C23" s="161" t="s">
        <v>235</v>
      </c>
      <c r="D23" s="161" t="s">
        <v>121</v>
      </c>
    </row>
    <row r="24" spans="1:4" x14ac:dyDescent="0.3">
      <c r="A24" s="177" t="str">
        <f>Вехи!A5</f>
        <v>V-1</v>
      </c>
      <c r="B24" s="190" t="str">
        <f>Вехи!B5</f>
        <v>Старт проекта</v>
      </c>
      <c r="C24" s="196">
        <f>Вехи!D5</f>
        <v>46248</v>
      </c>
      <c r="D24" s="177" t="str">
        <f>Вехи!E5</f>
        <v>Готово</v>
      </c>
    </row>
    <row r="25" spans="1:4" ht="27.6" customHeight="1" x14ac:dyDescent="0.3">
      <c r="A25" s="177" t="str">
        <f>Вехи!A6</f>
        <v>V-2</v>
      </c>
      <c r="B25" s="190" t="str">
        <f>Вехи!B6</f>
        <v>Дизайн утверждён</v>
      </c>
      <c r="C25" s="196">
        <f>Вехи!D6</f>
        <v>46262</v>
      </c>
      <c r="D25" s="177" t="str">
        <f>Вехи!E6</f>
        <v>Готово</v>
      </c>
    </row>
    <row r="26" spans="1:4" ht="27.6" customHeight="1" x14ac:dyDescent="0.3">
      <c r="A26" s="177" t="str">
        <f>Вехи!A7</f>
        <v>V-3</v>
      </c>
      <c r="B26" s="190" t="str">
        <f>Вехи!B7</f>
        <v>Feature freeze</v>
      </c>
      <c r="C26" s="196">
        <f>Вехи!D7</f>
        <v>46304</v>
      </c>
      <c r="D26" s="177" t="str">
        <f>Вехи!E7</f>
        <v>Планируется</v>
      </c>
    </row>
    <row r="27" spans="1:4" ht="27.6" customHeight="1" x14ac:dyDescent="0.3">
      <c r="A27" s="177" t="str">
        <f>Вехи!A8</f>
        <v>V-4</v>
      </c>
      <c r="B27" s="190" t="str">
        <f>Вехи!B8</f>
        <v>Code freeze</v>
      </c>
      <c r="C27" s="196">
        <f>Вехи!D8</f>
        <v>46318</v>
      </c>
      <c r="D27" s="177" t="str">
        <f>Вехи!E8</f>
        <v>Планируется</v>
      </c>
    </row>
    <row r="28" spans="1:4" ht="27.6" customHeight="1" x14ac:dyDescent="0.3">
      <c r="A28" s="177" t="str">
        <f>Вехи!A9</f>
        <v>V-5</v>
      </c>
      <c r="B28" s="190" t="str">
        <f>Вехи!B9</f>
        <v>Go-live / запуск</v>
      </c>
      <c r="C28" s="196">
        <f>Вехи!D9</f>
        <v>46332</v>
      </c>
      <c r="D28" s="177" t="str">
        <f>Вехи!E9</f>
        <v>Планируется</v>
      </c>
    </row>
  </sheetData>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9"/>
  <sheetViews>
    <sheetView showGridLines="0" workbookViewId="0">
      <pane ySplit="4" topLeftCell="A5" activePane="bottomLeft" state="frozen"/>
      <selection pane="bottomLeft" activeCell="J18" sqref="J18"/>
    </sheetView>
  </sheetViews>
  <sheetFormatPr defaultRowHeight="14.4" x14ac:dyDescent="0.3"/>
  <cols>
    <col min="1" max="1" width="7" customWidth="1"/>
    <col min="2" max="2" width="26" customWidth="1"/>
    <col min="3" max="4" width="8" customWidth="1"/>
    <col min="5" max="6" width="13" customWidth="1"/>
    <col min="7" max="8" width="8" customWidth="1"/>
    <col min="9" max="9" width="10" customWidth="1"/>
    <col min="10" max="10" width="11" customWidth="1"/>
    <col min="11" max="11" width="9" customWidth="1"/>
  </cols>
  <sheetData>
    <row r="1" spans="1:11" ht="17.399999999999999" customHeight="1" x14ac:dyDescent="0.3">
      <c r="A1" s="198" t="s">
        <v>236</v>
      </c>
    </row>
    <row r="2" spans="1:11" x14ac:dyDescent="0.3">
      <c r="A2" s="199" t="s">
        <v>237</v>
      </c>
    </row>
    <row r="4" spans="1:11" ht="27.6" customHeight="1" x14ac:dyDescent="0.3">
      <c r="A4" s="200" t="s">
        <v>189</v>
      </c>
      <c r="B4" s="200" t="s">
        <v>238</v>
      </c>
      <c r="C4" s="200" t="s">
        <v>239</v>
      </c>
      <c r="D4" s="200" t="s">
        <v>240</v>
      </c>
      <c r="E4" s="200" t="s">
        <v>235</v>
      </c>
      <c r="F4" s="200" t="s">
        <v>121</v>
      </c>
      <c r="G4" s="200" t="s">
        <v>241</v>
      </c>
      <c r="H4" s="200" t="s">
        <v>242</v>
      </c>
      <c r="I4" s="200" t="s">
        <v>243</v>
      </c>
      <c r="J4" s="200" t="s">
        <v>244</v>
      </c>
      <c r="K4" s="200" t="s">
        <v>245</v>
      </c>
    </row>
    <row r="5" spans="1:11" x14ac:dyDescent="0.3">
      <c r="A5" s="201" t="s">
        <v>246</v>
      </c>
      <c r="B5" s="202" t="s">
        <v>247</v>
      </c>
      <c r="C5" s="201">
        <v>1</v>
      </c>
      <c r="D5" s="201">
        <v>2</v>
      </c>
      <c r="E5" s="203">
        <f>SUMIF('Дорожная карта'!$A$6:$A$16,D5,'Дорожная карта'!$D$6:$D$16)</f>
        <v>46262</v>
      </c>
      <c r="F5" s="204" t="s">
        <v>248</v>
      </c>
      <c r="G5" s="205">
        <f>COUNTIFS(Бэклог!$U$5:$U$44,"История",Бэклог!$M$5:$M$44,"&gt;="&amp;C5,Бэклог!$M$5:$M$44,"&lt;="&amp;D5)</f>
        <v>3</v>
      </c>
      <c r="H5" s="205">
        <f>COUNTIFS(Бэклог!$U$5:$U$44,"Задача",Бэклог!$M$5:$M$44,"&gt;="&amp;C5,Бэклог!$M$5:$M$44,"&lt;="&amp;D5)</f>
        <v>5</v>
      </c>
      <c r="I5" s="205">
        <f>COUNTIFS(Баги!$D$5:$D$64,"&gt;="&amp;C5,Баги!$D$5:$D$64,"&lt;="&amp;D5)</f>
        <v>11</v>
      </c>
      <c r="J5" s="206">
        <f>SUMIFS(Бэклог!$E$5:$E$44,Бэклог!$M$5:$M$44,"&gt;="&amp;C5,Бэклог!$M$5:$M$44,"&lt;="&amp;D5)</f>
        <v>46</v>
      </c>
      <c r="K5" s="209">
        <f>COUNTIF(Вехи!$G$5:$G$9,A5)</f>
        <v>2</v>
      </c>
    </row>
    <row r="6" spans="1:11" x14ac:dyDescent="0.3">
      <c r="A6" s="201" t="s">
        <v>249</v>
      </c>
      <c r="B6" s="202" t="s">
        <v>250</v>
      </c>
      <c r="C6" s="201">
        <v>3</v>
      </c>
      <c r="D6" s="201">
        <v>4</v>
      </c>
      <c r="E6" s="203">
        <f>SUMIF('Дорожная карта'!$A$6:$A$16,D6,'Дорожная карта'!$D$6:$D$16)</f>
        <v>46290</v>
      </c>
      <c r="F6" s="204" t="s">
        <v>251</v>
      </c>
      <c r="G6" s="205">
        <f>COUNTIFS(Бэклог!$U$5:$U$44,"История",Бэклог!$M$5:$M$44,"&gt;="&amp;C6,Бэклог!$M$5:$M$44,"&lt;="&amp;D6)</f>
        <v>3</v>
      </c>
      <c r="H6" s="205">
        <f>COUNTIFS(Бэклог!$U$5:$U$44,"Задача",Бэклог!$M$5:$M$44,"&gt;="&amp;C6,Бэклог!$M$5:$M$44,"&lt;="&amp;D6)</f>
        <v>5</v>
      </c>
      <c r="I6" s="205">
        <f>COUNTIFS(Баги!$D$5:$D$64,"&gt;="&amp;C6,Баги!$D$5:$D$64,"&lt;="&amp;D6)</f>
        <v>2</v>
      </c>
      <c r="J6" s="206">
        <f>SUMIFS(Бэклог!$E$5:$E$44,Бэклог!$M$5:$M$44,"&gt;="&amp;C6,Бэклог!$M$5:$M$44,"&lt;="&amp;D6)</f>
        <v>48</v>
      </c>
      <c r="K6" s="209">
        <f>COUNTIF(Вехи!$G$5:$G$9,A6)</f>
        <v>0</v>
      </c>
    </row>
    <row r="7" spans="1:11" ht="27.6" customHeight="1" x14ac:dyDescent="0.3">
      <c r="A7" s="201" t="s">
        <v>252</v>
      </c>
      <c r="B7" s="202" t="s">
        <v>253</v>
      </c>
      <c r="C7" s="201">
        <v>5</v>
      </c>
      <c r="D7" s="201">
        <v>6</v>
      </c>
      <c r="E7" s="203">
        <f>SUMIF('Дорожная карта'!$A$6:$A$16,D7,'Дорожная карта'!$D$6:$D$16)</f>
        <v>46318</v>
      </c>
      <c r="F7" s="204" t="s">
        <v>254</v>
      </c>
      <c r="G7" s="205">
        <f>COUNTIFS(Бэклог!$U$5:$U$44,"История",Бэклог!$M$5:$M$44,"&gt;="&amp;C7,Бэклог!$M$5:$M$44,"&lt;="&amp;D7)</f>
        <v>1</v>
      </c>
      <c r="H7" s="205">
        <f>COUNTIFS(Бэклог!$U$5:$U$44,"Задача",Бэклог!$M$5:$M$44,"&gt;="&amp;C7,Бэклог!$M$5:$M$44,"&lt;="&amp;D7)</f>
        <v>1</v>
      </c>
      <c r="I7" s="205">
        <f>COUNTIFS(Баги!$D$5:$D$64,"&gt;="&amp;C7,Баги!$D$5:$D$64,"&lt;="&amp;D7)</f>
        <v>0</v>
      </c>
      <c r="J7" s="206">
        <f>SUMIFS(Бэклог!$E$5:$E$44,Бэклог!$M$5:$M$44,"&gt;="&amp;C7,Бэклог!$M$5:$M$44,"&lt;="&amp;D7)</f>
        <v>13</v>
      </c>
      <c r="K7" s="209">
        <f>COUNTIF(Вехи!$G$5:$G$9,A7)</f>
        <v>2</v>
      </c>
    </row>
    <row r="8" spans="1:11" ht="27.6" customHeight="1" x14ac:dyDescent="0.3">
      <c r="A8" s="201" t="s">
        <v>255</v>
      </c>
      <c r="B8" s="202" t="s">
        <v>256</v>
      </c>
      <c r="C8" s="201">
        <v>7</v>
      </c>
      <c r="D8" s="201">
        <v>8</v>
      </c>
      <c r="E8" s="203">
        <f>SUMIF('Дорожная карта'!$A$6:$A$16,D8,'Дорожная карта'!$D$6:$D$16)</f>
        <v>46346</v>
      </c>
      <c r="F8" s="204" t="s">
        <v>254</v>
      </c>
      <c r="G8" s="205">
        <f>COUNTIFS(Бэклог!$U$5:$U$44,"История",Бэклог!$M$5:$M$44,"&gt;="&amp;C8,Бэклог!$M$5:$M$44,"&lt;="&amp;D8)</f>
        <v>0</v>
      </c>
      <c r="H8" s="205">
        <f>COUNTIFS(Бэклог!$U$5:$U$44,"Задача",Бэклог!$M$5:$M$44,"&gt;="&amp;C8,Бэклог!$M$5:$M$44,"&lt;="&amp;D8)</f>
        <v>0</v>
      </c>
      <c r="I8" s="205">
        <f>COUNTIFS(Баги!$D$5:$D$64,"&gt;="&amp;C8,Баги!$D$5:$D$64,"&lt;="&amp;D8)</f>
        <v>0</v>
      </c>
      <c r="J8" s="206">
        <f>SUMIFS(Бэклог!$E$5:$E$44,Бэклог!$M$5:$M$44,"&gt;="&amp;C8,Бэклог!$M$5:$M$44,"&lt;="&amp;D8)</f>
        <v>0</v>
      </c>
      <c r="K8" s="209">
        <f>COUNTIF(Вехи!$G$5:$G$9,A8)</f>
        <v>1</v>
      </c>
    </row>
    <row r="9" spans="1:11" ht="27.6" customHeight="1" x14ac:dyDescent="0.3">
      <c r="A9" s="201" t="s">
        <v>257</v>
      </c>
      <c r="B9" s="202" t="s">
        <v>258</v>
      </c>
      <c r="C9" s="201">
        <v>9</v>
      </c>
      <c r="D9" s="201">
        <v>10</v>
      </c>
      <c r="E9" s="203">
        <f>SUMIF('Дорожная карта'!$A$6:$A$16,D9,'Дорожная карта'!$D$6:$D$16)</f>
        <v>46374</v>
      </c>
      <c r="F9" s="204" t="s">
        <v>254</v>
      </c>
      <c r="G9" s="205">
        <f>COUNTIFS(Бэклог!$U$5:$U$44,"История",Бэклог!$M$5:$M$44,"&gt;="&amp;C9,Бэклог!$M$5:$M$44,"&lt;="&amp;D9)</f>
        <v>0</v>
      </c>
      <c r="H9" s="205">
        <f>COUNTIFS(Бэклог!$U$5:$U$44,"Задача",Бэклог!$M$5:$M$44,"&gt;="&amp;C9,Бэклог!$M$5:$M$44,"&lt;="&amp;D9)</f>
        <v>0</v>
      </c>
      <c r="I9" s="205">
        <f>COUNTIFS(Баги!$D$5:$D$64,"&gt;="&amp;C9,Баги!$D$5:$D$64,"&lt;="&amp;D9)</f>
        <v>0</v>
      </c>
      <c r="J9" s="206">
        <f>SUMIFS(Бэклог!$E$5:$E$44,Бэклог!$M$5:$M$44,"&gt;="&amp;C9,Бэклог!$M$5:$M$44,"&lt;="&amp;D9)</f>
        <v>0</v>
      </c>
      <c r="K9" s="209">
        <f>COUNTIF(Вехи!$G$5:$G$9,A9)</f>
        <v>0</v>
      </c>
    </row>
  </sheetData>
  <dataValidations count="1">
    <dataValidation type="list" allowBlank="1" sqref="F5 F6 F7 F8 F9" xr:uid="{00000000-0002-0000-0700-000000000000}">
      <formula1>"Планируется,В работе,Готово,Задержка"</formula1>
    </dataValidation>
  </dataValidation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5"/>
  <sheetViews>
    <sheetView showGridLines="0" tabSelected="1" workbookViewId="0">
      <pane ySplit="4" topLeftCell="A5" activePane="bottomLeft" state="frozen"/>
      <selection pane="bottomLeft" activeCell="F12" sqref="F12"/>
    </sheetView>
  </sheetViews>
  <sheetFormatPr defaultRowHeight="14.4" x14ac:dyDescent="0.3"/>
  <cols>
    <col min="1" max="1" width="7" customWidth="1"/>
    <col min="2" max="2" width="26" customWidth="1"/>
    <col min="3" max="3" width="8" customWidth="1"/>
    <col min="4" max="4" width="14" customWidth="1"/>
    <col min="5" max="5" width="13" customWidth="1"/>
    <col min="6" max="6" width="15" customWidth="1"/>
    <col min="7" max="7" width="9" customWidth="1"/>
  </cols>
  <sheetData>
    <row r="1" spans="1:7" ht="17.399999999999999" customHeight="1" x14ac:dyDescent="0.3">
      <c r="A1" s="198" t="s">
        <v>259</v>
      </c>
    </row>
    <row r="2" spans="1:7" x14ac:dyDescent="0.3">
      <c r="A2" s="199" t="s">
        <v>260</v>
      </c>
    </row>
    <row r="4" spans="1:7" ht="27.6" customHeight="1" x14ac:dyDescent="0.3">
      <c r="A4" s="200" t="s">
        <v>189</v>
      </c>
      <c r="B4" s="200" t="s">
        <v>234</v>
      </c>
      <c r="C4" s="200" t="s">
        <v>112</v>
      </c>
      <c r="D4" s="200" t="s">
        <v>235</v>
      </c>
      <c r="E4" s="200" t="s">
        <v>121</v>
      </c>
      <c r="F4" s="200" t="s">
        <v>261</v>
      </c>
      <c r="G4" s="200" t="s">
        <v>238</v>
      </c>
    </row>
    <row r="5" spans="1:7" x14ac:dyDescent="0.3">
      <c r="A5" s="201" t="s">
        <v>262</v>
      </c>
      <c r="B5" s="202" t="s">
        <v>263</v>
      </c>
      <c r="C5" s="201">
        <v>1</v>
      </c>
      <c r="D5" s="203">
        <f>SUMIF('Дорожная карта'!$A$6:$A$16,C5,'Дорожная карта'!$D$6:$D$16)</f>
        <v>46248</v>
      </c>
      <c r="E5" s="201" t="s">
        <v>248</v>
      </c>
      <c r="F5" s="201" t="s">
        <v>264</v>
      </c>
      <c r="G5" s="201" t="s">
        <v>246</v>
      </c>
    </row>
    <row r="6" spans="1:7" x14ac:dyDescent="0.3">
      <c r="A6" s="201" t="s">
        <v>265</v>
      </c>
      <c r="B6" s="202" t="s">
        <v>266</v>
      </c>
      <c r="C6" s="201">
        <v>2</v>
      </c>
      <c r="D6" s="203">
        <f>SUMIF('Дорожная карта'!$A$6:$A$16,C6,'Дорожная карта'!$D$6:$D$16)</f>
        <v>46262</v>
      </c>
      <c r="E6" s="201" t="s">
        <v>248</v>
      </c>
      <c r="F6" s="201" t="s">
        <v>267</v>
      </c>
      <c r="G6" s="201" t="s">
        <v>246</v>
      </c>
    </row>
    <row r="7" spans="1:7" ht="27.6" customHeight="1" x14ac:dyDescent="0.3">
      <c r="A7" s="201" t="s">
        <v>268</v>
      </c>
      <c r="B7" s="202" t="s">
        <v>269</v>
      </c>
      <c r="C7" s="201">
        <v>5</v>
      </c>
      <c r="D7" s="203">
        <f>SUMIF('Дорожная карта'!$A$6:$A$16,C7,'Дорожная карта'!$D$6:$D$16)</f>
        <v>46304</v>
      </c>
      <c r="E7" s="201" t="s">
        <v>254</v>
      </c>
      <c r="F7" s="201" t="s">
        <v>270</v>
      </c>
      <c r="G7" s="201" t="s">
        <v>252</v>
      </c>
    </row>
    <row r="8" spans="1:7" ht="27.6" customHeight="1" x14ac:dyDescent="0.3">
      <c r="A8" s="201" t="s">
        <v>271</v>
      </c>
      <c r="B8" s="202" t="s">
        <v>272</v>
      </c>
      <c r="C8" s="201">
        <v>6</v>
      </c>
      <c r="D8" s="203">
        <f>SUMIF('Дорожная карта'!$A$6:$A$16,C8,'Дорожная карта'!$D$6:$D$16)</f>
        <v>46318</v>
      </c>
      <c r="E8" s="201" t="s">
        <v>254</v>
      </c>
      <c r="F8" s="201" t="s">
        <v>264</v>
      </c>
      <c r="G8" s="201" t="s">
        <v>252</v>
      </c>
    </row>
    <row r="9" spans="1:7" ht="27.6" customHeight="1" x14ac:dyDescent="0.3">
      <c r="A9" s="201" t="s">
        <v>273</v>
      </c>
      <c r="B9" s="202" t="s">
        <v>274</v>
      </c>
      <c r="C9" s="201">
        <v>7</v>
      </c>
      <c r="D9" s="203">
        <f>SUMIF('Дорожная карта'!$A$6:$A$16,C9,'Дорожная карта'!$D$6:$D$16)</f>
        <v>46332</v>
      </c>
      <c r="E9" s="201" t="s">
        <v>254</v>
      </c>
      <c r="F9" s="201" t="s">
        <v>275</v>
      </c>
      <c r="G9" s="201" t="s">
        <v>255</v>
      </c>
    </row>
    <row r="11" spans="1:7" ht="15.6" customHeight="1" x14ac:dyDescent="0.3">
      <c r="A11" s="207" t="s">
        <v>276</v>
      </c>
    </row>
    <row r="12" spans="1:7" ht="41.4" customHeight="1" x14ac:dyDescent="0.3">
      <c r="A12" s="208" t="s">
        <v>254</v>
      </c>
      <c r="B12" s="209">
        <f>COUNTIF(E5:E9,"Планируется")</f>
        <v>3</v>
      </c>
    </row>
    <row r="13" spans="1:7" ht="41.4" customHeight="1" x14ac:dyDescent="0.3">
      <c r="A13" s="208" t="s">
        <v>251</v>
      </c>
      <c r="B13" s="209">
        <f>COUNTIF(E5:E9,"В работе")</f>
        <v>0</v>
      </c>
    </row>
    <row r="14" spans="1:7" ht="27.6" customHeight="1" x14ac:dyDescent="0.3">
      <c r="A14" s="208" t="s">
        <v>248</v>
      </c>
      <c r="B14" s="209">
        <f>COUNTIF(E5:E9,"Готово")</f>
        <v>2</v>
      </c>
    </row>
    <row r="15" spans="1:7" ht="27.6" customHeight="1" x14ac:dyDescent="0.3">
      <c r="A15" s="208" t="s">
        <v>277</v>
      </c>
      <c r="B15" s="209">
        <f>COUNTIF(E5:E9,"Задержка")</f>
        <v>0</v>
      </c>
    </row>
  </sheetData>
  <dataValidations count="2">
    <dataValidation type="list" allowBlank="1" sqref="E5 E6 E7 E8 E9" xr:uid="{00000000-0002-0000-0800-000000000000}">
      <formula1>"Планируется,В работе,Готово,Задержка"</formula1>
    </dataValidation>
    <dataValidation type="list" allowBlank="1" sqref="G5 G6 G7 G8 G9" xr:uid="{00000000-0002-0000-0800-000001000000}">
      <formula1>"R-1,R-2,R-3,R-4,R-5"</formula1>
    </dataValidation>
  </dataValidations>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39"/>
  <sheetViews>
    <sheetView showGridLines="0" topLeftCell="C1" workbookViewId="0">
      <pane ySplit="4" topLeftCell="A5" activePane="bottomLeft" state="frozen"/>
      <selection pane="bottomLeft"/>
    </sheetView>
  </sheetViews>
  <sheetFormatPr defaultRowHeight="14.4" x14ac:dyDescent="0.3"/>
  <cols>
    <col min="1" max="1" width="16.6640625" customWidth="1"/>
    <col min="2" max="2" width="30" customWidth="1"/>
    <col min="3" max="3" width="12" customWidth="1"/>
    <col min="4" max="4" width="14" customWidth="1"/>
    <col min="5" max="5" width="10" customWidth="1"/>
    <col min="6" max="6" width="12" customWidth="1"/>
    <col min="7" max="7" width="11" customWidth="1"/>
    <col min="8" max="8" width="8" customWidth="1"/>
    <col min="9" max="9" width="11" customWidth="1"/>
    <col min="10" max="10" width="9" customWidth="1"/>
    <col min="11" max="11" width="10.77734375" customWidth="1"/>
  </cols>
  <sheetData>
    <row r="1" spans="1:11" ht="17.399999999999999" customHeight="1" x14ac:dyDescent="0.3">
      <c r="A1" s="198" t="s">
        <v>278</v>
      </c>
    </row>
    <row r="2" spans="1:11" x14ac:dyDescent="0.3">
      <c r="A2" s="199" t="s">
        <v>279</v>
      </c>
    </row>
    <row r="4" spans="1:11" ht="41.4" customHeight="1" x14ac:dyDescent="0.3">
      <c r="A4" s="200" t="s">
        <v>189</v>
      </c>
      <c r="B4" s="200" t="s">
        <v>280</v>
      </c>
      <c r="C4" s="200" t="s">
        <v>281</v>
      </c>
      <c r="D4" s="200" t="s">
        <v>282</v>
      </c>
      <c r="E4" s="200" t="s">
        <v>283</v>
      </c>
      <c r="F4" s="200" t="s">
        <v>284</v>
      </c>
      <c r="G4" s="200" t="s">
        <v>197</v>
      </c>
      <c r="H4" s="200" t="s">
        <v>112</v>
      </c>
      <c r="I4" s="200" t="s">
        <v>121</v>
      </c>
      <c r="J4" s="200" t="s">
        <v>285</v>
      </c>
      <c r="K4" s="200" t="s">
        <v>286</v>
      </c>
    </row>
    <row r="5" spans="1:11" ht="27.6" customHeight="1" x14ac:dyDescent="0.3">
      <c r="A5" s="201" t="s">
        <v>287</v>
      </c>
      <c r="B5" s="202" t="s">
        <v>288</v>
      </c>
      <c r="C5" s="201" t="s">
        <v>289</v>
      </c>
      <c r="D5" s="201" t="s">
        <v>290</v>
      </c>
      <c r="E5" s="201" t="s">
        <v>291</v>
      </c>
      <c r="F5" s="210">
        <v>3</v>
      </c>
      <c r="G5" s="201" t="s">
        <v>291</v>
      </c>
      <c r="H5" s="201">
        <v>4</v>
      </c>
      <c r="I5" s="201" t="s">
        <v>292</v>
      </c>
      <c r="J5" s="212">
        <v>1</v>
      </c>
      <c r="K5" s="212">
        <v>3</v>
      </c>
    </row>
    <row r="6" spans="1:11" ht="27.6" customHeight="1" x14ac:dyDescent="0.3">
      <c r="A6" s="201" t="s">
        <v>293</v>
      </c>
      <c r="B6" s="202" t="s">
        <v>294</v>
      </c>
      <c r="C6" s="201" t="s">
        <v>295</v>
      </c>
      <c r="D6" s="201" t="s">
        <v>296</v>
      </c>
      <c r="E6" s="201" t="s">
        <v>291</v>
      </c>
      <c r="F6" s="210">
        <v>2</v>
      </c>
      <c r="G6" s="201" t="s">
        <v>291</v>
      </c>
      <c r="H6" s="201">
        <v>3</v>
      </c>
      <c r="I6" s="201" t="s">
        <v>292</v>
      </c>
      <c r="J6" s="212">
        <v>2</v>
      </c>
      <c r="K6" s="212">
        <v>4</v>
      </c>
    </row>
    <row r="7" spans="1:11" x14ac:dyDescent="0.3">
      <c r="A7" s="201" t="s">
        <v>297</v>
      </c>
      <c r="B7" s="202" t="s">
        <v>298</v>
      </c>
      <c r="C7" s="201" t="s">
        <v>299</v>
      </c>
      <c r="D7" s="201" t="s">
        <v>300</v>
      </c>
      <c r="E7" s="201" t="s">
        <v>301</v>
      </c>
      <c r="F7" s="210">
        <v>2</v>
      </c>
      <c r="G7" s="201" t="s">
        <v>301</v>
      </c>
      <c r="H7" s="201">
        <v>5</v>
      </c>
      <c r="I7" s="201" t="s">
        <v>302</v>
      </c>
      <c r="J7" s="212">
        <v>3</v>
      </c>
      <c r="K7" s="212"/>
    </row>
    <row r="8" spans="1:11" ht="27.6" customHeight="1" x14ac:dyDescent="0.3">
      <c r="A8" s="201" t="s">
        <v>303</v>
      </c>
      <c r="B8" s="202" t="s">
        <v>304</v>
      </c>
      <c r="C8" s="201" t="s">
        <v>305</v>
      </c>
      <c r="D8" s="201" t="s">
        <v>306</v>
      </c>
      <c r="E8" s="201" t="s">
        <v>307</v>
      </c>
      <c r="F8" s="210">
        <v>1</v>
      </c>
      <c r="G8" s="201" t="s">
        <v>307</v>
      </c>
      <c r="H8" s="201">
        <v>6</v>
      </c>
      <c r="I8" s="201" t="s">
        <v>302</v>
      </c>
      <c r="J8" s="212">
        <v>4</v>
      </c>
      <c r="K8" s="212"/>
    </row>
    <row r="9" spans="1:11" ht="27.6" customHeight="1" x14ac:dyDescent="0.3">
      <c r="A9" s="201" t="s">
        <v>308</v>
      </c>
      <c r="B9" s="202" t="s">
        <v>309</v>
      </c>
      <c r="C9" s="201" t="s">
        <v>310</v>
      </c>
      <c r="D9" s="201" t="s">
        <v>311</v>
      </c>
      <c r="E9" s="201" t="s">
        <v>301</v>
      </c>
      <c r="F9" s="210">
        <v>2</v>
      </c>
      <c r="G9" s="201" t="s">
        <v>301</v>
      </c>
      <c r="H9" s="201">
        <v>5</v>
      </c>
      <c r="I9" s="201" t="s">
        <v>251</v>
      </c>
      <c r="J9" s="212">
        <v>3</v>
      </c>
      <c r="K9" s="212"/>
    </row>
    <row r="10" spans="1:11" x14ac:dyDescent="0.3">
      <c r="A10" s="201" t="s">
        <v>312</v>
      </c>
      <c r="B10" s="202" t="s">
        <v>313</v>
      </c>
      <c r="C10" s="201" t="s">
        <v>314</v>
      </c>
      <c r="D10" s="201" t="s">
        <v>290</v>
      </c>
      <c r="E10" s="201" t="s">
        <v>301</v>
      </c>
      <c r="F10" s="210">
        <v>3</v>
      </c>
      <c r="G10" s="201" t="s">
        <v>301</v>
      </c>
      <c r="H10" s="201">
        <v>7</v>
      </c>
      <c r="I10" s="201" t="s">
        <v>302</v>
      </c>
      <c r="J10" s="212">
        <v>5</v>
      </c>
      <c r="K10" s="212"/>
    </row>
    <row r="12" spans="1:11" ht="15.6" customHeight="1" x14ac:dyDescent="0.3">
      <c r="A12" s="207" t="s">
        <v>315</v>
      </c>
    </row>
    <row r="13" spans="1:11" x14ac:dyDescent="0.3">
      <c r="A13" s="200" t="s">
        <v>282</v>
      </c>
      <c r="B13" s="200" t="s">
        <v>284</v>
      </c>
      <c r="C13" s="200" t="s">
        <v>316</v>
      </c>
    </row>
    <row r="14" spans="1:11" ht="27.6" customHeight="1" x14ac:dyDescent="0.3">
      <c r="A14" s="208" t="s">
        <v>300</v>
      </c>
      <c r="B14" s="206">
        <f>SUMIF($D$5:$D$10,A14,$F$5:$F$10)</f>
        <v>2</v>
      </c>
      <c r="C14" s="205">
        <f>COUNTIF($D$5:$D$10,A14)</f>
        <v>1</v>
      </c>
    </row>
    <row r="15" spans="1:11" x14ac:dyDescent="0.3">
      <c r="A15" s="208" t="s">
        <v>290</v>
      </c>
      <c r="B15" s="206">
        <f>SUMIF($D$5:$D$10,A15,$F$5:$F$10)</f>
        <v>6</v>
      </c>
      <c r="C15" s="205">
        <f>COUNTIF($D$5:$D$10,A15)</f>
        <v>2</v>
      </c>
    </row>
    <row r="16" spans="1:11" x14ac:dyDescent="0.3">
      <c r="A16" s="208" t="s">
        <v>296</v>
      </c>
      <c r="B16" s="206">
        <f>SUMIF($D$5:$D$10,A16,$F$5:$F$10)</f>
        <v>2</v>
      </c>
      <c r="C16" s="205">
        <f>COUNTIF($D$5:$D$10,A16)</f>
        <v>1</v>
      </c>
    </row>
    <row r="17" spans="1:4" x14ac:dyDescent="0.3">
      <c r="A17" s="208" t="s">
        <v>311</v>
      </c>
      <c r="B17" s="206">
        <f>SUMIF($D$5:$D$10,A17,$F$5:$F$10)</f>
        <v>2</v>
      </c>
      <c r="C17" s="205">
        <f>COUNTIF($D$5:$D$10,A17)</f>
        <v>1</v>
      </c>
    </row>
    <row r="18" spans="1:4" x14ac:dyDescent="0.3">
      <c r="A18" s="208" t="s">
        <v>306</v>
      </c>
      <c r="B18" s="206">
        <f>SUMIF($D$5:$D$10,A18,$F$5:$F$10)</f>
        <v>1</v>
      </c>
      <c r="C18" s="205">
        <f>COUNTIF($D$5:$D$10,A18)</f>
        <v>1</v>
      </c>
    </row>
    <row r="20" spans="1:4" ht="15.6" customHeight="1" x14ac:dyDescent="0.3">
      <c r="A20" s="207" t="s">
        <v>317</v>
      </c>
    </row>
    <row r="21" spans="1:4" x14ac:dyDescent="0.3">
      <c r="A21" s="200" t="s">
        <v>121</v>
      </c>
      <c r="B21" s="200" t="s">
        <v>316</v>
      </c>
    </row>
    <row r="22" spans="1:4" x14ac:dyDescent="0.3">
      <c r="A22" s="208" t="s">
        <v>302</v>
      </c>
      <c r="B22" s="205">
        <f>COUNTIF($I$5:$I$10,A22)</f>
        <v>3</v>
      </c>
    </row>
    <row r="23" spans="1:4" x14ac:dyDescent="0.3">
      <c r="A23" s="208" t="s">
        <v>251</v>
      </c>
      <c r="B23" s="205">
        <f>COUNTIF($I$5:$I$10,A23)</f>
        <v>1</v>
      </c>
    </row>
    <row r="24" spans="1:4" x14ac:dyDescent="0.3">
      <c r="A24" s="208" t="s">
        <v>292</v>
      </c>
      <c r="B24" s="205">
        <f>COUNTIF($I$5:$I$10,A24)</f>
        <v>2</v>
      </c>
    </row>
    <row r="27" spans="1:4" ht="15.6" customHeight="1" x14ac:dyDescent="0.3">
      <c r="A27" s="207" t="s">
        <v>318</v>
      </c>
    </row>
    <row r="28" spans="1:4" ht="27.6" customHeight="1" x14ac:dyDescent="0.3">
      <c r="A28" s="200" t="s">
        <v>112</v>
      </c>
      <c r="B28" s="200" t="s">
        <v>319</v>
      </c>
      <c r="C28" s="200" t="s">
        <v>320</v>
      </c>
      <c r="D28" s="200" t="s">
        <v>321</v>
      </c>
    </row>
    <row r="29" spans="1:4" x14ac:dyDescent="0.3">
      <c r="A29" s="208">
        <v>1</v>
      </c>
      <c r="B29" s="205">
        <f t="shared" ref="B29:B39" si="0">COUNTIF($J$5:$J$10,A29)</f>
        <v>1</v>
      </c>
      <c r="C29" s="205">
        <f t="shared" ref="C29:C39" si="1">COUNTIF($K$5:$K$10,A29)</f>
        <v>0</v>
      </c>
      <c r="D29" s="209">
        <f>B29-C29</f>
        <v>1</v>
      </c>
    </row>
    <row r="30" spans="1:4" x14ac:dyDescent="0.3">
      <c r="A30" s="208">
        <v>2</v>
      </c>
      <c r="B30" s="205">
        <f t="shared" si="0"/>
        <v>1</v>
      </c>
      <c r="C30" s="205">
        <f t="shared" si="1"/>
        <v>0</v>
      </c>
      <c r="D30" s="209">
        <f t="shared" ref="D30:D39" si="2">D29+B30-C30</f>
        <v>2</v>
      </c>
    </row>
    <row r="31" spans="1:4" x14ac:dyDescent="0.3">
      <c r="A31" s="208">
        <v>3</v>
      </c>
      <c r="B31" s="205">
        <f t="shared" si="0"/>
        <v>2</v>
      </c>
      <c r="C31" s="205">
        <f t="shared" si="1"/>
        <v>1</v>
      </c>
      <c r="D31" s="209">
        <f t="shared" si="2"/>
        <v>3</v>
      </c>
    </row>
    <row r="32" spans="1:4" x14ac:dyDescent="0.3">
      <c r="A32" s="208">
        <v>4</v>
      </c>
      <c r="B32" s="205">
        <f t="shared" si="0"/>
        <v>1</v>
      </c>
      <c r="C32" s="205">
        <f t="shared" si="1"/>
        <v>1</v>
      </c>
      <c r="D32" s="209">
        <f t="shared" si="2"/>
        <v>3</v>
      </c>
    </row>
    <row r="33" spans="1:4" x14ac:dyDescent="0.3">
      <c r="A33" s="208">
        <v>5</v>
      </c>
      <c r="B33" s="205">
        <f t="shared" si="0"/>
        <v>1</v>
      </c>
      <c r="C33" s="205">
        <f t="shared" si="1"/>
        <v>0</v>
      </c>
      <c r="D33" s="209">
        <f t="shared" si="2"/>
        <v>4</v>
      </c>
    </row>
    <row r="34" spans="1:4" x14ac:dyDescent="0.3">
      <c r="A34" s="208">
        <v>6</v>
      </c>
      <c r="B34" s="205">
        <f t="shared" si="0"/>
        <v>0</v>
      </c>
      <c r="C34" s="205">
        <f t="shared" si="1"/>
        <v>0</v>
      </c>
      <c r="D34" s="209">
        <f t="shared" si="2"/>
        <v>4</v>
      </c>
    </row>
    <row r="35" spans="1:4" x14ac:dyDescent="0.3">
      <c r="A35" s="208">
        <v>7</v>
      </c>
      <c r="B35" s="205">
        <f t="shared" si="0"/>
        <v>0</v>
      </c>
      <c r="C35" s="205">
        <f t="shared" si="1"/>
        <v>0</v>
      </c>
      <c r="D35" s="209">
        <f t="shared" si="2"/>
        <v>4</v>
      </c>
    </row>
    <row r="36" spans="1:4" x14ac:dyDescent="0.3">
      <c r="A36" s="208">
        <v>8</v>
      </c>
      <c r="B36" s="205">
        <f t="shared" si="0"/>
        <v>0</v>
      </c>
      <c r="C36" s="205">
        <f t="shared" si="1"/>
        <v>0</v>
      </c>
      <c r="D36" s="209">
        <f t="shared" si="2"/>
        <v>4</v>
      </c>
    </row>
    <row r="37" spans="1:4" x14ac:dyDescent="0.3">
      <c r="A37" s="208">
        <v>9</v>
      </c>
      <c r="B37" s="205">
        <f t="shared" si="0"/>
        <v>0</v>
      </c>
      <c r="C37" s="205">
        <f t="shared" si="1"/>
        <v>0</v>
      </c>
      <c r="D37" s="209">
        <f t="shared" si="2"/>
        <v>4</v>
      </c>
    </row>
    <row r="38" spans="1:4" x14ac:dyDescent="0.3">
      <c r="A38" s="208">
        <v>10</v>
      </c>
      <c r="B38" s="205">
        <f t="shared" si="0"/>
        <v>0</v>
      </c>
      <c r="C38" s="205">
        <f t="shared" si="1"/>
        <v>0</v>
      </c>
      <c r="D38" s="209">
        <f t="shared" si="2"/>
        <v>4</v>
      </c>
    </row>
    <row r="39" spans="1:4" x14ac:dyDescent="0.3">
      <c r="A39" s="208">
        <v>11</v>
      </c>
      <c r="B39" s="205">
        <f t="shared" si="0"/>
        <v>0</v>
      </c>
      <c r="C39" s="205">
        <f t="shared" si="1"/>
        <v>0</v>
      </c>
      <c r="D39" s="209">
        <f t="shared" si="2"/>
        <v>4</v>
      </c>
    </row>
  </sheetData>
  <dataValidations count="3">
    <dataValidation type="list" allowBlank="1" sqref="D5 D6 D7 D8 D9 D10" xr:uid="{00000000-0002-0000-0900-000000000000}">
      <formula1>"Архитектура,Код,Тесты,Инфраструктура,Документация"</formula1>
    </dataValidation>
    <dataValidation type="list" allowBlank="1" sqref="E5 E6 E7 E8 E9 E10" xr:uid="{00000000-0002-0000-0900-000001000000}">
      <formula1>"High,Medium,Low"</formula1>
    </dataValidation>
    <dataValidation type="list" allowBlank="1" sqref="I5 I6 I7 I8 I9 I10" xr:uid="{00000000-0002-0000-0900-000002000000}">
      <formula1>"Открыт,В работе,Закрыт"</formula1>
    </dataValidation>
  </dataValidations>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1"/>
  <sheetViews>
    <sheetView showGridLines="0" workbookViewId="0">
      <pane ySplit="4" topLeftCell="A5" activePane="bottomLeft" state="frozen"/>
      <selection pane="bottomLeft" activeCell="F14" sqref="F14"/>
    </sheetView>
  </sheetViews>
  <sheetFormatPr defaultRowHeight="14.4" x14ac:dyDescent="0.3"/>
  <cols>
    <col min="1" max="1" width="8" customWidth="1"/>
    <col min="2" max="2" width="28" customWidth="1"/>
    <col min="3" max="3" width="24" customWidth="1"/>
    <col min="4" max="4" width="30" customWidth="1"/>
    <col min="5" max="5" width="15" customWidth="1"/>
    <col min="6" max="7" width="11" customWidth="1"/>
  </cols>
  <sheetData>
    <row r="1" spans="1:7" ht="17.399999999999999" customHeight="1" x14ac:dyDescent="0.3">
      <c r="A1" s="163" t="s">
        <v>322</v>
      </c>
    </row>
    <row r="2" spans="1:7" x14ac:dyDescent="0.3">
      <c r="A2" s="164" t="s">
        <v>323</v>
      </c>
    </row>
    <row r="4" spans="1:7" ht="27.6" customHeight="1" x14ac:dyDescent="0.3">
      <c r="A4" s="161" t="s">
        <v>112</v>
      </c>
      <c r="B4" s="161" t="s">
        <v>324</v>
      </c>
      <c r="C4" s="161" t="s">
        <v>325</v>
      </c>
      <c r="D4" s="161" t="s">
        <v>326</v>
      </c>
      <c r="E4" s="161" t="s">
        <v>261</v>
      </c>
      <c r="F4" s="161" t="s">
        <v>327</v>
      </c>
      <c r="G4" s="161" t="s">
        <v>121</v>
      </c>
    </row>
    <row r="5" spans="1:7" ht="27.6" customHeight="1" x14ac:dyDescent="0.3">
      <c r="A5" s="175">
        <v>1</v>
      </c>
      <c r="B5" s="170" t="s">
        <v>328</v>
      </c>
      <c r="C5" s="170" t="s">
        <v>329</v>
      </c>
      <c r="D5" s="170" t="s">
        <v>330</v>
      </c>
      <c r="E5" s="175" t="s">
        <v>275</v>
      </c>
      <c r="F5" s="175" t="s">
        <v>129</v>
      </c>
      <c r="G5" s="175" t="s">
        <v>331</v>
      </c>
    </row>
    <row r="6" spans="1:7" x14ac:dyDescent="0.3">
      <c r="A6" s="175">
        <v>1</v>
      </c>
      <c r="B6" s="170" t="s">
        <v>332</v>
      </c>
      <c r="C6" s="170" t="s">
        <v>333</v>
      </c>
      <c r="D6" s="170" t="s">
        <v>334</v>
      </c>
      <c r="E6" s="175" t="s">
        <v>264</v>
      </c>
      <c r="F6" s="175" t="s">
        <v>129</v>
      </c>
      <c r="G6" s="175" t="s">
        <v>331</v>
      </c>
    </row>
    <row r="7" spans="1:7" ht="27.6" customHeight="1" x14ac:dyDescent="0.3">
      <c r="A7" s="175">
        <v>2</v>
      </c>
      <c r="B7" s="170" t="s">
        <v>335</v>
      </c>
      <c r="C7" s="170" t="s">
        <v>336</v>
      </c>
      <c r="D7" s="170" t="s">
        <v>337</v>
      </c>
      <c r="E7" s="175" t="s">
        <v>270</v>
      </c>
      <c r="F7" s="175" t="s">
        <v>130</v>
      </c>
      <c r="G7" s="175" t="s">
        <v>251</v>
      </c>
    </row>
    <row r="8" spans="1:7" ht="27.6" customHeight="1" x14ac:dyDescent="0.3">
      <c r="A8" s="175">
        <v>2</v>
      </c>
      <c r="B8" s="170" t="s">
        <v>338</v>
      </c>
      <c r="C8" s="170" t="s">
        <v>339</v>
      </c>
      <c r="D8" s="170" t="s">
        <v>340</v>
      </c>
      <c r="E8" s="175" t="s">
        <v>264</v>
      </c>
      <c r="F8" s="175" t="s">
        <v>130</v>
      </c>
      <c r="G8" s="175" t="s">
        <v>302</v>
      </c>
    </row>
    <row r="10" spans="1:7" x14ac:dyDescent="0.3">
      <c r="A10" s="14" t="s">
        <v>341</v>
      </c>
      <c r="D10" s="14" t="str">
        <f>COUNTIF(G5:G8,"Сделано")&amp;" / "&amp;COUNTA(G5:G8)</f>
        <v>2 / 4</v>
      </c>
    </row>
    <row r="11" spans="1:7" x14ac:dyDescent="0.3">
      <c r="A11" s="14" t="s">
        <v>342</v>
      </c>
      <c r="D11" s="179">
        <f>IFERROR(COUNTIF(G5:G8,"Сделано")/COUNTA(G5:G8),0)</f>
        <v>0.5</v>
      </c>
    </row>
  </sheetData>
  <dataValidations count="1">
    <dataValidation type="list" allowBlank="1" sqref="G5 G6 G7 G8" xr:uid="{00000000-0002-0000-0A00-000000000000}">
      <formula1>"Открыт,В работе,Сделано"</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21"/>
  <sheetViews>
    <sheetView showGridLines="0" workbookViewId="0">
      <pane ySplit="6" topLeftCell="A7" activePane="bottomLeft" state="frozen"/>
      <selection pane="bottomLeft"/>
    </sheetView>
  </sheetViews>
  <sheetFormatPr defaultRowHeight="14.4" x14ac:dyDescent="0.3"/>
  <cols>
    <col min="1" max="1" width="26" customWidth="1"/>
    <col min="2" max="2" width="13" customWidth="1"/>
    <col min="3" max="3" width="15" customWidth="1"/>
    <col min="4" max="4" width="18" customWidth="1"/>
    <col min="5" max="5" width="12" customWidth="1"/>
    <col min="6" max="6" width="17" customWidth="1"/>
  </cols>
  <sheetData>
    <row r="1" spans="1:6" ht="17.399999999999999" customHeight="1" x14ac:dyDescent="0.3">
      <c r="A1" s="163" t="s">
        <v>343</v>
      </c>
    </row>
    <row r="3" spans="1:6" x14ac:dyDescent="0.3">
      <c r="A3" s="14" t="s">
        <v>344</v>
      </c>
      <c r="C3" s="180">
        <v>8000</v>
      </c>
    </row>
    <row r="4" spans="1:6" x14ac:dyDescent="0.3">
      <c r="A4" s="14" t="s">
        <v>345</v>
      </c>
      <c r="C4" s="180">
        <v>8000000</v>
      </c>
    </row>
    <row r="6" spans="1:6" ht="27.6" customHeight="1" x14ac:dyDescent="0.3">
      <c r="A6" s="161" t="s">
        <v>112</v>
      </c>
      <c r="B6" s="161" t="s">
        <v>346</v>
      </c>
      <c r="C6" s="161" t="s">
        <v>347</v>
      </c>
      <c r="D6" s="161" t="s">
        <v>348</v>
      </c>
      <c r="E6" s="161" t="s">
        <v>349</v>
      </c>
      <c r="F6" s="161" t="s">
        <v>350</v>
      </c>
    </row>
    <row r="7" spans="1:6" x14ac:dyDescent="0.3">
      <c r="A7" s="177">
        <v>1</v>
      </c>
      <c r="B7" s="167">
        <f>'Дорожная карта'!F6</f>
        <v>92.800000000000011</v>
      </c>
      <c r="C7" s="181">
        <f t="shared" ref="C7:C17" si="0">B7*$C$3</f>
        <v>742400.00000000012</v>
      </c>
      <c r="D7" s="181">
        <f>C7</f>
        <v>742400.00000000012</v>
      </c>
      <c r="E7" s="167">
        <f>'Дорожная карта'!I6</f>
        <v>17</v>
      </c>
      <c r="F7" s="181">
        <f t="shared" ref="F7:F17" si="1">IF(E7="","",IFERROR(C7/E7,0))</f>
        <v>43670.588235294126</v>
      </c>
    </row>
    <row r="8" spans="1:6" x14ac:dyDescent="0.3">
      <c r="A8" s="177">
        <v>2</v>
      </c>
      <c r="B8" s="167">
        <f>'Дорожная карта'!F7</f>
        <v>95.2</v>
      </c>
      <c r="C8" s="181">
        <f t="shared" si="0"/>
        <v>761600</v>
      </c>
      <c r="D8" s="181">
        <f t="shared" ref="D8:D17" si="2">D7+C8</f>
        <v>1504000</v>
      </c>
      <c r="E8" s="167">
        <f>'Дорожная карта'!I7</f>
        <v>21</v>
      </c>
      <c r="F8" s="181">
        <f t="shared" si="1"/>
        <v>36266.666666666664</v>
      </c>
    </row>
    <row r="9" spans="1:6" x14ac:dyDescent="0.3">
      <c r="A9" s="177">
        <v>3</v>
      </c>
      <c r="B9" s="167">
        <f>'Дорожная карта'!F8</f>
        <v>95.2</v>
      </c>
      <c r="C9" s="181">
        <f t="shared" si="0"/>
        <v>761600</v>
      </c>
      <c r="D9" s="181">
        <f t="shared" si="2"/>
        <v>2265600</v>
      </c>
      <c r="E9" s="167" t="str">
        <f>'Дорожная карта'!I8</f>
        <v/>
      </c>
      <c r="F9" s="181" t="str">
        <f t="shared" si="1"/>
        <v/>
      </c>
    </row>
    <row r="10" spans="1:6" x14ac:dyDescent="0.3">
      <c r="A10" s="177">
        <v>4</v>
      </c>
      <c r="B10" s="167">
        <f>'Дорожная карта'!F9</f>
        <v>95.2</v>
      </c>
      <c r="C10" s="181">
        <f t="shared" si="0"/>
        <v>761600</v>
      </c>
      <c r="D10" s="181">
        <f t="shared" si="2"/>
        <v>3027200</v>
      </c>
      <c r="E10" s="167" t="str">
        <f>'Дорожная карта'!I9</f>
        <v/>
      </c>
      <c r="F10" s="181" t="str">
        <f t="shared" si="1"/>
        <v/>
      </c>
    </row>
    <row r="11" spans="1:6" x14ac:dyDescent="0.3">
      <c r="A11" s="177">
        <v>5</v>
      </c>
      <c r="B11" s="167">
        <f>'Дорожная карта'!F10</f>
        <v>93.2</v>
      </c>
      <c r="C11" s="181">
        <f t="shared" si="0"/>
        <v>745600</v>
      </c>
      <c r="D11" s="181">
        <f t="shared" si="2"/>
        <v>3772800</v>
      </c>
      <c r="E11" s="167" t="str">
        <f>'Дорожная карта'!I10</f>
        <v/>
      </c>
      <c r="F11" s="181" t="str">
        <f t="shared" si="1"/>
        <v/>
      </c>
    </row>
    <row r="12" spans="1:6" x14ac:dyDescent="0.3">
      <c r="A12" s="177">
        <v>6</v>
      </c>
      <c r="B12" s="167">
        <f>'Дорожная карта'!F11</f>
        <v>95.2</v>
      </c>
      <c r="C12" s="181">
        <f t="shared" si="0"/>
        <v>761600</v>
      </c>
      <c r="D12" s="181">
        <f t="shared" si="2"/>
        <v>4534400</v>
      </c>
      <c r="E12" s="167" t="str">
        <f>'Дорожная карта'!I11</f>
        <v/>
      </c>
      <c r="F12" s="181" t="str">
        <f t="shared" si="1"/>
        <v/>
      </c>
    </row>
    <row r="13" spans="1:6" x14ac:dyDescent="0.3">
      <c r="A13" s="177">
        <v>7</v>
      </c>
      <c r="B13" s="167">
        <f>'Дорожная карта'!F12</f>
        <v>85.680000000000021</v>
      </c>
      <c r="C13" s="181">
        <f t="shared" si="0"/>
        <v>685440.00000000012</v>
      </c>
      <c r="D13" s="181">
        <f t="shared" si="2"/>
        <v>5219840</v>
      </c>
      <c r="E13" s="167" t="str">
        <f>'Дорожная карта'!I12</f>
        <v/>
      </c>
      <c r="F13" s="181" t="str">
        <f t="shared" si="1"/>
        <v/>
      </c>
    </row>
    <row r="14" spans="1:6" x14ac:dyDescent="0.3">
      <c r="A14" s="177">
        <v>8</v>
      </c>
      <c r="B14" s="167">
        <f>'Дорожная карта'!F13</f>
        <v>91.2</v>
      </c>
      <c r="C14" s="181">
        <f t="shared" si="0"/>
        <v>729600</v>
      </c>
      <c r="D14" s="181">
        <f t="shared" si="2"/>
        <v>5949440</v>
      </c>
      <c r="E14" s="167" t="str">
        <f>'Дорожная карта'!I13</f>
        <v/>
      </c>
      <c r="F14" s="181" t="str">
        <f t="shared" si="1"/>
        <v/>
      </c>
    </row>
    <row r="15" spans="1:6" x14ac:dyDescent="0.3">
      <c r="A15" s="177">
        <v>9</v>
      </c>
      <c r="B15" s="167">
        <f>'Дорожная карта'!F14</f>
        <v>95.2</v>
      </c>
      <c r="C15" s="181">
        <f t="shared" si="0"/>
        <v>761600</v>
      </c>
      <c r="D15" s="181">
        <f t="shared" si="2"/>
        <v>6711040</v>
      </c>
      <c r="E15" s="167" t="str">
        <f>'Дорожная карта'!I14</f>
        <v/>
      </c>
      <c r="F15" s="181" t="str">
        <f t="shared" si="1"/>
        <v/>
      </c>
    </row>
    <row r="16" spans="1:6" x14ac:dyDescent="0.3">
      <c r="A16" s="177">
        <v>10</v>
      </c>
      <c r="B16" s="167">
        <f>'Дорожная карта'!F15</f>
        <v>95.2</v>
      </c>
      <c r="C16" s="181">
        <f t="shared" si="0"/>
        <v>761600</v>
      </c>
      <c r="D16" s="181">
        <f t="shared" si="2"/>
        <v>7472640</v>
      </c>
      <c r="E16" s="167" t="str">
        <f>'Дорожная карта'!I15</f>
        <v/>
      </c>
      <c r="F16" s="181" t="str">
        <f t="shared" si="1"/>
        <v/>
      </c>
    </row>
    <row r="17" spans="1:6" x14ac:dyDescent="0.3">
      <c r="A17" s="177">
        <v>11</v>
      </c>
      <c r="B17" s="167">
        <f>'Дорожная карта'!F16</f>
        <v>85.680000000000021</v>
      </c>
      <c r="C17" s="181">
        <f t="shared" si="0"/>
        <v>685440.00000000012</v>
      </c>
      <c r="D17" s="181">
        <f t="shared" si="2"/>
        <v>8158080</v>
      </c>
      <c r="E17" s="167" t="str">
        <f>'Дорожная карта'!I16</f>
        <v/>
      </c>
      <c r="F17" s="181" t="str">
        <f t="shared" si="1"/>
        <v/>
      </c>
    </row>
    <row r="19" spans="1:6" x14ac:dyDescent="0.3">
      <c r="A19" s="14" t="s">
        <v>351</v>
      </c>
      <c r="C19" s="182">
        <f>D17</f>
        <v>8158080</v>
      </c>
    </row>
    <row r="20" spans="1:6" x14ac:dyDescent="0.3">
      <c r="A20" s="14" t="s">
        <v>352</v>
      </c>
      <c r="C20" s="182">
        <f>C4-D17</f>
        <v>-158080</v>
      </c>
    </row>
    <row r="21" spans="1:6" x14ac:dyDescent="0.3">
      <c r="A21" s="14" t="s">
        <v>353</v>
      </c>
      <c r="C21" s="182">
        <f>IFERROR(SUM(C7:C17)/SUM(E7:E17),0)</f>
        <v>214686.31578947368</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9"/>
  <sheetViews>
    <sheetView showGridLines="0" workbookViewId="0">
      <pane ySplit="4" topLeftCell="A5" activePane="bottomLeft" state="frozen"/>
      <selection pane="bottomLeft" activeCell="E13" sqref="E13"/>
    </sheetView>
  </sheetViews>
  <sheetFormatPr defaultRowHeight="14.4" x14ac:dyDescent="0.3"/>
  <cols>
    <col min="1" max="1" width="10" customWidth="1"/>
    <col min="2" max="2" width="30" customWidth="1"/>
    <col min="3" max="3" width="34" customWidth="1"/>
    <col min="4" max="4" width="8" customWidth="1"/>
    <col min="5" max="5" width="9" customWidth="1"/>
    <col min="6" max="6" width="11.33203125" customWidth="1"/>
    <col min="7" max="7" width="13" customWidth="1"/>
  </cols>
  <sheetData>
    <row r="1" spans="1:7" ht="17.399999999999999" customHeight="1" x14ac:dyDescent="0.3">
      <c r="A1" s="163" t="s">
        <v>354</v>
      </c>
    </row>
    <row r="2" spans="1:7" x14ac:dyDescent="0.3">
      <c r="A2" s="164" t="s">
        <v>355</v>
      </c>
    </row>
    <row r="4" spans="1:7" ht="27.6" customHeight="1" x14ac:dyDescent="0.3">
      <c r="A4" s="161" t="s">
        <v>123</v>
      </c>
      <c r="B4" s="161" t="s">
        <v>356</v>
      </c>
      <c r="C4" s="161" t="s">
        <v>357</v>
      </c>
      <c r="D4" s="161" t="s">
        <v>358</v>
      </c>
      <c r="E4" s="161" t="s">
        <v>359</v>
      </c>
      <c r="F4" s="161" t="s">
        <v>360</v>
      </c>
      <c r="G4" s="161" t="s">
        <v>121</v>
      </c>
    </row>
    <row r="5" spans="1:7" ht="27.6" customHeight="1" x14ac:dyDescent="0.3">
      <c r="A5" s="177" t="s">
        <v>180</v>
      </c>
      <c r="B5" s="170" t="s">
        <v>361</v>
      </c>
      <c r="C5" s="170" t="s">
        <v>362</v>
      </c>
      <c r="D5" s="175">
        <v>100</v>
      </c>
      <c r="E5" s="175">
        <v>70</v>
      </c>
      <c r="F5" s="168">
        <f>IFERROR(E5/D5,0)</f>
        <v>0.7</v>
      </c>
      <c r="G5" s="177" t="str">
        <f>IF(F5&gt;=1,"Достигнуто",IF(F5&gt;=0.7,"В графике","Отстаёт"))</f>
        <v>В графике</v>
      </c>
    </row>
    <row r="6" spans="1:7" ht="27.6" customHeight="1" x14ac:dyDescent="0.3">
      <c r="A6" s="177" t="s">
        <v>180</v>
      </c>
      <c r="B6" s="170" t="s">
        <v>361</v>
      </c>
      <c r="C6" s="170" t="s">
        <v>363</v>
      </c>
      <c r="D6" s="175">
        <v>100</v>
      </c>
      <c r="E6" s="175">
        <v>60</v>
      </c>
      <c r="F6" s="168">
        <f>IFERROR(E6/D6,0)</f>
        <v>0.6</v>
      </c>
      <c r="G6" s="177" t="str">
        <f>IF(F6&gt;=1,"Достигнуто",IF(F6&gt;=0.7,"В графике","Отстаёт"))</f>
        <v>Отстаёт</v>
      </c>
    </row>
    <row r="7" spans="1:7" ht="27.6" customHeight="1" x14ac:dyDescent="0.3">
      <c r="A7" s="177" t="s">
        <v>180</v>
      </c>
      <c r="B7" s="170" t="s">
        <v>364</v>
      </c>
      <c r="C7" s="170" t="s">
        <v>365</v>
      </c>
      <c r="D7" s="175">
        <v>80</v>
      </c>
      <c r="E7" s="175">
        <v>45</v>
      </c>
      <c r="F7" s="168">
        <f>IFERROR(E7/D7,0)</f>
        <v>0.5625</v>
      </c>
      <c r="G7" s="177" t="str">
        <f>IF(F7&gt;=1,"Достигнуто",IF(F7&gt;=0.7,"В графике","Отстаёт"))</f>
        <v>Отстаёт</v>
      </c>
    </row>
    <row r="8" spans="1:7" ht="27.6" customHeight="1" x14ac:dyDescent="0.3">
      <c r="A8" s="177" t="s">
        <v>182</v>
      </c>
      <c r="B8" s="170" t="s">
        <v>366</v>
      </c>
      <c r="C8" s="170" t="s">
        <v>367</v>
      </c>
      <c r="D8" s="175">
        <v>20</v>
      </c>
      <c r="E8" s="175">
        <v>6</v>
      </c>
      <c r="F8" s="168">
        <f>IFERROR(E8/D8,0)</f>
        <v>0.3</v>
      </c>
      <c r="G8" s="177" t="str">
        <f>IF(F8&gt;=1,"Достигнуто",IF(F8&gt;=0.7,"В графике","Отстаёт"))</f>
        <v>Отстаёт</v>
      </c>
    </row>
    <row r="9" spans="1:7" ht="27.6" customHeight="1" x14ac:dyDescent="0.3">
      <c r="A9" s="177" t="s">
        <v>182</v>
      </c>
      <c r="B9" s="170" t="s">
        <v>366</v>
      </c>
      <c r="C9" s="170" t="s">
        <v>368</v>
      </c>
      <c r="D9" s="175">
        <v>100</v>
      </c>
      <c r="E9" s="175">
        <v>20</v>
      </c>
      <c r="F9" s="168">
        <f>IFERROR(E9/D9,0)</f>
        <v>0.2</v>
      </c>
      <c r="G9" s="177" t="str">
        <f>IF(F9&gt;=1,"Достигнуто",IF(F9&gt;=0.7,"В графике","Отстаёт"))</f>
        <v>Отстаёт</v>
      </c>
    </row>
  </sheetData>
  <conditionalFormatting sqref="F5:F9">
    <cfRule type="cellIs" dxfId="22" priority="1" operator="greaterThanOrEqual">
      <formula>1</formula>
    </cfRule>
    <cfRule type="cellIs" dxfId="21" priority="2" operator="between">
      <formula>0.7</formula>
      <formula>0.999</formula>
    </cfRule>
    <cfRule type="cellIs" dxfId="20" priority="3" operator="lessThan">
      <formula>0.7</formula>
    </cfRule>
  </conditionalFormatting>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9"/>
  <sheetViews>
    <sheetView showGridLines="0" workbookViewId="0">
      <pane ySplit="5" topLeftCell="A6" activePane="bottomLeft" state="frozen"/>
      <selection pane="bottomLeft" activeCell="N4" sqref="N4"/>
    </sheetView>
  </sheetViews>
  <sheetFormatPr defaultRowHeight="14.4" x14ac:dyDescent="0.3"/>
  <cols>
    <col min="1" max="1" width="14" customWidth="1"/>
    <col min="2" max="2" width="13" customWidth="1"/>
    <col min="3" max="4" width="12" customWidth="1"/>
    <col min="5" max="5" width="10" customWidth="1"/>
    <col min="6" max="6" width="12" customWidth="1"/>
  </cols>
  <sheetData>
    <row r="1" spans="1:6" ht="17.399999999999999" customHeight="1" x14ac:dyDescent="0.3">
      <c r="A1" s="163" t="s">
        <v>369</v>
      </c>
    </row>
    <row r="2" spans="1:6" x14ac:dyDescent="0.3">
      <c r="A2" s="164" t="s">
        <v>370</v>
      </c>
    </row>
    <row r="4" spans="1:6" ht="15.6" customHeight="1" x14ac:dyDescent="0.3">
      <c r="A4" s="176" t="s">
        <v>371</v>
      </c>
    </row>
    <row r="5" spans="1:6" ht="27.6" customHeight="1" x14ac:dyDescent="0.3">
      <c r="A5" s="161" t="s">
        <v>123</v>
      </c>
      <c r="B5" s="161" t="s">
        <v>372</v>
      </c>
      <c r="C5" s="161" t="s">
        <v>373</v>
      </c>
      <c r="D5" s="161" t="s">
        <v>46</v>
      </c>
      <c r="E5" s="161" t="s">
        <v>45</v>
      </c>
      <c r="F5" s="161" t="s">
        <v>374</v>
      </c>
    </row>
    <row r="6" spans="1:6" x14ac:dyDescent="0.3">
      <c r="A6" s="165" t="str">
        <f>Кварталы!A5</f>
        <v>Q3 2026</v>
      </c>
      <c r="B6" s="167">
        <f>Кварталы!C5</f>
        <v>471.59999999999997</v>
      </c>
      <c r="C6" s="167">
        <f>Кварталы!D5</f>
        <v>107</v>
      </c>
      <c r="D6" s="183">
        <f>B6-C6</f>
        <v>364.59999999999997</v>
      </c>
      <c r="E6" s="169">
        <f>IFERROR(C6/B6,0)</f>
        <v>0.22688719253604753</v>
      </c>
      <c r="F6" s="184">
        <f>IF(C6&gt;B6,ROUNDUP((C6-B6)/MAX(1,Кварталы!B5*8),0),0)</f>
        <v>0</v>
      </c>
    </row>
    <row r="7" spans="1:6" x14ac:dyDescent="0.3">
      <c r="A7" s="165" t="str">
        <f>Кварталы!A6</f>
        <v>Q4 2026</v>
      </c>
      <c r="B7" s="167">
        <f>Кварталы!C6</f>
        <v>548.16000000000008</v>
      </c>
      <c r="C7" s="167">
        <f>Кварталы!D6</f>
        <v>0</v>
      </c>
      <c r="D7" s="183">
        <f>B7-C7</f>
        <v>548.16000000000008</v>
      </c>
      <c r="E7" s="169">
        <f>IFERROR(C7/B7,0)</f>
        <v>0</v>
      </c>
      <c r="F7" s="184">
        <f>IF(C7&gt;B7,ROUNDUP((C7-B7)/MAX(1,Кварталы!B6*8),0),0)</f>
        <v>0</v>
      </c>
    </row>
    <row r="8" spans="1:6" x14ac:dyDescent="0.3">
      <c r="A8" s="165" t="str">
        <f>Кварталы!A7</f>
        <v>Q1 2027</v>
      </c>
      <c r="B8" s="167">
        <f>Кварталы!C7</f>
        <v>0</v>
      </c>
      <c r="C8" s="167">
        <f>Кварталы!D7</f>
        <v>0</v>
      </c>
      <c r="D8" s="183">
        <f>B8-C8</f>
        <v>0</v>
      </c>
      <c r="E8" s="169">
        <f>IFERROR(C8/B8,0)</f>
        <v>0</v>
      </c>
      <c r="F8" s="184">
        <f>IF(C8&gt;B8,ROUNDUP((C8-B8)/MAX(1,Кварталы!B7*8),0),0)</f>
        <v>0</v>
      </c>
    </row>
    <row r="10" spans="1:6" ht="15.6" customHeight="1" x14ac:dyDescent="0.3">
      <c r="A10" s="176" t="s">
        <v>375</v>
      </c>
    </row>
    <row r="11" spans="1:6" ht="27.6" customHeight="1" x14ac:dyDescent="0.3">
      <c r="A11" s="161" t="s">
        <v>376</v>
      </c>
      <c r="B11" s="161" t="s">
        <v>372</v>
      </c>
      <c r="C11" s="161" t="s">
        <v>373</v>
      </c>
      <c r="D11" s="161" t="s">
        <v>46</v>
      </c>
      <c r="E11" s="161" t="s">
        <v>45</v>
      </c>
    </row>
    <row r="12" spans="1:6" x14ac:dyDescent="0.3">
      <c r="A12" s="165" t="s">
        <v>377</v>
      </c>
      <c r="B12" s="167">
        <f>SUMIF(Капасити!$C$5:$C$147,A12,Капасити!$H$5:$H$147)</f>
        <v>339.99999999999989</v>
      </c>
      <c r="C12" s="167">
        <f>SUMIF(Бэклог!$H$5:$H$44,A12,Бэклог!$E$5:$E$44)</f>
        <v>35</v>
      </c>
      <c r="D12" s="183">
        <f t="shared" ref="D12:D17" si="0">B12-C12</f>
        <v>304.99999999999989</v>
      </c>
      <c r="E12" s="169">
        <f t="shared" ref="E12:E17" si="1">IFERROR(C12/B12,0)</f>
        <v>0.10294117647058827</v>
      </c>
    </row>
    <row r="13" spans="1:6" x14ac:dyDescent="0.3">
      <c r="A13" s="165" t="s">
        <v>378</v>
      </c>
      <c r="B13" s="167">
        <f>SUMIF(Капасити!$C$5:$C$147,A13,Капасити!$H$5:$H$147)</f>
        <v>258.39999999999992</v>
      </c>
      <c r="C13" s="167">
        <f>SUMIF(Бэклог!$H$5:$H$44,A13,Бэклог!$E$5:$E$44)</f>
        <v>29</v>
      </c>
      <c r="D13" s="183">
        <f t="shared" si="0"/>
        <v>229.39999999999992</v>
      </c>
      <c r="E13" s="169">
        <f t="shared" si="1"/>
        <v>0.1122291021671827</v>
      </c>
    </row>
    <row r="14" spans="1:6" x14ac:dyDescent="0.3">
      <c r="A14" s="165" t="s">
        <v>379</v>
      </c>
      <c r="B14" s="167">
        <f>SUMIF(Капасити!$C$5:$C$147,A14,Капасити!$H$5:$H$147)</f>
        <v>155.52000000000001</v>
      </c>
      <c r="C14" s="167">
        <f>SUMIF(Бэклог!$H$5:$H$44,A14,Бэклог!$E$5:$E$44)</f>
        <v>20</v>
      </c>
      <c r="D14" s="183">
        <f t="shared" si="0"/>
        <v>135.52000000000001</v>
      </c>
      <c r="E14" s="169">
        <f t="shared" si="1"/>
        <v>0.12860082304526749</v>
      </c>
    </row>
    <row r="15" spans="1:6" x14ac:dyDescent="0.3">
      <c r="A15" s="165" t="s">
        <v>380</v>
      </c>
      <c r="B15" s="167">
        <f>SUMIF(Капасити!$C$5:$C$147,A15,Капасити!$H$5:$H$147)</f>
        <v>69.11999999999999</v>
      </c>
      <c r="C15" s="167">
        <f>SUMIF(Бэклог!$H$5:$H$44,A15,Бэклог!$E$5:$E$44)</f>
        <v>7</v>
      </c>
      <c r="D15" s="183">
        <f t="shared" si="0"/>
        <v>62.11999999999999</v>
      </c>
      <c r="E15" s="169">
        <f t="shared" si="1"/>
        <v>0.10127314814814817</v>
      </c>
    </row>
    <row r="16" spans="1:6" x14ac:dyDescent="0.3">
      <c r="A16" s="165" t="s">
        <v>381</v>
      </c>
      <c r="B16" s="167">
        <f>SUMIF(Капасити!$C$5:$C$147,A16,Капасити!$H$5:$H$147)</f>
        <v>127.6</v>
      </c>
      <c r="C16" s="167">
        <f>SUMIF(Бэклог!$H$5:$H$44,A16,Бэклог!$E$5:$E$44)</f>
        <v>11</v>
      </c>
      <c r="D16" s="183">
        <f t="shared" si="0"/>
        <v>116.6</v>
      </c>
      <c r="E16" s="169">
        <f t="shared" si="1"/>
        <v>8.6206896551724144E-2</v>
      </c>
    </row>
    <row r="17" spans="1:5" x14ac:dyDescent="0.3">
      <c r="A17" s="165" t="s">
        <v>382</v>
      </c>
      <c r="B17" s="167">
        <f>SUMIF(Капасити!$C$5:$C$147,A17,Капасити!$H$5:$H$147)</f>
        <v>69.11999999999999</v>
      </c>
      <c r="C17" s="167">
        <f>SUMIF(Бэклог!$H$5:$H$44,A17,Бэклог!$E$5:$E$44)</f>
        <v>5</v>
      </c>
      <c r="D17" s="183">
        <f t="shared" si="0"/>
        <v>64.11999999999999</v>
      </c>
      <c r="E17" s="169">
        <f t="shared" si="1"/>
        <v>7.2337962962962979E-2</v>
      </c>
    </row>
    <row r="19" spans="1:5" x14ac:dyDescent="0.3">
      <c r="A19" s="164" t="s">
        <v>383</v>
      </c>
    </row>
  </sheetData>
  <conditionalFormatting sqref="E6:E8">
    <cfRule type="cellIs" dxfId="19" priority="1" operator="greaterThan">
      <formula>1</formula>
    </cfRule>
    <cfRule type="cellIs" dxfId="18" priority="2" operator="between">
      <formula>0.9</formula>
      <formula>1</formula>
    </cfRule>
    <cfRule type="cellIs" dxfId="17" priority="3" operator="lessThan">
      <formula>0.9</formula>
    </cfRule>
  </conditionalFormatting>
  <conditionalFormatting sqref="E12:E17">
    <cfRule type="cellIs" dxfId="16" priority="4" operator="greaterThan">
      <formula>1</formula>
    </cfRule>
    <cfRule type="cellIs" dxfId="15" priority="5" operator="between">
      <formula>0.9</formula>
      <formula>1</formula>
    </cfRule>
    <cfRule type="cellIs" dxfId="14" priority="6" operator="lessThan">
      <formula>0.9</formula>
    </cfRule>
  </conditionalFormatting>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70"/>
  <sheetViews>
    <sheetView showGridLines="0" topLeftCell="G1" workbookViewId="0">
      <pane ySplit="4" topLeftCell="A34" activePane="bottomLeft" state="frozen"/>
      <selection pane="bottomLeft"/>
    </sheetView>
  </sheetViews>
  <sheetFormatPr defaultRowHeight="14.4" x14ac:dyDescent="0.3"/>
  <cols>
    <col min="1" max="1" width="7" customWidth="1"/>
    <col min="2" max="2" width="30" customWidth="1"/>
    <col min="3" max="3" width="6.77734375" customWidth="1"/>
    <col min="4" max="4" width="13" customWidth="1"/>
    <col min="5" max="5" width="11" customWidth="1"/>
    <col min="6" max="8" width="12" customWidth="1"/>
    <col min="9" max="9" width="10" customWidth="1"/>
    <col min="10" max="10" width="9" customWidth="1"/>
    <col min="11" max="11" width="28" customWidth="1"/>
  </cols>
  <sheetData>
    <row r="1" spans="1:11" ht="17.399999999999999" customHeight="1" x14ac:dyDescent="0.3">
      <c r="A1" s="116" t="s">
        <v>384</v>
      </c>
    </row>
    <row r="2" spans="1:11" x14ac:dyDescent="0.3">
      <c r="A2" s="117" t="s">
        <v>385</v>
      </c>
    </row>
    <row r="4" spans="1:11" ht="27.6" customHeight="1" x14ac:dyDescent="0.3">
      <c r="A4" s="118" t="s">
        <v>189</v>
      </c>
      <c r="B4" s="118" t="s">
        <v>386</v>
      </c>
      <c r="C4" s="118" t="s">
        <v>387</v>
      </c>
      <c r="D4" s="118" t="s">
        <v>388</v>
      </c>
      <c r="E4" s="118" t="s">
        <v>121</v>
      </c>
      <c r="F4" s="118" t="s">
        <v>389</v>
      </c>
      <c r="G4" s="118" t="s">
        <v>113</v>
      </c>
      <c r="H4" s="118" t="s">
        <v>114</v>
      </c>
      <c r="I4" s="118" t="s">
        <v>231</v>
      </c>
      <c r="J4" s="138" t="s">
        <v>390</v>
      </c>
      <c r="K4" s="226" t="s">
        <v>391</v>
      </c>
    </row>
    <row r="5" spans="1:11" x14ac:dyDescent="0.3">
      <c r="A5" s="119" t="str">
        <f>IF(Бэклог!A5="","",Бэклог!A5)</f>
        <v>T-01</v>
      </c>
      <c r="B5" s="120" t="str">
        <f>IF($A5="","",Бэклог!B5)</f>
        <v>Проектирование API заказов</v>
      </c>
      <c r="C5" s="119">
        <f>IF($A5="","",Бэклог!M5)</f>
        <v>1</v>
      </c>
      <c r="D5" s="120" t="str">
        <f>IF($A5="","",Бэклог!C5)</f>
        <v>Иванов А.</v>
      </c>
      <c r="E5" s="119" t="str">
        <f>IF($A5="","",Бэклог!F5)</f>
        <v>Готово</v>
      </c>
      <c r="F5" s="131"/>
      <c r="G5" s="121">
        <f>IF($A5="","",MAX(SUMIF('Дорожная карта'!$A$6:$A$16,C5,'Дорожная карта'!$C$6:$C$16),IF(F5="",0,IFERROR(INDEX($H$5:$H$44,MATCH(F5,$A$5:$A$44,0)),0))))</f>
        <v>46237</v>
      </c>
      <c r="H5" s="121">
        <f t="shared" ref="H5:H44" si="0">IF($A5="","",G5+I5)</f>
        <v>46242</v>
      </c>
      <c r="I5" s="122">
        <f>IF($A5="","",Бэклог!E5)</f>
        <v>5</v>
      </c>
      <c r="J5" s="139" t="s">
        <v>392</v>
      </c>
      <c r="K5" s="236" t="str">
        <f>IF(COUNTIF(Зависимости!$D$5:$D$100,A5)=0,"","◆ "&amp;IFERROR(VLOOKUP(A5,Зависимости!$D$5:$I$100,2,FALSE),"")&amp;" · "&amp;IFERROR(VLOOKUP(A5,Зависимости!$D$5:$I$100,6,FALSE),""))</f>
        <v/>
      </c>
    </row>
    <row r="6" spans="1:11" x14ac:dyDescent="0.3">
      <c r="A6" s="119" t="str">
        <f>IF(Бэклог!A6="","",Бэклог!A6)</f>
        <v>T-02</v>
      </c>
      <c r="B6" s="120" t="str">
        <f>IF($A6="","",Бэклог!B6)</f>
        <v>Экран корзины (вёрстка)</v>
      </c>
      <c r="C6" s="119">
        <f>IF($A6="","",Бэклог!M6)</f>
        <v>1</v>
      </c>
      <c r="D6" s="120" t="str">
        <f>IF($A6="","",Бэклог!C6)</f>
        <v>Петрова М.</v>
      </c>
      <c r="E6" s="119" t="str">
        <f>IF($A6="","",Бэклог!F6)</f>
        <v>Готово</v>
      </c>
      <c r="F6" s="131" t="s">
        <v>393</v>
      </c>
      <c r="G6" s="121">
        <f>IF($A6="","",MAX(SUMIF('Дорожная карта'!$A$6:$A$16,C6,'Дорожная карта'!$C$6:$C$16),IF(F6="",0,IFERROR(INDEX($H$5:$H$44,MATCH(F6,$A$5:$A$44,0)),0))))</f>
        <v>46242</v>
      </c>
      <c r="H6" s="121">
        <f t="shared" si="0"/>
        <v>46250</v>
      </c>
      <c r="I6" s="122">
        <f>IF($A6="","",Бэклог!E6)</f>
        <v>8</v>
      </c>
      <c r="J6" s="140"/>
      <c r="K6" s="236" t="str">
        <f>IF(COUNTIF(Зависимости!$D$5:$D$100,A6)=0,"","◆ "&amp;IFERROR(VLOOKUP(A6,Зависимости!$D$5:$I$100,2,FALSE),"")&amp;" · "&amp;IFERROR(VLOOKUP(A6,Зависимости!$D$5:$I$100,6,FALSE),""))</f>
        <v>◆ Мобильное приложение · Подтверждено</v>
      </c>
    </row>
    <row r="7" spans="1:11" x14ac:dyDescent="0.3">
      <c r="A7" s="119" t="str">
        <f>IF(Бэклог!A7="","",Бэклог!A7)</f>
        <v>T-09</v>
      </c>
      <c r="B7" s="120" t="str">
        <f>IF($A7="","",Бэклог!B7)</f>
        <v>Настройка CI/CD</v>
      </c>
      <c r="C7" s="119">
        <f>IF($A7="","",Бэклог!M7)</f>
        <v>1</v>
      </c>
      <c r="D7" s="120" t="str">
        <f>IF($A7="","",Бэклог!C7)</f>
        <v>Новиков А.</v>
      </c>
      <c r="E7" s="119" t="str">
        <f>IF($A7="","",Бэклог!F7)</f>
        <v>Готово</v>
      </c>
      <c r="F7" s="131"/>
      <c r="G7" s="121">
        <f>IF($A7="","",MAX(SUMIF('Дорожная карта'!$A$6:$A$16,C7,'Дорожная карта'!$C$6:$C$16),IF(F7="",0,IFERROR(INDEX($H$5:$H$44,MATCH(F7,$A$5:$A$44,0)),0))))</f>
        <v>46237</v>
      </c>
      <c r="H7" s="121">
        <f t="shared" si="0"/>
        <v>46241</v>
      </c>
      <c r="I7" s="122">
        <f>IF($A7="","",Бэклог!E7)</f>
        <v>4</v>
      </c>
      <c r="J7" s="140"/>
      <c r="K7" s="236" t="str">
        <f>IF(COUNTIF(Зависимости!$D$5:$D$100,A7)=0,"","◆ "&amp;IFERROR(VLOOKUP(A7,Зависимости!$D$5:$I$100,2,FALSE),"")&amp;" · "&amp;IFERROR(VLOOKUP(A7,Зависимости!$D$5:$I$100,6,FALSE),""))</f>
        <v/>
      </c>
    </row>
    <row r="8" spans="1:11" x14ac:dyDescent="0.3">
      <c r="A8" s="119" t="str">
        <f>IF(Бэклог!A8="","",Бэклог!A8)</f>
        <v>T-10</v>
      </c>
      <c r="B8" s="120" t="str">
        <f>IF($A8="","",Бэклог!B8)</f>
        <v>Модель данных заказа</v>
      </c>
      <c r="C8" s="119">
        <f>IF($A8="","",Бэклог!M8)</f>
        <v>1</v>
      </c>
      <c r="D8" s="120" t="str">
        <f>IF($A8="","",Бэклог!C8)</f>
        <v>Кузнецов Д.</v>
      </c>
      <c r="E8" s="119" t="str">
        <f>IF($A8="","",Бэклог!F8)</f>
        <v>В работе</v>
      </c>
      <c r="F8" s="131"/>
      <c r="G8" s="121">
        <f>IF($A8="","",MAX(SUMIF('Дорожная карта'!$A$6:$A$16,C8,'Дорожная карта'!$C$6:$C$16),IF(F8="",0,IFERROR(INDEX($H$5:$H$44,MATCH(F8,$A$5:$A$44,0)),0))))</f>
        <v>46237</v>
      </c>
      <c r="H8" s="121">
        <f t="shared" si="0"/>
        <v>46242</v>
      </c>
      <c r="I8" s="122">
        <f>IF($A8="","",Бэклог!E8)</f>
        <v>5</v>
      </c>
      <c r="J8" s="140"/>
      <c r="K8" s="236" t="str">
        <f>IF(COUNTIF(Зависимости!$D$5:$D$100,A8)=0,"","◆ "&amp;IFERROR(VLOOKUP(A8,Зависимости!$D$5:$I$100,2,FALSE),"")&amp;" · "&amp;IFERROR(VLOOKUP(A8,Зависимости!$D$5:$I$100,6,FALSE),""))</f>
        <v/>
      </c>
    </row>
    <row r="9" spans="1:11" x14ac:dyDescent="0.3">
      <c r="A9" s="119" t="str">
        <f>IF(Бэклог!A9="","",Бэклог!A9)</f>
        <v>T-03</v>
      </c>
      <c r="B9" s="120" t="str">
        <f>IF($A9="","",Бэклог!B9)</f>
        <v>Интеграция платежей</v>
      </c>
      <c r="C9" s="119">
        <f>IF($A9="","",Бэклог!M9)</f>
        <v>2</v>
      </c>
      <c r="D9" s="120" t="str">
        <f>IF($A9="","",Бэклог!C9)</f>
        <v>Иванов А.</v>
      </c>
      <c r="E9" s="119" t="str">
        <f>IF($A9="","",Бэклог!F9)</f>
        <v>Готово</v>
      </c>
      <c r="F9" s="131" t="s">
        <v>393</v>
      </c>
      <c r="G9" s="121">
        <f>IF($A9="","",MAX(SUMIF('Дорожная карта'!$A$6:$A$16,C9,'Дорожная карта'!$C$6:$C$16),IF(F9="",0,IFERROR(INDEX($H$5:$H$44,MATCH(F9,$A$5:$A$44,0)),0))))</f>
        <v>46251</v>
      </c>
      <c r="H9" s="121">
        <f t="shared" si="0"/>
        <v>46259</v>
      </c>
      <c r="I9" s="122">
        <f>IF($A9="","",Бэклог!E9)</f>
        <v>8</v>
      </c>
      <c r="J9" s="139" t="s">
        <v>392</v>
      </c>
      <c r="K9" s="236" t="str">
        <f>IF(COUNTIF(Зависимости!$D$5:$D$100,A9)=0,"","◆ "&amp;IFERROR(VLOOKUP(A9,Зависимости!$D$5:$I$100,2,FALSE),"")&amp;" · "&amp;IFERROR(VLOOKUP(A9,Зависимости!$D$5:$I$100,6,FALSE),""))</f>
        <v>◆ Платёжный шлюз · Заблокировано</v>
      </c>
    </row>
    <row r="10" spans="1:11" x14ac:dyDescent="0.3">
      <c r="A10" s="119" t="str">
        <f>IF(Бэклог!A10="","",Бэклог!A10)</f>
        <v>T-04</v>
      </c>
      <c r="B10" s="120" t="str">
        <f>IF($A10="","",Бэклог!B10)</f>
        <v>Тест-кейсы оформления</v>
      </c>
      <c r="C10" s="119">
        <f>IF($A10="","",Бэклог!M10)</f>
        <v>2</v>
      </c>
      <c r="D10" s="120" t="str">
        <f>IF($A10="","",Бэклог!C10)</f>
        <v>Сидоров К.</v>
      </c>
      <c r="E10" s="119" t="str">
        <f>IF($A10="","",Бэклог!F10)</f>
        <v>Готово</v>
      </c>
      <c r="F10" s="131"/>
      <c r="G10" s="121">
        <f>IF($A10="","",MAX(SUMIF('Дорожная карта'!$A$6:$A$16,C10,'Дорожная карта'!$C$6:$C$16),IF(F10="",0,IFERROR(INDEX($H$5:$H$44,MATCH(F10,$A$5:$A$44,0)),0))))</f>
        <v>46251</v>
      </c>
      <c r="H10" s="121">
        <f t="shared" si="0"/>
        <v>46255</v>
      </c>
      <c r="I10" s="122">
        <f>IF($A10="","",Бэклог!E10)</f>
        <v>4</v>
      </c>
      <c r="J10" s="140"/>
      <c r="K10" s="236" t="str">
        <f>IF(COUNTIF(Зависимости!$D$5:$D$100,A10)=0,"","◆ "&amp;IFERROR(VLOOKUP(A10,Зависимости!$D$5:$I$100,2,FALSE),"")&amp;" · "&amp;IFERROR(VLOOKUP(A10,Зависимости!$D$5:$I$100,6,FALSE),""))</f>
        <v/>
      </c>
    </row>
    <row r="11" spans="1:11" x14ac:dyDescent="0.3">
      <c r="A11" s="119" t="str">
        <f>IF(Бэклог!A11="","",Бэклог!A11)</f>
        <v>T-08</v>
      </c>
      <c r="B11" s="120" t="str">
        <f>IF($A11="","",Бэклог!B11)</f>
        <v>Уведомления по e-mail</v>
      </c>
      <c r="C11" s="119">
        <f>IF($A11="","",Бэклог!M11)</f>
        <v>2</v>
      </c>
      <c r="D11" s="120" t="str">
        <f>IF($A11="","",Бэклог!C11)</f>
        <v>Смирнов П.</v>
      </c>
      <c r="E11" s="119" t="str">
        <f>IF($A11="","",Бэклог!F11)</f>
        <v>Готово</v>
      </c>
      <c r="F11" s="131"/>
      <c r="G11" s="121">
        <f>IF($A11="","",MAX(SUMIF('Дорожная карта'!$A$6:$A$16,C11,'Дорожная карта'!$C$6:$C$16),IF(F11="",0,IFERROR(INDEX($H$5:$H$44,MATCH(F11,$A$5:$A$44,0)),0))))</f>
        <v>46251</v>
      </c>
      <c r="H11" s="121">
        <f t="shared" si="0"/>
        <v>46255</v>
      </c>
      <c r="I11" s="122">
        <f>IF($A11="","",Бэклог!E11)</f>
        <v>4</v>
      </c>
      <c r="J11" s="140"/>
      <c r="K11" s="236" t="str">
        <f>IF(COUNTIF(Зависимости!$D$5:$D$100,A11)=0,"","◆ "&amp;IFERROR(VLOOKUP(A11,Зависимости!$D$5:$I$100,2,FALSE),"")&amp;" · "&amp;IFERROR(VLOOKUP(A11,Зависимости!$D$5:$I$100,6,FALSE),""))</f>
        <v>◆ Инфраструктура / DevOps · Подтверждено</v>
      </c>
    </row>
    <row r="12" spans="1:11" x14ac:dyDescent="0.3">
      <c r="A12" s="119" t="str">
        <f>IF(Бэклог!A12="","",Бэклог!A12)</f>
        <v>T-11</v>
      </c>
      <c r="B12" s="120" t="str">
        <f>IF($A12="","",Бэклог!B12)</f>
        <v>API промокодов</v>
      </c>
      <c r="C12" s="119">
        <f>IF($A12="","",Бэклог!M12)</f>
        <v>2</v>
      </c>
      <c r="D12" s="120" t="str">
        <f>IF($A12="","",Бэклог!C12)</f>
        <v>Козлов В.</v>
      </c>
      <c r="E12" s="119" t="str">
        <f>IF($A12="","",Бэклог!F12)</f>
        <v>Готово</v>
      </c>
      <c r="F12" s="131"/>
      <c r="G12" s="121">
        <f>IF($A12="","",MAX(SUMIF('Дорожная карта'!$A$6:$A$16,C12,'Дорожная карта'!$C$6:$C$16),IF(F12="",0,IFERROR(INDEX($H$5:$H$44,MATCH(F12,$A$5:$A$44,0)),0))))</f>
        <v>46251</v>
      </c>
      <c r="H12" s="121">
        <f t="shared" si="0"/>
        <v>46256</v>
      </c>
      <c r="I12" s="122">
        <f>IF($A12="","",Бэклог!E12)</f>
        <v>5</v>
      </c>
      <c r="J12" s="140"/>
      <c r="K12" s="236" t="str">
        <f>IF(COUNTIF(Зависимости!$D$5:$D$100,A12)=0,"","◆ "&amp;IFERROR(VLOOKUP(A12,Зависимости!$D$5:$I$100,2,FALSE),"")&amp;" · "&amp;IFERROR(VLOOKUP(A12,Зависимости!$D$5:$I$100,6,FALSE),""))</f>
        <v>◆ Каталог / Контент · Получено</v>
      </c>
    </row>
    <row r="13" spans="1:11" x14ac:dyDescent="0.3">
      <c r="A13" s="119" t="str">
        <f>IF(Бэклог!A13="","",Бэклог!A13)</f>
        <v>T-12</v>
      </c>
      <c r="B13" s="120" t="str">
        <f>IF($A13="","",Бэклог!B13)</f>
        <v>Логирование и метрики</v>
      </c>
      <c r="C13" s="119">
        <f>IF($A13="","",Бэклог!M13)</f>
        <v>2</v>
      </c>
      <c r="D13" s="120" t="str">
        <f>IF($A13="","",Бэклог!C13)</f>
        <v>Новиков А.</v>
      </c>
      <c r="E13" s="119" t="str">
        <f>IF($A13="","",Бэклог!F13)</f>
        <v>To Do</v>
      </c>
      <c r="F13" s="131"/>
      <c r="G13" s="121">
        <f>IF($A13="","",MAX(SUMIF('Дорожная карта'!$A$6:$A$16,C13,'Дорожная карта'!$C$6:$C$16),IF(F13="",0,IFERROR(INDEX($H$5:$H$44,MATCH(F13,$A$5:$A$44,0)),0))))</f>
        <v>46251</v>
      </c>
      <c r="H13" s="121">
        <f t="shared" si="0"/>
        <v>46254</v>
      </c>
      <c r="I13" s="122">
        <f>IF($A13="","",Бэклог!E13)</f>
        <v>3</v>
      </c>
      <c r="J13" s="140"/>
      <c r="K13" s="236" t="str">
        <f>IF(COUNTIF(Зависимости!$D$5:$D$100,A13)=0,"","◆ "&amp;IFERROR(VLOOKUP(A13,Зависимости!$D$5:$I$100,2,FALSE),"")&amp;" · "&amp;IFERROR(VLOOKUP(A13,Зависимости!$D$5:$I$100,6,FALSE),""))</f>
        <v>◆ Data Platform / Аналитика · Заблокировано</v>
      </c>
    </row>
    <row r="14" spans="1:11" x14ac:dyDescent="0.3">
      <c r="A14" s="119" t="str">
        <f>IF(Бэклог!A14="","",Бэклог!A14)</f>
        <v>T-05</v>
      </c>
      <c r="B14" s="120" t="str">
        <f>IF($A14="","",Бэклог!B14)</f>
        <v>Рефакторинг авторизации</v>
      </c>
      <c r="C14" s="119">
        <f>IF($A14="","",Бэклог!M14)</f>
        <v>3</v>
      </c>
      <c r="D14" s="120" t="str">
        <f>IF($A14="","",Бэклог!C14)</f>
        <v>Кузнецов Д.</v>
      </c>
      <c r="E14" s="119" t="str">
        <f>IF($A14="","",Бэклог!F14)</f>
        <v>В работе</v>
      </c>
      <c r="F14" s="131"/>
      <c r="G14" s="121">
        <f>IF($A14="","",MAX(SUMIF('Дорожная карта'!$A$6:$A$16,C14,'Дорожная карта'!$C$6:$C$16),IF(F14="",0,IFERROR(INDEX($H$5:$H$44,MATCH(F14,$A$5:$A$44,0)),0))))</f>
        <v>46265</v>
      </c>
      <c r="H14" s="121">
        <f t="shared" si="0"/>
        <v>46268</v>
      </c>
      <c r="I14" s="122">
        <f>IF($A14="","",Бэклог!E14)</f>
        <v>3</v>
      </c>
      <c r="J14" s="140"/>
      <c r="K14" s="236" t="str">
        <f>IF(COUNTIF(Зависимости!$D$5:$D$100,A14)=0,"","◆ "&amp;IFERROR(VLOOKUP(A14,Зависимости!$D$5:$I$100,2,FALSE),"")&amp;" · "&amp;IFERROR(VLOOKUP(A14,Зависимости!$D$5:$I$100,6,FALSE),""))</f>
        <v/>
      </c>
    </row>
    <row r="15" spans="1:11" x14ac:dyDescent="0.3">
      <c r="A15" s="119" t="str">
        <f>IF(Бэклог!A15="","",Бэклог!A15)</f>
        <v>T-06</v>
      </c>
      <c r="B15" s="120" t="str">
        <f>IF($A15="","",Бэклог!B15)</f>
        <v>Аналитика воронки</v>
      </c>
      <c r="C15" s="119">
        <f>IF($A15="","",Бэклог!M15)</f>
        <v>3</v>
      </c>
      <c r="D15" s="120" t="str">
        <f>IF($A15="","",Бэклог!C15)</f>
        <v>Орлова Е.</v>
      </c>
      <c r="E15" s="119" t="str">
        <f>IF($A15="","",Бэклог!F15)</f>
        <v>To Do</v>
      </c>
      <c r="F15" s="131"/>
      <c r="G15" s="121">
        <f>IF($A15="","",MAX(SUMIF('Дорожная карта'!$A$6:$A$16,C15,'Дорожная карта'!$C$6:$C$16),IF(F15="",0,IFERROR(INDEX($H$5:$H$44,MATCH(F15,$A$5:$A$44,0)),0))))</f>
        <v>46265</v>
      </c>
      <c r="H15" s="121">
        <f t="shared" si="0"/>
        <v>46268</v>
      </c>
      <c r="I15" s="122">
        <f>IF($A15="","",Бэклог!E15)</f>
        <v>3</v>
      </c>
      <c r="J15" s="140"/>
      <c r="K15" s="236" t="str">
        <f>IF(COUNTIF(Зависимости!$D$5:$D$100,A15)=0,"","◆ "&amp;IFERROR(VLOOKUP(A15,Зависимости!$D$5:$I$100,2,FALSE),"")&amp;" · "&amp;IFERROR(VLOOKUP(A15,Зависимости!$D$5:$I$100,6,FALSE),""))</f>
        <v/>
      </c>
    </row>
    <row r="16" spans="1:11" x14ac:dyDescent="0.3">
      <c r="A16" s="119" t="str">
        <f>IF(Бэклог!A16="","",Бэклог!A16)</f>
        <v>T-07</v>
      </c>
      <c r="B16" s="120" t="str">
        <f>IF($A16="","",Бэклог!B16)</f>
        <v>Регресс-тестирование релиза</v>
      </c>
      <c r="C16" s="119">
        <f>IF($A16="","",Бэклог!M16)</f>
        <v>3</v>
      </c>
      <c r="D16" s="120" t="str">
        <f>IF($A16="","",Бэклог!C16)</f>
        <v>Сидоров К.</v>
      </c>
      <c r="E16" s="119" t="str">
        <f>IF($A16="","",Бэклог!F16)</f>
        <v>To Do</v>
      </c>
      <c r="F16" s="131" t="s">
        <v>394</v>
      </c>
      <c r="G16" s="121">
        <f>IF($A16="","",MAX(SUMIF('Дорожная карта'!$A$6:$A$16,C16,'Дорожная карта'!$C$6:$C$16),IF(F16="",0,IFERROR(INDEX($H$5:$H$44,MATCH(F16,$A$5:$A$44,0)),0))))</f>
        <v>46265</v>
      </c>
      <c r="H16" s="121">
        <f t="shared" si="0"/>
        <v>46270</v>
      </c>
      <c r="I16" s="122">
        <f>IF($A16="","",Бэклог!E16)</f>
        <v>5</v>
      </c>
      <c r="J16" s="140"/>
      <c r="K16" s="236" t="str">
        <f>IF(COUNTIF(Зависимости!$D$5:$D$100,A16)=0,"","◆ "&amp;IFERROR(VLOOKUP(A16,Зависимости!$D$5:$I$100,2,FALSE),"")&amp;" · "&amp;IFERROR(VLOOKUP(A16,Зависимости!$D$5:$I$100,6,FALSE),""))</f>
        <v/>
      </c>
    </row>
    <row r="17" spans="1:11" x14ac:dyDescent="0.3">
      <c r="A17" s="119" t="str">
        <f>IF(Бэклог!A17="","",Бэклог!A17)</f>
        <v>T-13</v>
      </c>
      <c r="B17" s="120" t="str">
        <f>IF($A17="","",Бэклог!B17)</f>
        <v>Экран оплаты</v>
      </c>
      <c r="C17" s="119">
        <f>IF($A17="","",Бэклог!M17)</f>
        <v>3</v>
      </c>
      <c r="D17" s="120" t="str">
        <f>IF($A17="","",Бэклог!C17)</f>
        <v>Волкова Н.</v>
      </c>
      <c r="E17" s="119" t="str">
        <f>IF($A17="","",Бэклог!F17)</f>
        <v>В работе</v>
      </c>
      <c r="F17" s="131" t="s">
        <v>395</v>
      </c>
      <c r="G17" s="121">
        <f>IF($A17="","",MAX(SUMIF('Дорожная карта'!$A$6:$A$16,C17,'Дорожная карта'!$C$6:$C$16),IF(F17="",0,IFERROR(INDEX($H$5:$H$44,MATCH(F17,$A$5:$A$44,0)),0))))</f>
        <v>46265</v>
      </c>
      <c r="H17" s="121">
        <f t="shared" si="0"/>
        <v>46273</v>
      </c>
      <c r="I17" s="122">
        <f>IF($A17="","",Бэклог!E17)</f>
        <v>8</v>
      </c>
      <c r="J17" s="139" t="s">
        <v>392</v>
      </c>
      <c r="K17" s="236" t="str">
        <f>IF(COUNTIF(Зависимости!$D$5:$D$100,A17)=0,"","◆ "&amp;IFERROR(VLOOKUP(A17,Зависимости!$D$5:$I$100,2,FALSE),"")&amp;" · "&amp;IFERROR(VLOOKUP(A17,Зависимости!$D$5:$I$100,6,FALSE),""))</f>
        <v/>
      </c>
    </row>
    <row r="18" spans="1:11" x14ac:dyDescent="0.3">
      <c r="A18" s="119" t="str">
        <f>IF(Бэклог!A18="","",Бэклог!A18)</f>
        <v>T-14</v>
      </c>
      <c r="B18" s="120" t="str">
        <f>IF($A18="","",Бэклог!B18)</f>
        <v>Вебхуки платежей</v>
      </c>
      <c r="C18" s="119">
        <f>IF($A18="","",Бэклог!M18)</f>
        <v>3</v>
      </c>
      <c r="D18" s="120" t="str">
        <f>IF($A18="","",Бэклог!C18)</f>
        <v>Иванов А.</v>
      </c>
      <c r="E18" s="119" t="str">
        <f>IF($A18="","",Бэклог!F18)</f>
        <v>To Do</v>
      </c>
      <c r="F18" s="131" t="s">
        <v>396</v>
      </c>
      <c r="G18" s="121">
        <f>IF($A18="","",MAX(SUMIF('Дорожная карта'!$A$6:$A$16,C18,'Дорожная карта'!$C$6:$C$16),IF(F18="",0,IFERROR(INDEX($H$5:$H$44,MATCH(F18,$A$5:$A$44,0)),0))))</f>
        <v>46273</v>
      </c>
      <c r="H18" s="121">
        <f t="shared" si="0"/>
        <v>46278</v>
      </c>
      <c r="I18" s="122">
        <f>IF($A18="","",Бэклог!E18)</f>
        <v>5</v>
      </c>
      <c r="J18" s="139" t="s">
        <v>392</v>
      </c>
      <c r="K18" s="236" t="str">
        <f>IF(COUNTIF(Зависимости!$D$5:$D$100,A18)=0,"","◆ "&amp;IFERROR(VLOOKUP(A18,Зависимости!$D$5:$I$100,2,FALSE),"")&amp;" · "&amp;IFERROR(VLOOKUP(A18,Зависимости!$D$5:$I$100,6,FALSE),""))</f>
        <v/>
      </c>
    </row>
    <row r="19" spans="1:11" x14ac:dyDescent="0.3">
      <c r="A19" s="119" t="str">
        <f>IF(Бэклог!A19="","",Бэклог!A19)</f>
        <v>T-15</v>
      </c>
      <c r="B19" s="120" t="str">
        <f>IF($A19="","",Бэклог!B19)</f>
        <v>История заказов</v>
      </c>
      <c r="C19" s="119">
        <f>IF($A19="","",Бэклог!M19)</f>
        <v>3</v>
      </c>
      <c r="D19" s="120" t="str">
        <f>IF($A19="","",Бэклог!C19)</f>
        <v>Соколов Р.</v>
      </c>
      <c r="E19" s="119" t="str">
        <f>IF($A19="","",Бэклог!F19)</f>
        <v>To Do</v>
      </c>
      <c r="F19" s="131"/>
      <c r="G19" s="121">
        <f>IF($A19="","",MAX(SUMIF('Дорожная карта'!$A$6:$A$16,C19,'Дорожная карта'!$C$6:$C$16),IF(F19="",0,IFERROR(INDEX($H$5:$H$44,MATCH(F19,$A$5:$A$44,0)),0))))</f>
        <v>46265</v>
      </c>
      <c r="H19" s="121">
        <f t="shared" si="0"/>
        <v>46270</v>
      </c>
      <c r="I19" s="122">
        <f>IF($A19="","",Бэклог!E19)</f>
        <v>5</v>
      </c>
      <c r="J19" s="140"/>
      <c r="K19" s="236" t="str">
        <f>IF(COUNTIF(Зависимости!$D$5:$D$100,A19)=0,"","◆ "&amp;IFERROR(VLOOKUP(A19,Зависимости!$D$5:$I$100,2,FALSE),"")&amp;" · "&amp;IFERROR(VLOOKUP(A19,Зависимости!$D$5:$I$100,6,FALSE),""))</f>
        <v/>
      </c>
    </row>
    <row r="20" spans="1:11" x14ac:dyDescent="0.3">
      <c r="A20" s="119" t="str">
        <f>IF(Бэклог!A20="","",Бэклог!A20)</f>
        <v>T-16</v>
      </c>
      <c r="B20" s="120" t="str">
        <f>IF($A20="","",Бэклог!B20)</f>
        <v>Личный кабинет</v>
      </c>
      <c r="C20" s="119">
        <f>IF($A20="","",Бэклог!M20)</f>
        <v>4</v>
      </c>
      <c r="D20" s="120" t="str">
        <f>IF($A20="","",Бэклог!C20)</f>
        <v>Волкова Н.</v>
      </c>
      <c r="E20" s="119" t="str">
        <f>IF($A20="","",Бэклог!F20)</f>
        <v>To Do</v>
      </c>
      <c r="F20" s="131" t="s">
        <v>397</v>
      </c>
      <c r="G20" s="121">
        <f>IF($A20="","",MAX(SUMIF('Дорожная карта'!$A$6:$A$16,C20,'Дорожная карта'!$C$6:$C$16),IF(F20="",0,IFERROR(INDEX($H$5:$H$44,MATCH(F20,$A$5:$A$44,0)),0))))</f>
        <v>46279</v>
      </c>
      <c r="H20" s="121">
        <f t="shared" si="0"/>
        <v>46287</v>
      </c>
      <c r="I20" s="122">
        <f>IF($A20="","",Бэклог!E20)</f>
        <v>8</v>
      </c>
      <c r="J20" s="140"/>
      <c r="K20" s="236" t="str">
        <f>IF(COUNTIF(Зависимости!$D$5:$D$100,A20)=0,"","◆ "&amp;IFERROR(VLOOKUP(A20,Зависимости!$D$5:$I$100,2,FALSE),"")&amp;" · "&amp;IFERROR(VLOOKUP(A20,Зависимости!$D$5:$I$100,6,FALSE),""))</f>
        <v/>
      </c>
    </row>
    <row r="21" spans="1:11" x14ac:dyDescent="0.3">
      <c r="A21" s="119" t="str">
        <f>IF(Бэклог!A21="","",Бэклог!A21)</f>
        <v>T-17</v>
      </c>
      <c r="B21" s="120" t="str">
        <f>IF($A21="","",Бэклог!B21)</f>
        <v>Фильтры каталога</v>
      </c>
      <c r="C21" s="119">
        <f>IF($A21="","",Бэклог!M21)</f>
        <v>4</v>
      </c>
      <c r="D21" s="120" t="str">
        <f>IF($A21="","",Бэклог!C21)</f>
        <v>Морозов И.</v>
      </c>
      <c r="E21" s="119" t="str">
        <f>IF($A21="","",Бэклог!F21)</f>
        <v>To Do</v>
      </c>
      <c r="F21" s="131" t="s">
        <v>398</v>
      </c>
      <c r="G21" s="121">
        <f>IF($A21="","",MAX(SUMIF('Дорожная карта'!$A$6:$A$16,C21,'Дорожная карта'!$C$6:$C$16),IF(F21="",0,IFERROR(INDEX($H$5:$H$44,MATCH(F21,$A$5:$A$44,0)),0))))</f>
        <v>46287</v>
      </c>
      <c r="H21" s="121">
        <f t="shared" si="0"/>
        <v>46293</v>
      </c>
      <c r="I21" s="122">
        <f>IF($A21="","",Бэклог!E21)</f>
        <v>6</v>
      </c>
      <c r="J21" s="140"/>
      <c r="K21" s="236" t="str">
        <f>IF(COUNTIF(Зависимости!$D$5:$D$100,A21)=0,"","◆ "&amp;IFERROR(VLOOKUP(A21,Зависимости!$D$5:$I$100,2,FALSE),"")&amp;" · "&amp;IFERROR(VLOOKUP(A21,Зависимости!$D$5:$I$100,6,FALSE),""))</f>
        <v/>
      </c>
    </row>
    <row r="22" spans="1:11" x14ac:dyDescent="0.3">
      <c r="A22" s="119" t="str">
        <f>IF(Бэклог!A22="","",Бэклог!A22)</f>
        <v>T-18</v>
      </c>
      <c r="B22" s="120" t="str">
        <f>IF($A22="","",Бэклог!B22)</f>
        <v>Отзывы и рейтинги</v>
      </c>
      <c r="C22" s="119">
        <f>IF($A22="","",Бэклог!M22)</f>
        <v>4</v>
      </c>
      <c r="D22" s="120" t="str">
        <f>IF($A22="","",Бэклог!C22)</f>
        <v>Лебедева Т.</v>
      </c>
      <c r="E22" s="119" t="str">
        <f>IF($A22="","",Бэклог!F22)</f>
        <v>To Do</v>
      </c>
      <c r="F22" s="131"/>
      <c r="G22" s="121">
        <f>IF($A22="","",MAX(SUMIF('Дорожная карта'!$A$6:$A$16,C22,'Дорожная карта'!$C$6:$C$16),IF(F22="",0,IFERROR(INDEX($H$5:$H$44,MATCH(F22,$A$5:$A$44,0)),0))))</f>
        <v>46279</v>
      </c>
      <c r="H22" s="121">
        <f t="shared" si="0"/>
        <v>46284</v>
      </c>
      <c r="I22" s="122">
        <f>IF($A22="","",Бэклог!E22)</f>
        <v>5</v>
      </c>
      <c r="J22" s="140"/>
      <c r="K22" s="236" t="str">
        <f>IF(COUNTIF(Зависимости!$D$5:$D$100,A22)=0,"","◆ "&amp;IFERROR(VLOOKUP(A22,Зависимости!$D$5:$I$100,2,FALSE),"")&amp;" · "&amp;IFERROR(VLOOKUP(A22,Зависимости!$D$5:$I$100,6,FALSE),""))</f>
        <v/>
      </c>
    </row>
    <row r="23" spans="1:11" ht="27.6" customHeight="1" x14ac:dyDescent="0.3">
      <c r="A23" s="119" t="str">
        <f>IF(Бэклог!A23="","",Бэклог!A23)</f>
        <v>T-19</v>
      </c>
      <c r="B23" s="120" t="str">
        <f>IF($A23="","",Бэклог!B23)</f>
        <v>Рекомендации</v>
      </c>
      <c r="C23" s="119">
        <f>IF($A23="","",Бэклог!M23)</f>
        <v>5</v>
      </c>
      <c r="D23" s="120" t="str">
        <f>IF($A23="","",Бэклог!C23)</f>
        <v>Фёдорова О.</v>
      </c>
      <c r="E23" s="119" t="str">
        <f>IF($A23="","",Бэклог!F23)</f>
        <v>To Do</v>
      </c>
      <c r="F23" s="131"/>
      <c r="G23" s="121">
        <f>IF($A23="","",MAX(SUMIF('Дорожная карта'!$A$6:$A$16,C23,'Дорожная карта'!$C$6:$C$16),IF(F23="",0,IFERROR(INDEX($H$5:$H$44,MATCH(F23,$A$5:$A$44,0)),0))))</f>
        <v>46293</v>
      </c>
      <c r="H23" s="121">
        <f t="shared" si="0"/>
        <v>46301</v>
      </c>
      <c r="I23" s="122">
        <f>IF($A23="","",Бэклог!E23)</f>
        <v>8</v>
      </c>
      <c r="J23" s="140"/>
      <c r="K23" s="236" t="str">
        <f>IF(COUNTIF(Зависимости!$D$5:$D$100,A23)=0,"","◆ "&amp;IFERROR(VLOOKUP(A23,Зависимости!$D$5:$I$100,2,FALSE),"")&amp;" · "&amp;IFERROR(VLOOKUP(A23,Зависимости!$D$5:$I$100,6,FALSE),""))</f>
        <v/>
      </c>
    </row>
    <row r="24" spans="1:11" x14ac:dyDescent="0.3">
      <c r="A24" s="119" t="str">
        <f>IF(Бэклог!A24="","",Бэклог!A24)</f>
        <v>T-20</v>
      </c>
      <c r="B24" s="120" t="str">
        <f>IF($A24="","",Бэклог!B24)</f>
        <v>A/B тесты чекаута</v>
      </c>
      <c r="C24" s="119">
        <f>IF($A24="","",Бэклог!M24)</f>
        <v>5</v>
      </c>
      <c r="D24" s="120" t="str">
        <f>IF($A24="","",Бэклог!C24)</f>
        <v>Морозов И.</v>
      </c>
      <c r="E24" s="119" t="str">
        <f>IF($A24="","",Бэклог!F24)</f>
        <v>To Do</v>
      </c>
      <c r="F24" s="131"/>
      <c r="G24" s="121">
        <f>IF($A24="","",MAX(SUMIF('Дорожная карта'!$A$6:$A$16,C24,'Дорожная карта'!$C$6:$C$16),IF(F24="",0,IFERROR(INDEX($H$5:$H$44,MATCH(F24,$A$5:$A$44,0)),0))))</f>
        <v>46293</v>
      </c>
      <c r="H24" s="121">
        <f t="shared" si="0"/>
        <v>46298</v>
      </c>
      <c r="I24" s="122">
        <f>IF($A24="","",Бэклог!E24)</f>
        <v>5</v>
      </c>
      <c r="J24" s="140"/>
      <c r="K24" s="236" t="str">
        <f>IF(COUNTIF(Зависимости!$D$5:$D$100,A24)=0,"","◆ "&amp;IFERROR(VLOOKUP(A24,Зависимости!$D$5:$I$100,2,FALSE),"")&amp;" · "&amp;IFERROR(VLOOKUP(A24,Зависимости!$D$5:$I$100,6,FALSE),""))</f>
        <v/>
      </c>
    </row>
    <row r="25" spans="1:11" x14ac:dyDescent="0.3">
      <c r="A25" s="119" t="str">
        <f>IF(Бэклог!A25="","",Бэклог!A25)</f>
        <v/>
      </c>
      <c r="B25" s="120" t="str">
        <f>IF($A25="","",Бэклог!B25)</f>
        <v/>
      </c>
      <c r="C25" s="119" t="str">
        <f>IF($A25="","",Бэклог!M25)</f>
        <v/>
      </c>
      <c r="D25" s="120" t="str">
        <f>IF($A25="","",Бэклог!C25)</f>
        <v/>
      </c>
      <c r="E25" s="119" t="str">
        <f>IF($A25="","",Бэклог!F25)</f>
        <v/>
      </c>
      <c r="F25" s="131"/>
      <c r="G25" s="121" t="str">
        <f>IF($A25="","",MAX(SUMIF('Дорожная карта'!$A$6:$A$16,C25,'Дорожная карта'!$C$6:$C$16),IF(F25="",0,IFERROR(INDEX($H$5:$H$44,MATCH(F25,$A$5:$A$44,0)),0))))</f>
        <v/>
      </c>
      <c r="H25" s="121" t="str">
        <f t="shared" si="0"/>
        <v/>
      </c>
      <c r="I25" s="122" t="str">
        <f>IF($A25="","",Бэклог!E25)</f>
        <v/>
      </c>
      <c r="J25" s="140"/>
    </row>
    <row r="26" spans="1:11" x14ac:dyDescent="0.3">
      <c r="A26" s="119" t="str">
        <f>IF(Бэклог!A26="","",Бэклог!A26)</f>
        <v/>
      </c>
      <c r="B26" s="120" t="str">
        <f>IF($A26="","",Бэклог!B26)</f>
        <v/>
      </c>
      <c r="C26" s="119" t="str">
        <f>IF($A26="","",Бэклог!M26)</f>
        <v/>
      </c>
      <c r="D26" s="120" t="str">
        <f>IF($A26="","",Бэклог!C26)</f>
        <v/>
      </c>
      <c r="E26" s="119" t="str">
        <f>IF($A26="","",Бэклог!F26)</f>
        <v/>
      </c>
      <c r="F26" s="131"/>
      <c r="G26" s="121" t="str">
        <f>IF($A26="","",MAX(SUMIF('Дорожная карта'!$A$6:$A$16,C26,'Дорожная карта'!$C$6:$C$16),IF(F26="",0,IFERROR(INDEX($H$5:$H$44,MATCH(F26,$A$5:$A$44,0)),0))))</f>
        <v/>
      </c>
      <c r="H26" s="121" t="str">
        <f t="shared" si="0"/>
        <v/>
      </c>
      <c r="I26" s="122" t="str">
        <f>IF($A26="","",Бэклог!E26)</f>
        <v/>
      </c>
      <c r="J26" s="140"/>
    </row>
    <row r="27" spans="1:11" x14ac:dyDescent="0.3">
      <c r="A27" s="119" t="str">
        <f>IF(Бэклог!A27="","",Бэклог!A27)</f>
        <v/>
      </c>
      <c r="B27" s="120" t="str">
        <f>IF($A27="","",Бэклог!B27)</f>
        <v/>
      </c>
      <c r="C27" s="119" t="str">
        <f>IF($A27="","",Бэклог!M27)</f>
        <v/>
      </c>
      <c r="D27" s="120" t="str">
        <f>IF($A27="","",Бэклог!C27)</f>
        <v/>
      </c>
      <c r="E27" s="119" t="str">
        <f>IF($A27="","",Бэклог!F27)</f>
        <v/>
      </c>
      <c r="F27" s="131"/>
      <c r="G27" s="121" t="str">
        <f>IF($A27="","",MAX(SUMIF('Дорожная карта'!$A$6:$A$16,C27,'Дорожная карта'!$C$6:$C$16),IF(F27="",0,IFERROR(INDEX($H$5:$H$44,MATCH(F27,$A$5:$A$44,0)),0))))</f>
        <v/>
      </c>
      <c r="H27" s="121" t="str">
        <f t="shared" si="0"/>
        <v/>
      </c>
      <c r="I27" s="122" t="str">
        <f>IF($A27="","",Бэклог!E27)</f>
        <v/>
      </c>
      <c r="J27" s="140"/>
    </row>
    <row r="28" spans="1:11" x14ac:dyDescent="0.3">
      <c r="A28" s="119" t="str">
        <f>IF(Бэклог!A28="","",Бэклог!A28)</f>
        <v/>
      </c>
      <c r="B28" s="120" t="str">
        <f>IF($A28="","",Бэклог!B28)</f>
        <v/>
      </c>
      <c r="C28" s="119" t="str">
        <f>IF($A28="","",Бэклог!M28)</f>
        <v/>
      </c>
      <c r="D28" s="120" t="str">
        <f>IF($A28="","",Бэклог!C28)</f>
        <v/>
      </c>
      <c r="E28" s="119" t="str">
        <f>IF($A28="","",Бэклог!F28)</f>
        <v/>
      </c>
      <c r="F28" s="131"/>
      <c r="G28" s="121" t="str">
        <f>IF($A28="","",MAX(SUMIF('Дорожная карта'!$A$6:$A$16,C28,'Дорожная карта'!$C$6:$C$16),IF(F28="",0,IFERROR(INDEX($H$5:$H$44,MATCH(F28,$A$5:$A$44,0)),0))))</f>
        <v/>
      </c>
      <c r="H28" s="121" t="str">
        <f t="shared" si="0"/>
        <v/>
      </c>
      <c r="I28" s="122" t="str">
        <f>IF($A28="","",Бэклог!E28)</f>
        <v/>
      </c>
      <c r="J28" s="140"/>
    </row>
    <row r="29" spans="1:11" x14ac:dyDescent="0.3">
      <c r="A29" s="119" t="str">
        <f>IF(Бэклог!A29="","",Бэклог!A29)</f>
        <v/>
      </c>
      <c r="B29" s="120" t="str">
        <f>IF($A29="","",Бэклог!B29)</f>
        <v/>
      </c>
      <c r="C29" s="119" t="str">
        <f>IF($A29="","",Бэклог!M29)</f>
        <v/>
      </c>
      <c r="D29" s="120" t="str">
        <f>IF($A29="","",Бэклог!C29)</f>
        <v/>
      </c>
      <c r="E29" s="119" t="str">
        <f>IF($A29="","",Бэклог!F29)</f>
        <v/>
      </c>
      <c r="F29" s="131"/>
      <c r="G29" s="121" t="str">
        <f>IF($A29="","",MAX(SUMIF('Дорожная карта'!$A$6:$A$16,C29,'Дорожная карта'!$C$6:$C$16),IF(F29="",0,IFERROR(INDEX($H$5:$H$44,MATCH(F29,$A$5:$A$44,0)),0))))</f>
        <v/>
      </c>
      <c r="H29" s="121" t="str">
        <f t="shared" si="0"/>
        <v/>
      </c>
      <c r="I29" s="122" t="str">
        <f>IF($A29="","",Бэклог!E29)</f>
        <v/>
      </c>
      <c r="J29" s="140"/>
    </row>
    <row r="30" spans="1:11" x14ac:dyDescent="0.3">
      <c r="A30" s="119" t="str">
        <f>IF(Бэклог!A30="","",Бэклог!A30)</f>
        <v/>
      </c>
      <c r="B30" s="120" t="str">
        <f>IF($A30="","",Бэклог!B30)</f>
        <v/>
      </c>
      <c r="C30" s="119" t="str">
        <f>IF($A30="","",Бэклог!M30)</f>
        <v/>
      </c>
      <c r="D30" s="120" t="str">
        <f>IF($A30="","",Бэклог!C30)</f>
        <v/>
      </c>
      <c r="E30" s="119" t="str">
        <f>IF($A30="","",Бэклог!F30)</f>
        <v/>
      </c>
      <c r="F30" s="131"/>
      <c r="G30" s="121" t="str">
        <f>IF($A30="","",MAX(SUMIF('Дорожная карта'!$A$6:$A$16,C30,'Дорожная карта'!$C$6:$C$16),IF(F30="",0,IFERROR(INDEX($H$5:$H$44,MATCH(F30,$A$5:$A$44,0)),0))))</f>
        <v/>
      </c>
      <c r="H30" s="121" t="str">
        <f t="shared" si="0"/>
        <v/>
      </c>
      <c r="I30" s="122" t="str">
        <f>IF($A30="","",Бэклог!E30)</f>
        <v/>
      </c>
      <c r="J30" s="140"/>
    </row>
    <row r="31" spans="1:11" x14ac:dyDescent="0.3">
      <c r="A31" s="119" t="str">
        <f>IF(Бэклог!A31="","",Бэклог!A31)</f>
        <v/>
      </c>
      <c r="B31" s="120" t="str">
        <f>IF($A31="","",Бэклог!B31)</f>
        <v/>
      </c>
      <c r="C31" s="119" t="str">
        <f>IF($A31="","",Бэклог!M31)</f>
        <v/>
      </c>
      <c r="D31" s="120" t="str">
        <f>IF($A31="","",Бэклог!C31)</f>
        <v/>
      </c>
      <c r="E31" s="119" t="str">
        <f>IF($A31="","",Бэклог!F31)</f>
        <v/>
      </c>
      <c r="F31" s="131"/>
      <c r="G31" s="121" t="str">
        <f>IF($A31="","",MAX(SUMIF('Дорожная карта'!$A$6:$A$16,C31,'Дорожная карта'!$C$6:$C$16),IF(F31="",0,IFERROR(INDEX($H$5:$H$44,MATCH(F31,$A$5:$A$44,0)),0))))</f>
        <v/>
      </c>
      <c r="H31" s="121" t="str">
        <f t="shared" si="0"/>
        <v/>
      </c>
      <c r="I31" s="122" t="str">
        <f>IF($A31="","",Бэклог!E31)</f>
        <v/>
      </c>
      <c r="J31" s="140"/>
    </row>
    <row r="32" spans="1:11" x14ac:dyDescent="0.3">
      <c r="A32" s="119" t="str">
        <f>IF(Бэклог!A32="","",Бэклог!A32)</f>
        <v/>
      </c>
      <c r="B32" s="120" t="str">
        <f>IF($A32="","",Бэклог!B32)</f>
        <v/>
      </c>
      <c r="C32" s="119" t="str">
        <f>IF($A32="","",Бэклог!M32)</f>
        <v/>
      </c>
      <c r="D32" s="120" t="str">
        <f>IF($A32="","",Бэклог!C32)</f>
        <v/>
      </c>
      <c r="E32" s="119" t="str">
        <f>IF($A32="","",Бэклог!F32)</f>
        <v/>
      </c>
      <c r="F32" s="131"/>
      <c r="G32" s="121" t="str">
        <f>IF($A32="","",MAX(SUMIF('Дорожная карта'!$A$6:$A$16,C32,'Дорожная карта'!$C$6:$C$16),IF(F32="",0,IFERROR(INDEX($H$5:$H$44,MATCH(F32,$A$5:$A$44,0)),0))))</f>
        <v/>
      </c>
      <c r="H32" s="121" t="str">
        <f t="shared" si="0"/>
        <v/>
      </c>
      <c r="I32" s="122" t="str">
        <f>IF($A32="","",Бэклог!E32)</f>
        <v/>
      </c>
      <c r="J32" s="140"/>
    </row>
    <row r="33" spans="1:10" x14ac:dyDescent="0.3">
      <c r="A33" s="119" t="str">
        <f>IF(Бэклог!A33="","",Бэклог!A33)</f>
        <v/>
      </c>
      <c r="B33" s="120" t="str">
        <f>IF($A33="","",Бэклог!B33)</f>
        <v/>
      </c>
      <c r="C33" s="119" t="str">
        <f>IF($A33="","",Бэклог!M33)</f>
        <v/>
      </c>
      <c r="D33" s="120" t="str">
        <f>IF($A33="","",Бэклог!C33)</f>
        <v/>
      </c>
      <c r="E33" s="119" t="str">
        <f>IF($A33="","",Бэклог!F33)</f>
        <v/>
      </c>
      <c r="F33" s="131"/>
      <c r="G33" s="121" t="str">
        <f>IF($A33="","",MAX(SUMIF('Дорожная карта'!$A$6:$A$16,C33,'Дорожная карта'!$C$6:$C$16),IF(F33="",0,IFERROR(INDEX($H$5:$H$44,MATCH(F33,$A$5:$A$44,0)),0))))</f>
        <v/>
      </c>
      <c r="H33" s="121" t="str">
        <f t="shared" si="0"/>
        <v/>
      </c>
      <c r="I33" s="122" t="str">
        <f>IF($A33="","",Бэклог!E33)</f>
        <v/>
      </c>
      <c r="J33" s="140"/>
    </row>
    <row r="34" spans="1:10" x14ac:dyDescent="0.3">
      <c r="A34" s="119" t="str">
        <f>IF(Бэклог!A34="","",Бэклог!A34)</f>
        <v/>
      </c>
      <c r="B34" s="120" t="str">
        <f>IF($A34="","",Бэклог!B34)</f>
        <v/>
      </c>
      <c r="C34" s="119" t="str">
        <f>IF($A34="","",Бэклог!M34)</f>
        <v/>
      </c>
      <c r="D34" s="120" t="str">
        <f>IF($A34="","",Бэклог!C34)</f>
        <v/>
      </c>
      <c r="E34" s="119" t="str">
        <f>IF($A34="","",Бэклог!F34)</f>
        <v/>
      </c>
      <c r="F34" s="131"/>
      <c r="G34" s="121" t="str">
        <f>IF($A34="","",MAX(SUMIF('Дорожная карта'!$A$6:$A$16,C34,'Дорожная карта'!$C$6:$C$16),IF(F34="",0,IFERROR(INDEX($H$5:$H$44,MATCH(F34,$A$5:$A$44,0)),0))))</f>
        <v/>
      </c>
      <c r="H34" s="121" t="str">
        <f t="shared" si="0"/>
        <v/>
      </c>
      <c r="I34" s="122" t="str">
        <f>IF($A34="","",Бэклог!E34)</f>
        <v/>
      </c>
      <c r="J34" s="140"/>
    </row>
    <row r="35" spans="1:10" x14ac:dyDescent="0.3">
      <c r="A35" s="119" t="str">
        <f>IF(Бэклог!A35="","",Бэклог!A35)</f>
        <v/>
      </c>
      <c r="B35" s="120" t="str">
        <f>IF($A35="","",Бэклог!B35)</f>
        <v/>
      </c>
      <c r="C35" s="119" t="str">
        <f>IF($A35="","",Бэклог!M35)</f>
        <v/>
      </c>
      <c r="D35" s="120" t="str">
        <f>IF($A35="","",Бэклог!C35)</f>
        <v/>
      </c>
      <c r="E35" s="119" t="str">
        <f>IF($A35="","",Бэклог!F35)</f>
        <v/>
      </c>
      <c r="F35" s="131"/>
      <c r="G35" s="121" t="str">
        <f>IF($A35="","",MAX(SUMIF('Дорожная карта'!$A$6:$A$16,C35,'Дорожная карта'!$C$6:$C$16),IF(F35="",0,IFERROR(INDEX($H$5:$H$44,MATCH(F35,$A$5:$A$44,0)),0))))</f>
        <v/>
      </c>
      <c r="H35" s="121" t="str">
        <f t="shared" si="0"/>
        <v/>
      </c>
      <c r="I35" s="122" t="str">
        <f>IF($A35="","",Бэклог!E35)</f>
        <v/>
      </c>
      <c r="J35" s="140"/>
    </row>
    <row r="36" spans="1:10" x14ac:dyDescent="0.3">
      <c r="A36" s="119" t="str">
        <f>IF(Бэклог!A36="","",Бэклог!A36)</f>
        <v/>
      </c>
      <c r="B36" s="120" t="str">
        <f>IF($A36="","",Бэклог!B36)</f>
        <v/>
      </c>
      <c r="C36" s="119" t="str">
        <f>IF($A36="","",Бэклог!M36)</f>
        <v/>
      </c>
      <c r="D36" s="120" t="str">
        <f>IF($A36="","",Бэклог!C36)</f>
        <v/>
      </c>
      <c r="E36" s="119" t="str">
        <f>IF($A36="","",Бэклог!F36)</f>
        <v/>
      </c>
      <c r="F36" s="131"/>
      <c r="G36" s="121" t="str">
        <f>IF($A36="","",MAX(SUMIF('Дорожная карта'!$A$6:$A$16,C36,'Дорожная карта'!$C$6:$C$16),IF(F36="",0,IFERROR(INDEX($H$5:$H$44,MATCH(F36,$A$5:$A$44,0)),0))))</f>
        <v/>
      </c>
      <c r="H36" s="121" t="str">
        <f t="shared" si="0"/>
        <v/>
      </c>
      <c r="I36" s="122" t="str">
        <f>IF($A36="","",Бэклог!E36)</f>
        <v/>
      </c>
      <c r="J36" s="140"/>
    </row>
    <row r="37" spans="1:10" x14ac:dyDescent="0.3">
      <c r="A37" s="119" t="str">
        <f>IF(Бэклог!A37="","",Бэклог!A37)</f>
        <v/>
      </c>
      <c r="B37" s="120" t="str">
        <f>IF($A37="","",Бэклог!B37)</f>
        <v/>
      </c>
      <c r="C37" s="119" t="str">
        <f>IF($A37="","",Бэклог!M37)</f>
        <v/>
      </c>
      <c r="D37" s="120" t="str">
        <f>IF($A37="","",Бэклог!C37)</f>
        <v/>
      </c>
      <c r="E37" s="119" t="str">
        <f>IF($A37="","",Бэклог!F37)</f>
        <v/>
      </c>
      <c r="F37" s="131"/>
      <c r="G37" s="121" t="str">
        <f>IF($A37="","",MAX(SUMIF('Дорожная карта'!$A$6:$A$16,C37,'Дорожная карта'!$C$6:$C$16),IF(F37="",0,IFERROR(INDEX($H$5:$H$44,MATCH(F37,$A$5:$A$44,0)),0))))</f>
        <v/>
      </c>
      <c r="H37" s="121" t="str">
        <f t="shared" si="0"/>
        <v/>
      </c>
      <c r="I37" s="122" t="str">
        <f>IF($A37="","",Бэклог!E37)</f>
        <v/>
      </c>
      <c r="J37" s="140"/>
    </row>
    <row r="38" spans="1:10" x14ac:dyDescent="0.3">
      <c r="A38" s="119" t="str">
        <f>IF(Бэклог!A38="","",Бэклог!A38)</f>
        <v/>
      </c>
      <c r="B38" s="120" t="str">
        <f>IF($A38="","",Бэклог!B38)</f>
        <v/>
      </c>
      <c r="C38" s="119" t="str">
        <f>IF($A38="","",Бэклог!M38)</f>
        <v/>
      </c>
      <c r="D38" s="120" t="str">
        <f>IF($A38="","",Бэклог!C38)</f>
        <v/>
      </c>
      <c r="E38" s="119" t="str">
        <f>IF($A38="","",Бэклог!F38)</f>
        <v/>
      </c>
      <c r="F38" s="131"/>
      <c r="G38" s="121" t="str">
        <f>IF($A38="","",MAX(SUMIF('Дорожная карта'!$A$6:$A$16,C38,'Дорожная карта'!$C$6:$C$16),IF(F38="",0,IFERROR(INDEX($H$5:$H$44,MATCH(F38,$A$5:$A$44,0)),0))))</f>
        <v/>
      </c>
      <c r="H38" s="121" t="str">
        <f t="shared" si="0"/>
        <v/>
      </c>
      <c r="I38" s="122" t="str">
        <f>IF($A38="","",Бэклог!E38)</f>
        <v/>
      </c>
      <c r="J38" s="140"/>
    </row>
    <row r="39" spans="1:10" x14ac:dyDescent="0.3">
      <c r="A39" s="119" t="str">
        <f>IF(Бэклог!A39="","",Бэклог!A39)</f>
        <v/>
      </c>
      <c r="B39" s="120" t="str">
        <f>IF($A39="","",Бэклог!B39)</f>
        <v/>
      </c>
      <c r="C39" s="119" t="str">
        <f>IF($A39="","",Бэклог!M39)</f>
        <v/>
      </c>
      <c r="D39" s="120" t="str">
        <f>IF($A39="","",Бэклог!C39)</f>
        <v/>
      </c>
      <c r="E39" s="119" t="str">
        <f>IF($A39="","",Бэклог!F39)</f>
        <v/>
      </c>
      <c r="F39" s="131"/>
      <c r="G39" s="121" t="str">
        <f>IF($A39="","",MAX(SUMIF('Дорожная карта'!$A$6:$A$16,C39,'Дорожная карта'!$C$6:$C$16),IF(F39="",0,IFERROR(INDEX($H$5:$H$44,MATCH(F39,$A$5:$A$44,0)),0))))</f>
        <v/>
      </c>
      <c r="H39" s="121" t="str">
        <f t="shared" si="0"/>
        <v/>
      </c>
      <c r="I39" s="122" t="str">
        <f>IF($A39="","",Бэклог!E39)</f>
        <v/>
      </c>
      <c r="J39" s="140"/>
    </row>
    <row r="40" spans="1:10" x14ac:dyDescent="0.3">
      <c r="A40" s="119" t="str">
        <f>IF(Бэклог!A40="","",Бэклог!A40)</f>
        <v/>
      </c>
      <c r="B40" s="120" t="str">
        <f>IF($A40="","",Бэклог!B40)</f>
        <v/>
      </c>
      <c r="C40" s="119" t="str">
        <f>IF($A40="","",Бэклог!M40)</f>
        <v/>
      </c>
      <c r="D40" s="120" t="str">
        <f>IF($A40="","",Бэклог!C40)</f>
        <v/>
      </c>
      <c r="E40" s="119" t="str">
        <f>IF($A40="","",Бэклог!F40)</f>
        <v/>
      </c>
      <c r="F40" s="131"/>
      <c r="G40" s="121" t="str">
        <f>IF($A40="","",MAX(SUMIF('Дорожная карта'!$A$6:$A$16,C40,'Дорожная карта'!$C$6:$C$16),IF(F40="",0,IFERROR(INDEX($H$5:$H$44,MATCH(F40,$A$5:$A$44,0)),0))))</f>
        <v/>
      </c>
      <c r="H40" s="121" t="str">
        <f t="shared" si="0"/>
        <v/>
      </c>
      <c r="I40" s="122" t="str">
        <f>IF($A40="","",Бэклог!E40)</f>
        <v/>
      </c>
      <c r="J40" s="140"/>
    </row>
    <row r="41" spans="1:10" x14ac:dyDescent="0.3">
      <c r="A41" s="119" t="str">
        <f>IF(Бэклог!A41="","",Бэклог!A41)</f>
        <v/>
      </c>
      <c r="B41" s="120" t="str">
        <f>IF($A41="","",Бэклог!B41)</f>
        <v/>
      </c>
      <c r="C41" s="119" t="str">
        <f>IF($A41="","",Бэклог!M41)</f>
        <v/>
      </c>
      <c r="D41" s="120" t="str">
        <f>IF($A41="","",Бэклог!C41)</f>
        <v/>
      </c>
      <c r="E41" s="119" t="str">
        <f>IF($A41="","",Бэклог!F41)</f>
        <v/>
      </c>
      <c r="F41" s="131"/>
      <c r="G41" s="121" t="str">
        <f>IF($A41="","",MAX(SUMIF('Дорожная карта'!$A$6:$A$16,C41,'Дорожная карта'!$C$6:$C$16),IF(F41="",0,IFERROR(INDEX($H$5:$H$44,MATCH(F41,$A$5:$A$44,0)),0))))</f>
        <v/>
      </c>
      <c r="H41" s="121" t="str">
        <f t="shared" si="0"/>
        <v/>
      </c>
      <c r="I41" s="122" t="str">
        <f>IF($A41="","",Бэклог!E41)</f>
        <v/>
      </c>
      <c r="J41" s="140"/>
    </row>
    <row r="42" spans="1:10" x14ac:dyDescent="0.3">
      <c r="A42" s="119" t="str">
        <f>IF(Бэклог!A42="","",Бэклог!A42)</f>
        <v/>
      </c>
      <c r="B42" s="120" t="str">
        <f>IF($A42="","",Бэклог!B42)</f>
        <v/>
      </c>
      <c r="C42" s="119" t="str">
        <f>IF($A42="","",Бэклог!M42)</f>
        <v/>
      </c>
      <c r="D42" s="120" t="str">
        <f>IF($A42="","",Бэклог!C42)</f>
        <v/>
      </c>
      <c r="E42" s="119" t="str">
        <f>IF($A42="","",Бэклог!F42)</f>
        <v/>
      </c>
      <c r="F42" s="131"/>
      <c r="G42" s="121" t="str">
        <f>IF($A42="","",MAX(SUMIF('Дорожная карта'!$A$6:$A$16,C42,'Дорожная карта'!$C$6:$C$16),IF(F42="",0,IFERROR(INDEX($H$5:$H$44,MATCH(F42,$A$5:$A$44,0)),0))))</f>
        <v/>
      </c>
      <c r="H42" s="121" t="str">
        <f t="shared" si="0"/>
        <v/>
      </c>
      <c r="I42" s="122" t="str">
        <f>IF($A42="","",Бэклог!E42)</f>
        <v/>
      </c>
      <c r="J42" s="140"/>
    </row>
    <row r="43" spans="1:10" x14ac:dyDescent="0.3">
      <c r="A43" s="119" t="str">
        <f>IF(Бэклог!A43="","",Бэклог!A43)</f>
        <v/>
      </c>
      <c r="B43" s="120" t="str">
        <f>IF($A43="","",Бэклог!B43)</f>
        <v/>
      </c>
      <c r="C43" s="119" t="str">
        <f>IF($A43="","",Бэклог!M43)</f>
        <v/>
      </c>
      <c r="D43" s="120" t="str">
        <f>IF($A43="","",Бэклог!C43)</f>
        <v/>
      </c>
      <c r="E43" s="119" t="str">
        <f>IF($A43="","",Бэклог!F43)</f>
        <v/>
      </c>
      <c r="F43" s="131"/>
      <c r="G43" s="121" t="str">
        <f>IF($A43="","",MAX(SUMIF('Дорожная карта'!$A$6:$A$16,C43,'Дорожная карта'!$C$6:$C$16),IF(F43="",0,IFERROR(INDEX($H$5:$H$44,MATCH(F43,$A$5:$A$44,0)),0))))</f>
        <v/>
      </c>
      <c r="H43" s="121" t="str">
        <f t="shared" si="0"/>
        <v/>
      </c>
      <c r="I43" s="122" t="str">
        <f>IF($A43="","",Бэклог!E43)</f>
        <v/>
      </c>
      <c r="J43" s="140"/>
    </row>
    <row r="44" spans="1:10" x14ac:dyDescent="0.3">
      <c r="A44" s="119" t="str">
        <f>IF(Бэклог!A44="","",Бэклог!A44)</f>
        <v/>
      </c>
      <c r="B44" s="120" t="str">
        <f>IF($A44="","",Бэклог!B44)</f>
        <v/>
      </c>
      <c r="C44" s="119" t="str">
        <f>IF($A44="","",Бэклог!M44)</f>
        <v/>
      </c>
      <c r="D44" s="120" t="str">
        <f>IF($A44="","",Бэклог!C44)</f>
        <v/>
      </c>
      <c r="E44" s="119" t="str">
        <f>IF($A44="","",Бэклог!F44)</f>
        <v/>
      </c>
      <c r="F44" s="131"/>
      <c r="G44" s="121" t="str">
        <f>IF($A44="","",MAX(SUMIF('Дорожная карта'!$A$6:$A$16,C44,'Дорожная карта'!$C$6:$C$16),IF(F44="",0,IFERROR(INDEX($H$5:$H$44,MATCH(F44,$A$5:$A$44,0)),0))))</f>
        <v/>
      </c>
      <c r="H44" s="121" t="str">
        <f t="shared" si="0"/>
        <v/>
      </c>
      <c r="I44" s="122" t="str">
        <f>IF($A44="","",Бэклог!E44)</f>
        <v/>
      </c>
      <c r="J44" s="140"/>
    </row>
    <row r="46" spans="1:10" x14ac:dyDescent="0.3">
      <c r="A46" s="14" t="s">
        <v>399</v>
      </c>
    </row>
    <row r="47" spans="1:10" ht="27.6" customHeight="1" x14ac:dyDescent="0.3">
      <c r="A47" s="123" t="s">
        <v>128</v>
      </c>
    </row>
    <row r="48" spans="1:10" ht="27.6" customHeight="1" x14ac:dyDescent="0.3">
      <c r="A48" s="124" t="s">
        <v>129</v>
      </c>
    </row>
    <row r="49" spans="1:8" ht="27.6" customHeight="1" x14ac:dyDescent="0.3">
      <c r="A49" s="125" t="s">
        <v>130</v>
      </c>
    </row>
    <row r="50" spans="1:8" ht="27.6" customHeight="1" x14ac:dyDescent="0.3">
      <c r="A50" s="126" t="s">
        <v>131</v>
      </c>
    </row>
    <row r="51" spans="1:8" ht="27.6" customHeight="1" x14ac:dyDescent="0.3">
      <c r="A51" s="127" t="s">
        <v>132</v>
      </c>
    </row>
    <row r="53" spans="1:8" x14ac:dyDescent="0.3">
      <c r="A53" s="117" t="s">
        <v>400</v>
      </c>
    </row>
    <row r="54" spans="1:8" ht="15.6" customHeight="1" x14ac:dyDescent="0.3">
      <c r="A54" s="132" t="s">
        <v>401</v>
      </c>
    </row>
    <row r="56" spans="1:8" x14ac:dyDescent="0.3">
      <c r="B56" s="133" t="s">
        <v>393</v>
      </c>
      <c r="D56" s="133" t="s">
        <v>393</v>
      </c>
      <c r="F56" s="134" t="s">
        <v>394</v>
      </c>
      <c r="H56" s="135" t="s">
        <v>397</v>
      </c>
    </row>
    <row r="57" spans="1:8" ht="15.6" customHeight="1" x14ac:dyDescent="0.3">
      <c r="B57" s="136" t="s">
        <v>402</v>
      </c>
      <c r="D57" s="136" t="s">
        <v>402</v>
      </c>
      <c r="F57" s="136" t="s">
        <v>402</v>
      </c>
      <c r="H57" s="136" t="s">
        <v>402</v>
      </c>
    </row>
    <row r="58" spans="1:8" x14ac:dyDescent="0.3">
      <c r="B58" s="133" t="s">
        <v>403</v>
      </c>
      <c r="D58" s="134" t="s">
        <v>395</v>
      </c>
      <c r="F58" s="135" t="s">
        <v>404</v>
      </c>
      <c r="H58" s="137" t="s">
        <v>398</v>
      </c>
    </row>
    <row r="59" spans="1:8" ht="15.6" customHeight="1" x14ac:dyDescent="0.3">
      <c r="D59" s="136" t="s">
        <v>402</v>
      </c>
      <c r="H59" s="136" t="s">
        <v>402</v>
      </c>
    </row>
    <row r="60" spans="1:8" x14ac:dyDescent="0.3">
      <c r="D60" s="135" t="s">
        <v>396</v>
      </c>
      <c r="H60" s="137" t="s">
        <v>405</v>
      </c>
    </row>
    <row r="61" spans="1:8" ht="15.6" customHeight="1" x14ac:dyDescent="0.3">
      <c r="D61" s="136" t="s">
        <v>402</v>
      </c>
    </row>
    <row r="62" spans="1:8" x14ac:dyDescent="0.3">
      <c r="D62" s="135" t="s">
        <v>406</v>
      </c>
    </row>
    <row r="65" spans="1:1" x14ac:dyDescent="0.3">
      <c r="A65" s="117" t="s">
        <v>407</v>
      </c>
    </row>
    <row r="70" spans="1:1" x14ac:dyDescent="0.3">
      <c r="A70" s="141" t="s">
        <v>408</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20"/>
  <sheetViews>
    <sheetView showGridLines="0" workbookViewId="0">
      <pane ySplit="4" topLeftCell="A5" activePane="bottomLeft" state="frozen"/>
      <selection pane="bottomLeft"/>
    </sheetView>
  </sheetViews>
  <sheetFormatPr defaultRowHeight="14.4" x14ac:dyDescent="0.3"/>
  <cols>
    <col min="1" max="1" width="7" customWidth="1"/>
    <col min="2" max="2" width="26" customWidth="1"/>
    <col min="3" max="3" width="9" customWidth="1"/>
    <col min="4" max="4" width="10" customWidth="1"/>
    <col min="5" max="5" width="22" customWidth="1"/>
    <col min="6" max="6" width="15" customWidth="1"/>
    <col min="7" max="7" width="30" customWidth="1"/>
    <col min="8" max="8" width="8" customWidth="1"/>
    <col min="9" max="9" width="14" customWidth="1"/>
    <col min="10" max="10" width="18" customWidth="1"/>
    <col min="11" max="11" width="8" customWidth="1"/>
  </cols>
  <sheetData>
    <row r="1" spans="1:11" ht="17.399999999999999" x14ac:dyDescent="0.3">
      <c r="A1" s="213" t="s">
        <v>409</v>
      </c>
    </row>
    <row r="2" spans="1:11" x14ac:dyDescent="0.3">
      <c r="A2" s="225" t="s">
        <v>410</v>
      </c>
    </row>
    <row r="4" spans="1:11" ht="27.6" x14ac:dyDescent="0.3">
      <c r="A4" s="226" t="s">
        <v>189</v>
      </c>
      <c r="B4" s="226" t="s">
        <v>411</v>
      </c>
      <c r="C4" s="226" t="s">
        <v>282</v>
      </c>
      <c r="D4" s="226" t="s">
        <v>412</v>
      </c>
      <c r="E4" s="226" t="s">
        <v>413</v>
      </c>
      <c r="F4" s="226" t="s">
        <v>414</v>
      </c>
      <c r="G4" s="226" t="s">
        <v>415</v>
      </c>
      <c r="H4" s="226" t="s">
        <v>112</v>
      </c>
      <c r="I4" s="226" t="s">
        <v>121</v>
      </c>
      <c r="J4" s="226" t="s">
        <v>416</v>
      </c>
      <c r="K4" s="226" t="s">
        <v>417</v>
      </c>
    </row>
    <row r="5" spans="1:11" ht="27.6" x14ac:dyDescent="0.3">
      <c r="A5" s="237" t="s">
        <v>418</v>
      </c>
      <c r="B5" s="238" t="s">
        <v>419</v>
      </c>
      <c r="C5" s="230" t="s">
        <v>386</v>
      </c>
      <c r="D5" s="230" t="s">
        <v>395</v>
      </c>
      <c r="E5" s="238" t="s">
        <v>420</v>
      </c>
      <c r="F5" s="239" t="s">
        <v>421</v>
      </c>
      <c r="G5" s="238" t="s">
        <v>422</v>
      </c>
      <c r="H5" s="230">
        <v>3</v>
      </c>
      <c r="I5" s="239" t="s">
        <v>423</v>
      </c>
      <c r="J5" s="239" t="s">
        <v>424</v>
      </c>
      <c r="K5" s="230" t="s">
        <v>291</v>
      </c>
    </row>
    <row r="6" spans="1:11" x14ac:dyDescent="0.3">
      <c r="A6" s="237" t="s">
        <v>425</v>
      </c>
      <c r="B6" s="238" t="s">
        <v>201</v>
      </c>
      <c r="C6" s="230" t="s">
        <v>426</v>
      </c>
      <c r="D6" s="230"/>
      <c r="E6" s="238" t="s">
        <v>420</v>
      </c>
      <c r="F6" s="239" t="s">
        <v>421</v>
      </c>
      <c r="G6" s="238" t="s">
        <v>427</v>
      </c>
      <c r="H6" s="230">
        <v>4</v>
      </c>
      <c r="I6" s="239" t="s">
        <v>428</v>
      </c>
      <c r="J6" s="239" t="s">
        <v>429</v>
      </c>
      <c r="K6" s="230" t="s">
        <v>291</v>
      </c>
    </row>
    <row r="7" spans="1:11" ht="27.6" x14ac:dyDescent="0.3">
      <c r="A7" s="237" t="s">
        <v>430</v>
      </c>
      <c r="B7" s="238" t="s">
        <v>205</v>
      </c>
      <c r="C7" s="230" t="s">
        <v>386</v>
      </c>
      <c r="D7" s="230" t="s">
        <v>431</v>
      </c>
      <c r="E7" s="238" t="s">
        <v>432</v>
      </c>
      <c r="F7" s="239" t="s">
        <v>421</v>
      </c>
      <c r="G7" s="238" t="s">
        <v>433</v>
      </c>
      <c r="H7" s="230">
        <v>4</v>
      </c>
      <c r="I7" s="239" t="s">
        <v>434</v>
      </c>
      <c r="J7" s="239" t="s">
        <v>435</v>
      </c>
      <c r="K7" s="230" t="s">
        <v>301</v>
      </c>
    </row>
    <row r="8" spans="1:11" x14ac:dyDescent="0.3">
      <c r="A8" s="237" t="s">
        <v>436</v>
      </c>
      <c r="B8" s="238" t="s">
        <v>437</v>
      </c>
      <c r="C8" s="230" t="s">
        <v>386</v>
      </c>
      <c r="D8" s="230" t="s">
        <v>438</v>
      </c>
      <c r="E8" s="238" t="s">
        <v>439</v>
      </c>
      <c r="F8" s="239" t="s">
        <v>421</v>
      </c>
      <c r="G8" s="238" t="s">
        <v>440</v>
      </c>
      <c r="H8" s="230">
        <v>2</v>
      </c>
      <c r="I8" s="239" t="s">
        <v>441</v>
      </c>
      <c r="J8" s="239" t="s">
        <v>442</v>
      </c>
      <c r="K8" s="230" t="s">
        <v>307</v>
      </c>
    </row>
    <row r="9" spans="1:11" ht="27.6" x14ac:dyDescent="0.3">
      <c r="A9" s="237" t="s">
        <v>443</v>
      </c>
      <c r="B9" s="238" t="s">
        <v>211</v>
      </c>
      <c r="C9" s="230" t="s">
        <v>444</v>
      </c>
      <c r="D9" s="230"/>
      <c r="E9" s="238" t="s">
        <v>445</v>
      </c>
      <c r="F9" s="239" t="s">
        <v>421</v>
      </c>
      <c r="G9" s="238" t="s">
        <v>446</v>
      </c>
      <c r="H9" s="230">
        <v>5</v>
      </c>
      <c r="I9" s="239" t="s">
        <v>428</v>
      </c>
      <c r="J9" s="239" t="s">
        <v>447</v>
      </c>
      <c r="K9" s="230" t="s">
        <v>301</v>
      </c>
    </row>
    <row r="10" spans="1:11" ht="27.6" x14ac:dyDescent="0.3">
      <c r="A10" s="237" t="s">
        <v>448</v>
      </c>
      <c r="B10" s="238" t="s">
        <v>449</v>
      </c>
      <c r="C10" s="230" t="s">
        <v>426</v>
      </c>
      <c r="D10" s="230" t="s">
        <v>403</v>
      </c>
      <c r="E10" s="238" t="s">
        <v>450</v>
      </c>
      <c r="F10" s="239" t="s">
        <v>451</v>
      </c>
      <c r="G10" s="238" t="s">
        <v>452</v>
      </c>
      <c r="H10" s="230">
        <v>6</v>
      </c>
      <c r="I10" s="239" t="s">
        <v>434</v>
      </c>
      <c r="J10" s="239" t="s">
        <v>453</v>
      </c>
      <c r="K10" s="230" t="s">
        <v>301</v>
      </c>
    </row>
    <row r="11" spans="1:11" ht="27.6" x14ac:dyDescent="0.3">
      <c r="A11" s="237" t="s">
        <v>454</v>
      </c>
      <c r="B11" s="238" t="s">
        <v>455</v>
      </c>
      <c r="C11" s="230" t="s">
        <v>386</v>
      </c>
      <c r="D11" s="230" t="s">
        <v>456</v>
      </c>
      <c r="E11" s="238" t="s">
        <v>457</v>
      </c>
      <c r="F11" s="239" t="s">
        <v>421</v>
      </c>
      <c r="G11" s="238" t="s">
        <v>458</v>
      </c>
      <c r="H11" s="230">
        <v>4</v>
      </c>
      <c r="I11" s="239" t="s">
        <v>423</v>
      </c>
      <c r="J11" s="239" t="s">
        <v>459</v>
      </c>
      <c r="K11" s="230" t="s">
        <v>291</v>
      </c>
    </row>
    <row r="12" spans="1:11" ht="27.6" x14ac:dyDescent="0.3">
      <c r="A12" s="237" t="s">
        <v>460</v>
      </c>
      <c r="B12" s="238" t="s">
        <v>215</v>
      </c>
      <c r="C12" s="230" t="s">
        <v>426</v>
      </c>
      <c r="D12" s="230"/>
      <c r="E12" s="238" t="s">
        <v>457</v>
      </c>
      <c r="F12" s="239" t="s">
        <v>451</v>
      </c>
      <c r="G12" s="238" t="s">
        <v>461</v>
      </c>
      <c r="H12" s="230">
        <v>7</v>
      </c>
      <c r="I12" s="239" t="s">
        <v>428</v>
      </c>
      <c r="J12" s="239" t="s">
        <v>462</v>
      </c>
      <c r="K12" s="230" t="s">
        <v>307</v>
      </c>
    </row>
    <row r="14" spans="1:11" x14ac:dyDescent="0.3">
      <c r="A14" s="222" t="s">
        <v>463</v>
      </c>
    </row>
    <row r="15" spans="1:11" x14ac:dyDescent="0.3">
      <c r="A15" s="240" t="s">
        <v>121</v>
      </c>
      <c r="B15" s="240" t="s">
        <v>316</v>
      </c>
    </row>
    <row r="16" spans="1:11" x14ac:dyDescent="0.3">
      <c r="A16" s="186" t="s">
        <v>428</v>
      </c>
      <c r="B16" s="186">
        <f>COUNTIF($I$5:$I$12,A16)</f>
        <v>3</v>
      </c>
    </row>
    <row r="17" spans="1:2" x14ac:dyDescent="0.3">
      <c r="A17" s="186" t="s">
        <v>434</v>
      </c>
      <c r="B17" s="186">
        <f>COUNTIF($I$5:$I$12,A17)</f>
        <v>2</v>
      </c>
    </row>
    <row r="18" spans="1:2" x14ac:dyDescent="0.3">
      <c r="A18" s="186" t="s">
        <v>441</v>
      </c>
      <c r="B18" s="186">
        <f>COUNTIF($I$5:$I$12,A18)</f>
        <v>1</v>
      </c>
    </row>
    <row r="19" spans="1:2" x14ac:dyDescent="0.3">
      <c r="A19" s="186" t="s">
        <v>423</v>
      </c>
      <c r="B19" s="186">
        <f>COUNTIF($I$5:$I$12,A19)</f>
        <v>2</v>
      </c>
    </row>
    <row r="20" spans="1:2" x14ac:dyDescent="0.3">
      <c r="A20" s="186" t="s">
        <v>464</v>
      </c>
      <c r="B20" s="186">
        <f>COUNTIF($I$5:$I$12,A20)</f>
        <v>0</v>
      </c>
    </row>
  </sheetData>
  <conditionalFormatting sqref="I5:I12">
    <cfRule type="cellIs" dxfId="13" priority="1" operator="equal">
      <formula>"Заблокировано"</formula>
    </cfRule>
    <cfRule type="cellIs" dxfId="12" priority="2" operator="equal">
      <formula>"Просрочено"</formula>
    </cfRule>
    <cfRule type="cellIs" dxfId="11" priority="3" operator="equal">
      <formula>"Ожидается"</formula>
    </cfRule>
    <cfRule type="cellIs" dxfId="10" priority="4" operator="equal">
      <formula>"Получено"</formula>
    </cfRule>
    <cfRule type="cellIs" dxfId="9" priority="5" operator="equal">
      <formula>"Подтверждено"</formula>
    </cfRule>
  </conditionalFormatting>
  <dataValidations count="4">
    <dataValidation type="list" allowBlank="1" sqref="C5:C12" xr:uid="{00000000-0002-0000-0F00-000000000000}">
      <formula1>"История,Задача,Фича,Эпик"</formula1>
    </dataValidation>
    <dataValidation type="list" allowBlank="1" sqref="F5:F12" xr:uid="{00000000-0002-0000-0F00-000001000000}">
      <formula1>"Мы зависим,Зависят от нас"</formula1>
    </dataValidation>
    <dataValidation type="list" allowBlank="1" sqref="I5:I12" xr:uid="{00000000-0002-0000-0F00-000002000000}">
      <formula1>"Ожидается,Подтверждено,Получено,Заблокировано,Просрочено"</formula1>
    </dataValidation>
    <dataValidation type="list" allowBlank="1" sqref="K5:K12" xr:uid="{00000000-0002-0000-0F00-000003000000}">
      <formula1>"High,Medium,Low"</formula1>
    </dataValidation>
  </dataValidations>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7"/>
  <sheetViews>
    <sheetView showGridLines="0" workbookViewId="0">
      <pane ySplit="4" topLeftCell="A5" activePane="bottomLeft" state="frozen"/>
      <selection pane="bottomLeft" activeCell="C138" sqref="C138"/>
    </sheetView>
  </sheetViews>
  <sheetFormatPr defaultRowHeight="14.4" x14ac:dyDescent="0.3"/>
  <cols>
    <col min="1" max="1" width="9" customWidth="1"/>
    <col min="2" max="2" width="16" customWidth="1"/>
    <col min="3" max="3" width="12" customWidth="1"/>
    <col min="4" max="6" width="10" customWidth="1"/>
    <col min="7" max="7" width="8" customWidth="1"/>
    <col min="8" max="8" width="11" customWidth="1"/>
    <col min="10" max="10" width="9" customWidth="1"/>
    <col min="11" max="11" width="13" customWidth="1"/>
  </cols>
  <sheetData>
    <row r="1" spans="1:11" ht="17.399999999999999" customHeight="1" x14ac:dyDescent="0.3">
      <c r="A1" s="37" t="s">
        <v>465</v>
      </c>
    </row>
    <row r="2" spans="1:11" x14ac:dyDescent="0.3">
      <c r="A2" s="38" t="s">
        <v>466</v>
      </c>
    </row>
    <row r="4" spans="1:11" ht="55.2" customHeight="1" x14ac:dyDescent="0.3">
      <c r="A4" s="39" t="s">
        <v>467</v>
      </c>
      <c r="B4" s="39" t="s">
        <v>468</v>
      </c>
      <c r="C4" s="39" t="s">
        <v>376</v>
      </c>
      <c r="D4" s="39" t="s">
        <v>469</v>
      </c>
      <c r="E4" s="39" t="s">
        <v>470</v>
      </c>
      <c r="F4" s="39" t="s">
        <v>471</v>
      </c>
      <c r="G4" s="39" t="s">
        <v>472</v>
      </c>
      <c r="H4" s="39" t="s">
        <v>167</v>
      </c>
      <c r="J4" s="39" t="s">
        <v>112</v>
      </c>
      <c r="K4" s="39" t="s">
        <v>473</v>
      </c>
    </row>
    <row r="5" spans="1:11" x14ac:dyDescent="0.3">
      <c r="A5" s="40">
        <v>1</v>
      </c>
      <c r="B5" s="41" t="s">
        <v>264</v>
      </c>
      <c r="C5" s="41" t="s">
        <v>377</v>
      </c>
      <c r="D5" s="42">
        <f>SUMIF('Дорожная карта'!$A$6:$A$16,A5,'Дорожная карта'!$E$6:$E$16)</f>
        <v>10</v>
      </c>
      <c r="E5" s="43">
        <v>0</v>
      </c>
      <c r="F5" s="44">
        <v>1</v>
      </c>
      <c r="G5" s="45">
        <f>Параметры!$B$9</f>
        <v>0.8</v>
      </c>
      <c r="H5" s="46">
        <f t="shared" ref="H5:H36" si="0">MAX(0,(D5-E5)*F5*G5)</f>
        <v>8</v>
      </c>
      <c r="J5" s="47">
        <v>1</v>
      </c>
      <c r="K5" s="48">
        <f t="shared" ref="K5:K15" si="1">SUMIF($A$5:$A$147,J5,$H$5:$H$147)</f>
        <v>92.800000000000011</v>
      </c>
    </row>
    <row r="6" spans="1:11" x14ac:dyDescent="0.3">
      <c r="A6" s="47">
        <v>1</v>
      </c>
      <c r="B6" s="49" t="s">
        <v>267</v>
      </c>
      <c r="C6" s="49" t="s">
        <v>378</v>
      </c>
      <c r="D6" s="47">
        <f>SUMIF('Дорожная карта'!$A$6:$A$16,A6,'Дорожная карта'!$E$6:$E$16)</f>
        <v>10</v>
      </c>
      <c r="E6" s="50">
        <v>1</v>
      </c>
      <c r="F6" s="51">
        <v>1</v>
      </c>
      <c r="G6" s="52">
        <f>Параметры!$B$9</f>
        <v>0.8</v>
      </c>
      <c r="H6" s="48">
        <f t="shared" si="0"/>
        <v>7.2</v>
      </c>
      <c r="J6" s="47">
        <v>2</v>
      </c>
      <c r="K6" s="48">
        <f t="shared" si="1"/>
        <v>95.2</v>
      </c>
    </row>
    <row r="7" spans="1:11" x14ac:dyDescent="0.3">
      <c r="A7" s="47">
        <v>1</v>
      </c>
      <c r="B7" s="49" t="s">
        <v>275</v>
      </c>
      <c r="C7" s="49" t="s">
        <v>379</v>
      </c>
      <c r="D7" s="47">
        <f>SUMIF('Дорожная карта'!$A$6:$A$16,A7,'Дорожная карта'!$E$6:$E$16)</f>
        <v>10</v>
      </c>
      <c r="E7" s="50">
        <v>0</v>
      </c>
      <c r="F7" s="51">
        <v>0.8</v>
      </c>
      <c r="G7" s="52">
        <f>Параметры!$B$9</f>
        <v>0.8</v>
      </c>
      <c r="H7" s="48">
        <f t="shared" si="0"/>
        <v>6.4</v>
      </c>
      <c r="J7" s="47">
        <v>3</v>
      </c>
      <c r="K7" s="48">
        <f t="shared" si="1"/>
        <v>95.2</v>
      </c>
    </row>
    <row r="8" spans="1:11" x14ac:dyDescent="0.3">
      <c r="A8" s="47">
        <v>1</v>
      </c>
      <c r="B8" s="49" t="s">
        <v>270</v>
      </c>
      <c r="C8" s="49" t="s">
        <v>377</v>
      </c>
      <c r="D8" s="47">
        <f>SUMIF('Дорожная карта'!$A$6:$A$16,A8,'Дорожная карта'!$E$6:$E$16)</f>
        <v>10</v>
      </c>
      <c r="E8" s="50">
        <v>2</v>
      </c>
      <c r="F8" s="51">
        <v>1</v>
      </c>
      <c r="G8" s="52">
        <f>Параметры!$B$9</f>
        <v>0.8</v>
      </c>
      <c r="H8" s="48">
        <f t="shared" si="0"/>
        <v>6.4</v>
      </c>
      <c r="J8" s="47">
        <v>4</v>
      </c>
      <c r="K8" s="48">
        <f t="shared" si="1"/>
        <v>95.2</v>
      </c>
    </row>
    <row r="9" spans="1:11" x14ac:dyDescent="0.3">
      <c r="A9" s="47">
        <v>1</v>
      </c>
      <c r="B9" s="49" t="s">
        <v>474</v>
      </c>
      <c r="C9" s="49" t="s">
        <v>381</v>
      </c>
      <c r="D9" s="47">
        <f>SUMIF('Дорожная карта'!$A$6:$A$16,A9,'Дорожная карта'!$E$6:$E$16)</f>
        <v>10</v>
      </c>
      <c r="E9" s="50">
        <v>0</v>
      </c>
      <c r="F9" s="51">
        <v>0.5</v>
      </c>
      <c r="G9" s="52">
        <f>Параметры!$B$9</f>
        <v>0.8</v>
      </c>
      <c r="H9" s="48">
        <f t="shared" si="0"/>
        <v>4</v>
      </c>
      <c r="J9" s="47">
        <v>5</v>
      </c>
      <c r="K9" s="48">
        <f t="shared" si="1"/>
        <v>93.2</v>
      </c>
    </row>
    <row r="10" spans="1:11" x14ac:dyDescent="0.3">
      <c r="A10" s="47">
        <v>1</v>
      </c>
      <c r="B10" s="49" t="s">
        <v>475</v>
      </c>
      <c r="C10" s="49" t="s">
        <v>377</v>
      </c>
      <c r="D10" s="47">
        <f>SUMIF('Дорожная карта'!$A$6:$A$16,A10,'Дорожная карта'!$E$6:$E$16)</f>
        <v>10</v>
      </c>
      <c r="E10" s="50">
        <v>0</v>
      </c>
      <c r="F10" s="51">
        <v>1</v>
      </c>
      <c r="G10" s="52">
        <f>Параметры!$B$9</f>
        <v>0.8</v>
      </c>
      <c r="H10" s="48">
        <f t="shared" si="0"/>
        <v>8</v>
      </c>
      <c r="J10" s="47">
        <v>6</v>
      </c>
      <c r="K10" s="48">
        <f t="shared" si="1"/>
        <v>95.2</v>
      </c>
    </row>
    <row r="11" spans="1:11" x14ac:dyDescent="0.3">
      <c r="A11" s="47">
        <v>1</v>
      </c>
      <c r="B11" s="49" t="s">
        <v>476</v>
      </c>
      <c r="C11" s="49" t="s">
        <v>378</v>
      </c>
      <c r="D11" s="47">
        <f>SUMIF('Дорожная карта'!$A$6:$A$16,A11,'Дорожная карта'!$E$6:$E$16)</f>
        <v>10</v>
      </c>
      <c r="E11" s="50">
        <v>0</v>
      </c>
      <c r="F11" s="51">
        <v>1</v>
      </c>
      <c r="G11" s="52">
        <f>Параметры!$B$9</f>
        <v>0.8</v>
      </c>
      <c r="H11" s="48">
        <f t="shared" si="0"/>
        <v>8</v>
      </c>
      <c r="J11" s="47">
        <v>7</v>
      </c>
      <c r="K11" s="48">
        <f t="shared" si="1"/>
        <v>85.680000000000021</v>
      </c>
    </row>
    <row r="12" spans="1:11" x14ac:dyDescent="0.3">
      <c r="A12" s="47">
        <v>1</v>
      </c>
      <c r="B12" s="49" t="s">
        <v>477</v>
      </c>
      <c r="C12" s="49" t="s">
        <v>379</v>
      </c>
      <c r="D12" s="47">
        <f>SUMIF('Дорожная карта'!$A$6:$A$16,A12,'Дорожная карта'!$E$6:$E$16)</f>
        <v>10</v>
      </c>
      <c r="E12" s="50">
        <v>0</v>
      </c>
      <c r="F12" s="51">
        <v>1</v>
      </c>
      <c r="G12" s="52">
        <f>Параметры!$B$9</f>
        <v>0.8</v>
      </c>
      <c r="H12" s="48">
        <f t="shared" si="0"/>
        <v>8</v>
      </c>
      <c r="J12" s="47">
        <v>8</v>
      </c>
      <c r="K12" s="48">
        <f t="shared" si="1"/>
        <v>91.2</v>
      </c>
    </row>
    <row r="13" spans="1:11" x14ac:dyDescent="0.3">
      <c r="A13" s="47">
        <v>1</v>
      </c>
      <c r="B13" s="49" t="s">
        <v>478</v>
      </c>
      <c r="C13" s="49" t="s">
        <v>380</v>
      </c>
      <c r="D13" s="47">
        <f>SUMIF('Дорожная карта'!$A$6:$A$16,A13,'Дорожная карта'!$E$6:$E$16)</f>
        <v>10</v>
      </c>
      <c r="E13" s="50">
        <v>0</v>
      </c>
      <c r="F13" s="51">
        <v>0.8</v>
      </c>
      <c r="G13" s="52">
        <f>Параметры!$B$9</f>
        <v>0.8</v>
      </c>
      <c r="H13" s="48">
        <f t="shared" si="0"/>
        <v>6.4</v>
      </c>
      <c r="J13" s="47">
        <v>9</v>
      </c>
      <c r="K13" s="48">
        <f t="shared" si="1"/>
        <v>95.2</v>
      </c>
    </row>
    <row r="14" spans="1:11" x14ac:dyDescent="0.3">
      <c r="A14" s="47">
        <v>1</v>
      </c>
      <c r="B14" s="49" t="s">
        <v>479</v>
      </c>
      <c r="C14" s="49" t="s">
        <v>381</v>
      </c>
      <c r="D14" s="47">
        <f>SUMIF('Дорожная карта'!$A$6:$A$16,A14,'Дорожная карта'!$E$6:$E$16)</f>
        <v>10</v>
      </c>
      <c r="E14" s="50">
        <v>0</v>
      </c>
      <c r="F14" s="51">
        <v>1</v>
      </c>
      <c r="G14" s="52">
        <f>Параметры!$B$9</f>
        <v>0.8</v>
      </c>
      <c r="H14" s="48">
        <f t="shared" si="0"/>
        <v>8</v>
      </c>
      <c r="J14" s="47">
        <v>10</v>
      </c>
      <c r="K14" s="48">
        <f t="shared" si="1"/>
        <v>95.2</v>
      </c>
    </row>
    <row r="15" spans="1:11" x14ac:dyDescent="0.3">
      <c r="A15" s="47">
        <v>1</v>
      </c>
      <c r="B15" s="49" t="s">
        <v>480</v>
      </c>
      <c r="C15" s="49" t="s">
        <v>377</v>
      </c>
      <c r="D15" s="47">
        <f>SUMIF('Дорожная карта'!$A$6:$A$16,A15,'Дорожная карта'!$E$6:$E$16)</f>
        <v>10</v>
      </c>
      <c r="E15" s="50">
        <v>0</v>
      </c>
      <c r="F15" s="51">
        <v>1</v>
      </c>
      <c r="G15" s="52">
        <f>Параметры!$B$9</f>
        <v>0.8</v>
      </c>
      <c r="H15" s="48">
        <f t="shared" si="0"/>
        <v>8</v>
      </c>
      <c r="J15" s="47">
        <v>11</v>
      </c>
      <c r="K15" s="48">
        <f t="shared" si="1"/>
        <v>85.680000000000021</v>
      </c>
    </row>
    <row r="16" spans="1:11" x14ac:dyDescent="0.3">
      <c r="A16" s="47">
        <v>1</v>
      </c>
      <c r="B16" s="49" t="s">
        <v>481</v>
      </c>
      <c r="C16" s="49" t="s">
        <v>382</v>
      </c>
      <c r="D16" s="47">
        <f>SUMIF('Дорожная карта'!$A$6:$A$16,A16,'Дорожная карта'!$E$6:$E$16)</f>
        <v>10</v>
      </c>
      <c r="E16" s="50">
        <v>0</v>
      </c>
      <c r="F16" s="51">
        <v>0.8</v>
      </c>
      <c r="G16" s="52">
        <f>Параметры!$B$9</f>
        <v>0.8</v>
      </c>
      <c r="H16" s="48">
        <f t="shared" si="0"/>
        <v>6.4</v>
      </c>
      <c r="J16" s="53" t="s">
        <v>482</v>
      </c>
      <c r="K16" s="54">
        <f>SUM(K5:K15)</f>
        <v>1019.7600000000002</v>
      </c>
    </row>
    <row r="17" spans="1:8" x14ac:dyDescent="0.3">
      <c r="A17" s="47">
        <v>1</v>
      </c>
      <c r="B17" s="49" t="s">
        <v>483</v>
      </c>
      <c r="C17" s="49" t="s">
        <v>378</v>
      </c>
      <c r="D17" s="47">
        <f>SUMIF('Дорожная карта'!$A$6:$A$16,A17,'Дорожная карта'!$E$6:$E$16)</f>
        <v>10</v>
      </c>
      <c r="E17" s="50">
        <v>0</v>
      </c>
      <c r="F17" s="51">
        <v>1</v>
      </c>
      <c r="G17" s="52">
        <f>Параметры!$B$9</f>
        <v>0.8</v>
      </c>
      <c r="H17" s="48">
        <f t="shared" si="0"/>
        <v>8</v>
      </c>
    </row>
    <row r="18" spans="1:8" x14ac:dyDescent="0.3">
      <c r="A18" s="55">
        <v>2</v>
      </c>
      <c r="B18" s="41" t="s">
        <v>264</v>
      </c>
      <c r="C18" s="41" t="s">
        <v>377</v>
      </c>
      <c r="D18" s="42">
        <f>SUMIF('Дорожная карта'!$A$6:$A$16,A18,'Дорожная карта'!$E$6:$E$16)</f>
        <v>10</v>
      </c>
      <c r="E18" s="43">
        <v>0</v>
      </c>
      <c r="F18" s="44">
        <v>1</v>
      </c>
      <c r="G18" s="45">
        <f>Параметры!$B$9</f>
        <v>0.8</v>
      </c>
      <c r="H18" s="46">
        <f t="shared" si="0"/>
        <v>8</v>
      </c>
    </row>
    <row r="19" spans="1:8" x14ac:dyDescent="0.3">
      <c r="A19" s="56">
        <v>2</v>
      </c>
      <c r="B19" s="49" t="s">
        <v>267</v>
      </c>
      <c r="C19" s="49" t="s">
        <v>378</v>
      </c>
      <c r="D19" s="47">
        <f>SUMIF('Дорожная карта'!$A$6:$A$16,A19,'Дорожная карта'!$E$6:$E$16)</f>
        <v>10</v>
      </c>
      <c r="E19" s="50">
        <v>0</v>
      </c>
      <c r="F19" s="51">
        <v>1</v>
      </c>
      <c r="G19" s="52">
        <f>Параметры!$B$9</f>
        <v>0.8</v>
      </c>
      <c r="H19" s="48">
        <f t="shared" si="0"/>
        <v>8</v>
      </c>
    </row>
    <row r="20" spans="1:8" x14ac:dyDescent="0.3">
      <c r="A20" s="56">
        <v>2</v>
      </c>
      <c r="B20" s="49" t="s">
        <v>275</v>
      </c>
      <c r="C20" s="49" t="s">
        <v>379</v>
      </c>
      <c r="D20" s="47">
        <f>SUMIF('Дорожная карта'!$A$6:$A$16,A20,'Дорожная карта'!$E$6:$E$16)</f>
        <v>10</v>
      </c>
      <c r="E20" s="50">
        <v>0</v>
      </c>
      <c r="F20" s="51">
        <v>0.8</v>
      </c>
      <c r="G20" s="52">
        <f>Параметры!$B$9</f>
        <v>0.8</v>
      </c>
      <c r="H20" s="48">
        <f t="shared" si="0"/>
        <v>6.4</v>
      </c>
    </row>
    <row r="21" spans="1:8" x14ac:dyDescent="0.3">
      <c r="A21" s="56">
        <v>2</v>
      </c>
      <c r="B21" s="49" t="s">
        <v>270</v>
      </c>
      <c r="C21" s="49" t="s">
        <v>377</v>
      </c>
      <c r="D21" s="47">
        <f>SUMIF('Дорожная карта'!$A$6:$A$16,A21,'Дорожная карта'!$E$6:$E$16)</f>
        <v>10</v>
      </c>
      <c r="E21" s="50">
        <v>0</v>
      </c>
      <c r="F21" s="51">
        <v>1</v>
      </c>
      <c r="G21" s="52">
        <f>Параметры!$B$9</f>
        <v>0.8</v>
      </c>
      <c r="H21" s="48">
        <f t="shared" si="0"/>
        <v>8</v>
      </c>
    </row>
    <row r="22" spans="1:8" x14ac:dyDescent="0.3">
      <c r="A22" s="56">
        <v>2</v>
      </c>
      <c r="B22" s="49" t="s">
        <v>474</v>
      </c>
      <c r="C22" s="49" t="s">
        <v>381</v>
      </c>
      <c r="D22" s="47">
        <f>SUMIF('Дорожная карта'!$A$6:$A$16,A22,'Дорожная карта'!$E$6:$E$16)</f>
        <v>10</v>
      </c>
      <c r="E22" s="50">
        <v>0</v>
      </c>
      <c r="F22" s="51">
        <v>0.5</v>
      </c>
      <c r="G22" s="52">
        <f>Параметры!$B$9</f>
        <v>0.8</v>
      </c>
      <c r="H22" s="48">
        <f t="shared" si="0"/>
        <v>4</v>
      </c>
    </row>
    <row r="23" spans="1:8" x14ac:dyDescent="0.3">
      <c r="A23" s="56">
        <v>2</v>
      </c>
      <c r="B23" s="49" t="s">
        <v>475</v>
      </c>
      <c r="C23" s="49" t="s">
        <v>377</v>
      </c>
      <c r="D23" s="47">
        <f>SUMIF('Дорожная карта'!$A$6:$A$16,A23,'Дорожная карта'!$E$6:$E$16)</f>
        <v>10</v>
      </c>
      <c r="E23" s="50">
        <v>0</v>
      </c>
      <c r="F23" s="51">
        <v>1</v>
      </c>
      <c r="G23" s="52">
        <f>Параметры!$B$9</f>
        <v>0.8</v>
      </c>
      <c r="H23" s="48">
        <f t="shared" si="0"/>
        <v>8</v>
      </c>
    </row>
    <row r="24" spans="1:8" x14ac:dyDescent="0.3">
      <c r="A24" s="56">
        <v>2</v>
      </c>
      <c r="B24" s="49" t="s">
        <v>476</v>
      </c>
      <c r="C24" s="49" t="s">
        <v>378</v>
      </c>
      <c r="D24" s="47">
        <f>SUMIF('Дорожная карта'!$A$6:$A$16,A24,'Дорожная карта'!$E$6:$E$16)</f>
        <v>10</v>
      </c>
      <c r="E24" s="50">
        <v>0</v>
      </c>
      <c r="F24" s="51">
        <v>1</v>
      </c>
      <c r="G24" s="52">
        <f>Параметры!$B$9</f>
        <v>0.8</v>
      </c>
      <c r="H24" s="48">
        <f t="shared" si="0"/>
        <v>8</v>
      </c>
    </row>
    <row r="25" spans="1:8" x14ac:dyDescent="0.3">
      <c r="A25" s="56">
        <v>2</v>
      </c>
      <c r="B25" s="49" t="s">
        <v>477</v>
      </c>
      <c r="C25" s="49" t="s">
        <v>379</v>
      </c>
      <c r="D25" s="47">
        <f>SUMIF('Дорожная карта'!$A$6:$A$16,A25,'Дорожная карта'!$E$6:$E$16)</f>
        <v>10</v>
      </c>
      <c r="E25" s="50">
        <v>0</v>
      </c>
      <c r="F25" s="51">
        <v>1</v>
      </c>
      <c r="G25" s="52">
        <f>Параметры!$B$9</f>
        <v>0.8</v>
      </c>
      <c r="H25" s="48">
        <f t="shared" si="0"/>
        <v>8</v>
      </c>
    </row>
    <row r="26" spans="1:8" x14ac:dyDescent="0.3">
      <c r="A26" s="56">
        <v>2</v>
      </c>
      <c r="B26" s="49" t="s">
        <v>478</v>
      </c>
      <c r="C26" s="49" t="s">
        <v>380</v>
      </c>
      <c r="D26" s="47">
        <f>SUMIF('Дорожная карта'!$A$6:$A$16,A26,'Дорожная карта'!$E$6:$E$16)</f>
        <v>10</v>
      </c>
      <c r="E26" s="50">
        <v>0</v>
      </c>
      <c r="F26" s="51">
        <v>0.8</v>
      </c>
      <c r="G26" s="52">
        <f>Параметры!$B$9</f>
        <v>0.8</v>
      </c>
      <c r="H26" s="48">
        <f t="shared" si="0"/>
        <v>6.4</v>
      </c>
    </row>
    <row r="27" spans="1:8" x14ac:dyDescent="0.3">
      <c r="A27" s="56">
        <v>2</v>
      </c>
      <c r="B27" s="49" t="s">
        <v>479</v>
      </c>
      <c r="C27" s="49" t="s">
        <v>381</v>
      </c>
      <c r="D27" s="47">
        <f>SUMIF('Дорожная карта'!$A$6:$A$16,A27,'Дорожная карта'!$E$6:$E$16)</f>
        <v>10</v>
      </c>
      <c r="E27" s="50">
        <v>0</v>
      </c>
      <c r="F27" s="51">
        <v>1</v>
      </c>
      <c r="G27" s="52">
        <f>Параметры!$B$9</f>
        <v>0.8</v>
      </c>
      <c r="H27" s="48">
        <f t="shared" si="0"/>
        <v>8</v>
      </c>
    </row>
    <row r="28" spans="1:8" x14ac:dyDescent="0.3">
      <c r="A28" s="56">
        <v>2</v>
      </c>
      <c r="B28" s="49" t="s">
        <v>480</v>
      </c>
      <c r="C28" s="49" t="s">
        <v>377</v>
      </c>
      <c r="D28" s="47">
        <f>SUMIF('Дорожная карта'!$A$6:$A$16,A28,'Дорожная карта'!$E$6:$E$16)</f>
        <v>10</v>
      </c>
      <c r="E28" s="50">
        <v>0</v>
      </c>
      <c r="F28" s="51">
        <v>1</v>
      </c>
      <c r="G28" s="52">
        <f>Параметры!$B$9</f>
        <v>0.8</v>
      </c>
      <c r="H28" s="48">
        <f t="shared" si="0"/>
        <v>8</v>
      </c>
    </row>
    <row r="29" spans="1:8" x14ac:dyDescent="0.3">
      <c r="A29" s="56">
        <v>2</v>
      </c>
      <c r="B29" s="49" t="s">
        <v>481</v>
      </c>
      <c r="C29" s="49" t="s">
        <v>382</v>
      </c>
      <c r="D29" s="47">
        <f>SUMIF('Дорожная карта'!$A$6:$A$16,A29,'Дорожная карта'!$E$6:$E$16)</f>
        <v>10</v>
      </c>
      <c r="E29" s="50">
        <v>0</v>
      </c>
      <c r="F29" s="51">
        <v>0.8</v>
      </c>
      <c r="G29" s="52">
        <f>Параметры!$B$9</f>
        <v>0.8</v>
      </c>
      <c r="H29" s="48">
        <f t="shared" si="0"/>
        <v>6.4</v>
      </c>
    </row>
    <row r="30" spans="1:8" x14ac:dyDescent="0.3">
      <c r="A30" s="56">
        <v>2</v>
      </c>
      <c r="B30" s="49" t="s">
        <v>483</v>
      </c>
      <c r="C30" s="49" t="s">
        <v>378</v>
      </c>
      <c r="D30" s="47">
        <f>SUMIF('Дорожная карта'!$A$6:$A$16,A30,'Дорожная карта'!$E$6:$E$16)</f>
        <v>10</v>
      </c>
      <c r="E30" s="50">
        <v>0</v>
      </c>
      <c r="F30" s="51">
        <v>1</v>
      </c>
      <c r="G30" s="52">
        <f>Параметры!$B$9</f>
        <v>0.8</v>
      </c>
      <c r="H30" s="48">
        <f t="shared" si="0"/>
        <v>8</v>
      </c>
    </row>
    <row r="31" spans="1:8" x14ac:dyDescent="0.3">
      <c r="A31" s="40">
        <v>3</v>
      </c>
      <c r="B31" s="41" t="s">
        <v>264</v>
      </c>
      <c r="C31" s="41" t="s">
        <v>377</v>
      </c>
      <c r="D31" s="42">
        <f>SUMIF('Дорожная карта'!$A$6:$A$16,A31,'Дорожная карта'!$E$6:$E$16)</f>
        <v>10</v>
      </c>
      <c r="E31" s="43">
        <v>0</v>
      </c>
      <c r="F31" s="44">
        <v>1</v>
      </c>
      <c r="G31" s="45">
        <f>Параметры!$B$9</f>
        <v>0.8</v>
      </c>
      <c r="H31" s="46">
        <f t="shared" si="0"/>
        <v>8</v>
      </c>
    </row>
    <row r="32" spans="1:8" x14ac:dyDescent="0.3">
      <c r="A32" s="47">
        <v>3</v>
      </c>
      <c r="B32" s="49" t="s">
        <v>267</v>
      </c>
      <c r="C32" s="49" t="s">
        <v>378</v>
      </c>
      <c r="D32" s="47">
        <f>SUMIF('Дорожная карта'!$A$6:$A$16,A32,'Дорожная карта'!$E$6:$E$16)</f>
        <v>10</v>
      </c>
      <c r="E32" s="50">
        <v>0</v>
      </c>
      <c r="F32" s="51">
        <v>1</v>
      </c>
      <c r="G32" s="52">
        <f>Параметры!$B$9</f>
        <v>0.8</v>
      </c>
      <c r="H32" s="48">
        <f t="shared" si="0"/>
        <v>8</v>
      </c>
    </row>
    <row r="33" spans="1:8" x14ac:dyDescent="0.3">
      <c r="A33" s="47">
        <v>3</v>
      </c>
      <c r="B33" s="49" t="s">
        <v>275</v>
      </c>
      <c r="C33" s="49" t="s">
        <v>379</v>
      </c>
      <c r="D33" s="47">
        <f>SUMIF('Дорожная карта'!$A$6:$A$16,A33,'Дорожная карта'!$E$6:$E$16)</f>
        <v>10</v>
      </c>
      <c r="E33" s="50">
        <v>0</v>
      </c>
      <c r="F33" s="51">
        <v>0.8</v>
      </c>
      <c r="G33" s="52">
        <f>Параметры!$B$9</f>
        <v>0.8</v>
      </c>
      <c r="H33" s="48">
        <f t="shared" si="0"/>
        <v>6.4</v>
      </c>
    </row>
    <row r="34" spans="1:8" x14ac:dyDescent="0.3">
      <c r="A34" s="47">
        <v>3</v>
      </c>
      <c r="B34" s="49" t="s">
        <v>270</v>
      </c>
      <c r="C34" s="49" t="s">
        <v>377</v>
      </c>
      <c r="D34" s="47">
        <f>SUMIF('Дорожная карта'!$A$6:$A$16,A34,'Дорожная карта'!$E$6:$E$16)</f>
        <v>10</v>
      </c>
      <c r="E34" s="50">
        <v>0</v>
      </c>
      <c r="F34" s="51">
        <v>1</v>
      </c>
      <c r="G34" s="52">
        <f>Параметры!$B$9</f>
        <v>0.8</v>
      </c>
      <c r="H34" s="48">
        <f t="shared" si="0"/>
        <v>8</v>
      </c>
    </row>
    <row r="35" spans="1:8" x14ac:dyDescent="0.3">
      <c r="A35" s="47">
        <v>3</v>
      </c>
      <c r="B35" s="49" t="s">
        <v>474</v>
      </c>
      <c r="C35" s="49" t="s">
        <v>381</v>
      </c>
      <c r="D35" s="47">
        <f>SUMIF('Дорожная карта'!$A$6:$A$16,A35,'Дорожная карта'!$E$6:$E$16)</f>
        <v>10</v>
      </c>
      <c r="E35" s="50">
        <v>0</v>
      </c>
      <c r="F35" s="51">
        <v>0.5</v>
      </c>
      <c r="G35" s="52">
        <f>Параметры!$B$9</f>
        <v>0.8</v>
      </c>
      <c r="H35" s="48">
        <f t="shared" si="0"/>
        <v>4</v>
      </c>
    </row>
    <row r="36" spans="1:8" x14ac:dyDescent="0.3">
      <c r="A36" s="47">
        <v>3</v>
      </c>
      <c r="B36" s="49" t="s">
        <v>475</v>
      </c>
      <c r="C36" s="49" t="s">
        <v>377</v>
      </c>
      <c r="D36" s="47">
        <f>SUMIF('Дорожная карта'!$A$6:$A$16,A36,'Дорожная карта'!$E$6:$E$16)</f>
        <v>10</v>
      </c>
      <c r="E36" s="50">
        <v>0</v>
      </c>
      <c r="F36" s="51">
        <v>1</v>
      </c>
      <c r="G36" s="52">
        <f>Параметры!$B$9</f>
        <v>0.8</v>
      </c>
      <c r="H36" s="48">
        <f t="shared" si="0"/>
        <v>8</v>
      </c>
    </row>
    <row r="37" spans="1:8" x14ac:dyDescent="0.3">
      <c r="A37" s="47">
        <v>3</v>
      </c>
      <c r="B37" s="49" t="s">
        <v>476</v>
      </c>
      <c r="C37" s="49" t="s">
        <v>378</v>
      </c>
      <c r="D37" s="47">
        <f>SUMIF('Дорожная карта'!$A$6:$A$16,A37,'Дорожная карта'!$E$6:$E$16)</f>
        <v>10</v>
      </c>
      <c r="E37" s="50">
        <v>0</v>
      </c>
      <c r="F37" s="51">
        <v>1</v>
      </c>
      <c r="G37" s="52">
        <f>Параметры!$B$9</f>
        <v>0.8</v>
      </c>
      <c r="H37" s="48">
        <f t="shared" ref="H37:H68" si="2">MAX(0,(D37-E37)*F37*G37)</f>
        <v>8</v>
      </c>
    </row>
    <row r="38" spans="1:8" x14ac:dyDescent="0.3">
      <c r="A38" s="47">
        <v>3</v>
      </c>
      <c r="B38" s="49" t="s">
        <v>477</v>
      </c>
      <c r="C38" s="49" t="s">
        <v>379</v>
      </c>
      <c r="D38" s="47">
        <f>SUMIF('Дорожная карта'!$A$6:$A$16,A38,'Дорожная карта'!$E$6:$E$16)</f>
        <v>10</v>
      </c>
      <c r="E38" s="50">
        <v>0</v>
      </c>
      <c r="F38" s="51">
        <v>1</v>
      </c>
      <c r="G38" s="52">
        <f>Параметры!$B$9</f>
        <v>0.8</v>
      </c>
      <c r="H38" s="48">
        <f t="shared" si="2"/>
        <v>8</v>
      </c>
    </row>
    <row r="39" spans="1:8" x14ac:dyDescent="0.3">
      <c r="A39" s="47">
        <v>3</v>
      </c>
      <c r="B39" s="49" t="s">
        <v>478</v>
      </c>
      <c r="C39" s="49" t="s">
        <v>380</v>
      </c>
      <c r="D39" s="47">
        <f>SUMIF('Дорожная карта'!$A$6:$A$16,A39,'Дорожная карта'!$E$6:$E$16)</f>
        <v>10</v>
      </c>
      <c r="E39" s="50">
        <v>0</v>
      </c>
      <c r="F39" s="51">
        <v>0.8</v>
      </c>
      <c r="G39" s="52">
        <f>Параметры!$B$9</f>
        <v>0.8</v>
      </c>
      <c r="H39" s="48">
        <f t="shared" si="2"/>
        <v>6.4</v>
      </c>
    </row>
    <row r="40" spans="1:8" x14ac:dyDescent="0.3">
      <c r="A40" s="47">
        <v>3</v>
      </c>
      <c r="B40" s="49" t="s">
        <v>479</v>
      </c>
      <c r="C40" s="49" t="s">
        <v>381</v>
      </c>
      <c r="D40" s="47">
        <f>SUMIF('Дорожная карта'!$A$6:$A$16,A40,'Дорожная карта'!$E$6:$E$16)</f>
        <v>10</v>
      </c>
      <c r="E40" s="50">
        <v>0</v>
      </c>
      <c r="F40" s="51">
        <v>1</v>
      </c>
      <c r="G40" s="52">
        <f>Параметры!$B$9</f>
        <v>0.8</v>
      </c>
      <c r="H40" s="48">
        <f t="shared" si="2"/>
        <v>8</v>
      </c>
    </row>
    <row r="41" spans="1:8" x14ac:dyDescent="0.3">
      <c r="A41" s="47">
        <v>3</v>
      </c>
      <c r="B41" s="49" t="s">
        <v>480</v>
      </c>
      <c r="C41" s="49" t="s">
        <v>377</v>
      </c>
      <c r="D41" s="47">
        <f>SUMIF('Дорожная карта'!$A$6:$A$16,A41,'Дорожная карта'!$E$6:$E$16)</f>
        <v>10</v>
      </c>
      <c r="E41" s="50">
        <v>0</v>
      </c>
      <c r="F41" s="51">
        <v>1</v>
      </c>
      <c r="G41" s="52">
        <f>Параметры!$B$9</f>
        <v>0.8</v>
      </c>
      <c r="H41" s="48">
        <f t="shared" si="2"/>
        <v>8</v>
      </c>
    </row>
    <row r="42" spans="1:8" x14ac:dyDescent="0.3">
      <c r="A42" s="47">
        <v>3</v>
      </c>
      <c r="B42" s="49" t="s">
        <v>481</v>
      </c>
      <c r="C42" s="49" t="s">
        <v>382</v>
      </c>
      <c r="D42" s="47">
        <f>SUMIF('Дорожная карта'!$A$6:$A$16,A42,'Дорожная карта'!$E$6:$E$16)</f>
        <v>10</v>
      </c>
      <c r="E42" s="50">
        <v>0</v>
      </c>
      <c r="F42" s="51">
        <v>0.8</v>
      </c>
      <c r="G42" s="52">
        <f>Параметры!$B$9</f>
        <v>0.8</v>
      </c>
      <c r="H42" s="48">
        <f t="shared" si="2"/>
        <v>6.4</v>
      </c>
    </row>
    <row r="43" spans="1:8" x14ac:dyDescent="0.3">
      <c r="A43" s="47">
        <v>3</v>
      </c>
      <c r="B43" s="49" t="s">
        <v>483</v>
      </c>
      <c r="C43" s="49" t="s">
        <v>378</v>
      </c>
      <c r="D43" s="47">
        <f>SUMIF('Дорожная карта'!$A$6:$A$16,A43,'Дорожная карта'!$E$6:$E$16)</f>
        <v>10</v>
      </c>
      <c r="E43" s="50">
        <v>0</v>
      </c>
      <c r="F43" s="51">
        <v>1</v>
      </c>
      <c r="G43" s="52">
        <f>Параметры!$B$9</f>
        <v>0.8</v>
      </c>
      <c r="H43" s="48">
        <f t="shared" si="2"/>
        <v>8</v>
      </c>
    </row>
    <row r="44" spans="1:8" x14ac:dyDescent="0.3">
      <c r="A44" s="55">
        <v>4</v>
      </c>
      <c r="B44" s="41" t="s">
        <v>264</v>
      </c>
      <c r="C44" s="41" t="s">
        <v>377</v>
      </c>
      <c r="D44" s="42">
        <f>SUMIF('Дорожная карта'!$A$6:$A$16,A44,'Дорожная карта'!$E$6:$E$16)</f>
        <v>10</v>
      </c>
      <c r="E44" s="43">
        <v>0</v>
      </c>
      <c r="F44" s="44">
        <v>1</v>
      </c>
      <c r="G44" s="45">
        <f>Параметры!$B$9</f>
        <v>0.8</v>
      </c>
      <c r="H44" s="46">
        <f t="shared" si="2"/>
        <v>8</v>
      </c>
    </row>
    <row r="45" spans="1:8" x14ac:dyDescent="0.3">
      <c r="A45" s="56">
        <v>4</v>
      </c>
      <c r="B45" s="49" t="s">
        <v>267</v>
      </c>
      <c r="C45" s="49" t="s">
        <v>378</v>
      </c>
      <c r="D45" s="47">
        <f>SUMIF('Дорожная карта'!$A$6:$A$16,A45,'Дорожная карта'!$E$6:$E$16)</f>
        <v>10</v>
      </c>
      <c r="E45" s="50">
        <v>0</v>
      </c>
      <c r="F45" s="51">
        <v>1</v>
      </c>
      <c r="G45" s="52">
        <f>Параметры!$B$9</f>
        <v>0.8</v>
      </c>
      <c r="H45" s="48">
        <f t="shared" si="2"/>
        <v>8</v>
      </c>
    </row>
    <row r="46" spans="1:8" x14ac:dyDescent="0.3">
      <c r="A46" s="56">
        <v>4</v>
      </c>
      <c r="B46" s="49" t="s">
        <v>275</v>
      </c>
      <c r="C46" s="49" t="s">
        <v>379</v>
      </c>
      <c r="D46" s="47">
        <f>SUMIF('Дорожная карта'!$A$6:$A$16,A46,'Дорожная карта'!$E$6:$E$16)</f>
        <v>10</v>
      </c>
      <c r="E46" s="50">
        <v>0</v>
      </c>
      <c r="F46" s="51">
        <v>0.8</v>
      </c>
      <c r="G46" s="52">
        <f>Параметры!$B$9</f>
        <v>0.8</v>
      </c>
      <c r="H46" s="48">
        <f t="shared" si="2"/>
        <v>6.4</v>
      </c>
    </row>
    <row r="47" spans="1:8" x14ac:dyDescent="0.3">
      <c r="A47" s="56">
        <v>4</v>
      </c>
      <c r="B47" s="49" t="s">
        <v>270</v>
      </c>
      <c r="C47" s="49" t="s">
        <v>377</v>
      </c>
      <c r="D47" s="47">
        <f>SUMIF('Дорожная карта'!$A$6:$A$16,A47,'Дорожная карта'!$E$6:$E$16)</f>
        <v>10</v>
      </c>
      <c r="E47" s="50">
        <v>0</v>
      </c>
      <c r="F47" s="51">
        <v>1</v>
      </c>
      <c r="G47" s="52">
        <f>Параметры!$B$9</f>
        <v>0.8</v>
      </c>
      <c r="H47" s="48">
        <f t="shared" si="2"/>
        <v>8</v>
      </c>
    </row>
    <row r="48" spans="1:8" x14ac:dyDescent="0.3">
      <c r="A48" s="56">
        <v>4</v>
      </c>
      <c r="B48" s="49" t="s">
        <v>474</v>
      </c>
      <c r="C48" s="49" t="s">
        <v>381</v>
      </c>
      <c r="D48" s="47">
        <f>SUMIF('Дорожная карта'!$A$6:$A$16,A48,'Дорожная карта'!$E$6:$E$16)</f>
        <v>10</v>
      </c>
      <c r="E48" s="50">
        <v>0</v>
      </c>
      <c r="F48" s="51">
        <v>0.5</v>
      </c>
      <c r="G48" s="52">
        <f>Параметры!$B$9</f>
        <v>0.8</v>
      </c>
      <c r="H48" s="48">
        <f t="shared" si="2"/>
        <v>4</v>
      </c>
    </row>
    <row r="49" spans="1:8" x14ac:dyDescent="0.3">
      <c r="A49" s="56">
        <v>4</v>
      </c>
      <c r="B49" s="49" t="s">
        <v>475</v>
      </c>
      <c r="C49" s="49" t="s">
        <v>377</v>
      </c>
      <c r="D49" s="47">
        <f>SUMIF('Дорожная карта'!$A$6:$A$16,A49,'Дорожная карта'!$E$6:$E$16)</f>
        <v>10</v>
      </c>
      <c r="E49" s="50">
        <v>0</v>
      </c>
      <c r="F49" s="51">
        <v>1</v>
      </c>
      <c r="G49" s="52">
        <f>Параметры!$B$9</f>
        <v>0.8</v>
      </c>
      <c r="H49" s="48">
        <f t="shared" si="2"/>
        <v>8</v>
      </c>
    </row>
    <row r="50" spans="1:8" x14ac:dyDescent="0.3">
      <c r="A50" s="56">
        <v>4</v>
      </c>
      <c r="B50" s="49" t="s">
        <v>476</v>
      </c>
      <c r="C50" s="49" t="s">
        <v>378</v>
      </c>
      <c r="D50" s="47">
        <f>SUMIF('Дорожная карта'!$A$6:$A$16,A50,'Дорожная карта'!$E$6:$E$16)</f>
        <v>10</v>
      </c>
      <c r="E50" s="50">
        <v>0</v>
      </c>
      <c r="F50" s="51">
        <v>1</v>
      </c>
      <c r="G50" s="52">
        <f>Параметры!$B$9</f>
        <v>0.8</v>
      </c>
      <c r="H50" s="48">
        <f t="shared" si="2"/>
        <v>8</v>
      </c>
    </row>
    <row r="51" spans="1:8" x14ac:dyDescent="0.3">
      <c r="A51" s="56">
        <v>4</v>
      </c>
      <c r="B51" s="49" t="s">
        <v>477</v>
      </c>
      <c r="C51" s="49" t="s">
        <v>379</v>
      </c>
      <c r="D51" s="47">
        <f>SUMIF('Дорожная карта'!$A$6:$A$16,A51,'Дорожная карта'!$E$6:$E$16)</f>
        <v>10</v>
      </c>
      <c r="E51" s="50">
        <v>0</v>
      </c>
      <c r="F51" s="51">
        <v>1</v>
      </c>
      <c r="G51" s="52">
        <f>Параметры!$B$9</f>
        <v>0.8</v>
      </c>
      <c r="H51" s="48">
        <f t="shared" si="2"/>
        <v>8</v>
      </c>
    </row>
    <row r="52" spans="1:8" x14ac:dyDescent="0.3">
      <c r="A52" s="56">
        <v>4</v>
      </c>
      <c r="B52" s="49" t="s">
        <v>478</v>
      </c>
      <c r="C52" s="49" t="s">
        <v>380</v>
      </c>
      <c r="D52" s="47">
        <f>SUMIF('Дорожная карта'!$A$6:$A$16,A52,'Дорожная карта'!$E$6:$E$16)</f>
        <v>10</v>
      </c>
      <c r="E52" s="50">
        <v>0</v>
      </c>
      <c r="F52" s="51">
        <v>0.8</v>
      </c>
      <c r="G52" s="52">
        <f>Параметры!$B$9</f>
        <v>0.8</v>
      </c>
      <c r="H52" s="48">
        <f t="shared" si="2"/>
        <v>6.4</v>
      </c>
    </row>
    <row r="53" spans="1:8" x14ac:dyDescent="0.3">
      <c r="A53" s="56">
        <v>4</v>
      </c>
      <c r="B53" s="49" t="s">
        <v>479</v>
      </c>
      <c r="C53" s="49" t="s">
        <v>381</v>
      </c>
      <c r="D53" s="47">
        <f>SUMIF('Дорожная карта'!$A$6:$A$16,A53,'Дорожная карта'!$E$6:$E$16)</f>
        <v>10</v>
      </c>
      <c r="E53" s="50">
        <v>0</v>
      </c>
      <c r="F53" s="51">
        <v>1</v>
      </c>
      <c r="G53" s="52">
        <f>Параметры!$B$9</f>
        <v>0.8</v>
      </c>
      <c r="H53" s="48">
        <f t="shared" si="2"/>
        <v>8</v>
      </c>
    </row>
    <row r="54" spans="1:8" x14ac:dyDescent="0.3">
      <c r="A54" s="56">
        <v>4</v>
      </c>
      <c r="B54" s="49" t="s">
        <v>480</v>
      </c>
      <c r="C54" s="49" t="s">
        <v>377</v>
      </c>
      <c r="D54" s="47">
        <f>SUMIF('Дорожная карта'!$A$6:$A$16,A54,'Дорожная карта'!$E$6:$E$16)</f>
        <v>10</v>
      </c>
      <c r="E54" s="50">
        <v>0</v>
      </c>
      <c r="F54" s="51">
        <v>1</v>
      </c>
      <c r="G54" s="52">
        <f>Параметры!$B$9</f>
        <v>0.8</v>
      </c>
      <c r="H54" s="48">
        <f t="shared" si="2"/>
        <v>8</v>
      </c>
    </row>
    <row r="55" spans="1:8" x14ac:dyDescent="0.3">
      <c r="A55" s="56">
        <v>4</v>
      </c>
      <c r="B55" s="49" t="s">
        <v>481</v>
      </c>
      <c r="C55" s="49" t="s">
        <v>382</v>
      </c>
      <c r="D55" s="47">
        <f>SUMIF('Дорожная карта'!$A$6:$A$16,A55,'Дорожная карта'!$E$6:$E$16)</f>
        <v>10</v>
      </c>
      <c r="E55" s="50">
        <v>0</v>
      </c>
      <c r="F55" s="51">
        <v>0.8</v>
      </c>
      <c r="G55" s="52">
        <f>Параметры!$B$9</f>
        <v>0.8</v>
      </c>
      <c r="H55" s="48">
        <f t="shared" si="2"/>
        <v>6.4</v>
      </c>
    </row>
    <row r="56" spans="1:8" x14ac:dyDescent="0.3">
      <c r="A56" s="56">
        <v>4</v>
      </c>
      <c r="B56" s="49" t="s">
        <v>483</v>
      </c>
      <c r="C56" s="49" t="s">
        <v>378</v>
      </c>
      <c r="D56" s="47">
        <f>SUMIF('Дорожная карта'!$A$6:$A$16,A56,'Дорожная карта'!$E$6:$E$16)</f>
        <v>10</v>
      </c>
      <c r="E56" s="50">
        <v>0</v>
      </c>
      <c r="F56" s="51">
        <v>1</v>
      </c>
      <c r="G56" s="52">
        <f>Параметры!$B$9</f>
        <v>0.8</v>
      </c>
      <c r="H56" s="48">
        <f t="shared" si="2"/>
        <v>8</v>
      </c>
    </row>
    <row r="57" spans="1:8" x14ac:dyDescent="0.3">
      <c r="A57" s="40">
        <v>5</v>
      </c>
      <c r="B57" s="41" t="s">
        <v>264</v>
      </c>
      <c r="C57" s="41" t="s">
        <v>377</v>
      </c>
      <c r="D57" s="42">
        <f>SUMIF('Дорожная карта'!$A$6:$A$16,A57,'Дорожная карта'!$E$6:$E$16)</f>
        <v>10</v>
      </c>
      <c r="E57" s="43">
        <v>0</v>
      </c>
      <c r="F57" s="44">
        <v>1</v>
      </c>
      <c r="G57" s="45">
        <f>Параметры!$B$9</f>
        <v>0.8</v>
      </c>
      <c r="H57" s="46">
        <f t="shared" si="2"/>
        <v>8</v>
      </c>
    </row>
    <row r="58" spans="1:8" x14ac:dyDescent="0.3">
      <c r="A58" s="47">
        <v>5</v>
      </c>
      <c r="B58" s="49" t="s">
        <v>267</v>
      </c>
      <c r="C58" s="49" t="s">
        <v>378</v>
      </c>
      <c r="D58" s="47">
        <f>SUMIF('Дорожная карта'!$A$6:$A$16,A58,'Дорожная карта'!$E$6:$E$16)</f>
        <v>10</v>
      </c>
      <c r="E58" s="50">
        <v>0</v>
      </c>
      <c r="F58" s="51">
        <v>1</v>
      </c>
      <c r="G58" s="52">
        <f>Параметры!$B$9</f>
        <v>0.8</v>
      </c>
      <c r="H58" s="48">
        <f t="shared" si="2"/>
        <v>8</v>
      </c>
    </row>
    <row r="59" spans="1:8" x14ac:dyDescent="0.3">
      <c r="A59" s="47">
        <v>5</v>
      </c>
      <c r="B59" s="49" t="s">
        <v>275</v>
      </c>
      <c r="C59" s="49" t="s">
        <v>379</v>
      </c>
      <c r="D59" s="47">
        <f>SUMIF('Дорожная карта'!$A$6:$A$16,A59,'Дорожная карта'!$E$6:$E$16)</f>
        <v>10</v>
      </c>
      <c r="E59" s="50">
        <v>0</v>
      </c>
      <c r="F59" s="51">
        <v>0.8</v>
      </c>
      <c r="G59" s="52">
        <f>Параметры!$B$9</f>
        <v>0.8</v>
      </c>
      <c r="H59" s="48">
        <f t="shared" si="2"/>
        <v>6.4</v>
      </c>
    </row>
    <row r="60" spans="1:8" x14ac:dyDescent="0.3">
      <c r="A60" s="47">
        <v>5</v>
      </c>
      <c r="B60" s="49" t="s">
        <v>270</v>
      </c>
      <c r="C60" s="49" t="s">
        <v>377</v>
      </c>
      <c r="D60" s="47">
        <f>SUMIF('Дорожная карта'!$A$6:$A$16,A60,'Дорожная карта'!$E$6:$E$16)</f>
        <v>10</v>
      </c>
      <c r="E60" s="50">
        <v>0</v>
      </c>
      <c r="F60" s="51">
        <v>1</v>
      </c>
      <c r="G60" s="52">
        <f>Параметры!$B$9</f>
        <v>0.8</v>
      </c>
      <c r="H60" s="48">
        <f t="shared" si="2"/>
        <v>8</v>
      </c>
    </row>
    <row r="61" spans="1:8" x14ac:dyDescent="0.3">
      <c r="A61" s="47">
        <v>5</v>
      </c>
      <c r="B61" s="49" t="s">
        <v>474</v>
      </c>
      <c r="C61" s="49" t="s">
        <v>381</v>
      </c>
      <c r="D61" s="47">
        <f>SUMIF('Дорожная карта'!$A$6:$A$16,A61,'Дорожная карта'!$E$6:$E$16)</f>
        <v>10</v>
      </c>
      <c r="E61" s="50">
        <v>5</v>
      </c>
      <c r="F61" s="51">
        <v>0.5</v>
      </c>
      <c r="G61" s="52">
        <f>Параметры!$B$9</f>
        <v>0.8</v>
      </c>
      <c r="H61" s="48">
        <f t="shared" si="2"/>
        <v>2</v>
      </c>
    </row>
    <row r="62" spans="1:8" x14ac:dyDescent="0.3">
      <c r="A62" s="47">
        <v>5</v>
      </c>
      <c r="B62" s="49" t="s">
        <v>475</v>
      </c>
      <c r="C62" s="49" t="s">
        <v>377</v>
      </c>
      <c r="D62" s="47">
        <f>SUMIF('Дорожная карта'!$A$6:$A$16,A62,'Дорожная карта'!$E$6:$E$16)</f>
        <v>10</v>
      </c>
      <c r="E62" s="50">
        <v>0</v>
      </c>
      <c r="F62" s="51">
        <v>1</v>
      </c>
      <c r="G62" s="52">
        <f>Параметры!$B$9</f>
        <v>0.8</v>
      </c>
      <c r="H62" s="48">
        <f t="shared" si="2"/>
        <v>8</v>
      </c>
    </row>
    <row r="63" spans="1:8" x14ac:dyDescent="0.3">
      <c r="A63" s="47">
        <v>5</v>
      </c>
      <c r="B63" s="49" t="s">
        <v>476</v>
      </c>
      <c r="C63" s="49" t="s">
        <v>378</v>
      </c>
      <c r="D63" s="47">
        <f>SUMIF('Дорожная карта'!$A$6:$A$16,A63,'Дорожная карта'!$E$6:$E$16)</f>
        <v>10</v>
      </c>
      <c r="E63" s="50">
        <v>0</v>
      </c>
      <c r="F63" s="51">
        <v>1</v>
      </c>
      <c r="G63" s="52">
        <f>Параметры!$B$9</f>
        <v>0.8</v>
      </c>
      <c r="H63" s="48">
        <f t="shared" si="2"/>
        <v>8</v>
      </c>
    </row>
    <row r="64" spans="1:8" x14ac:dyDescent="0.3">
      <c r="A64" s="47">
        <v>5</v>
      </c>
      <c r="B64" s="49" t="s">
        <v>477</v>
      </c>
      <c r="C64" s="49" t="s">
        <v>379</v>
      </c>
      <c r="D64" s="47">
        <f>SUMIF('Дорожная карта'!$A$6:$A$16,A64,'Дорожная карта'!$E$6:$E$16)</f>
        <v>10</v>
      </c>
      <c r="E64" s="50">
        <v>0</v>
      </c>
      <c r="F64" s="51">
        <v>1</v>
      </c>
      <c r="G64" s="52">
        <f>Параметры!$B$9</f>
        <v>0.8</v>
      </c>
      <c r="H64" s="48">
        <f t="shared" si="2"/>
        <v>8</v>
      </c>
    </row>
    <row r="65" spans="1:8" x14ac:dyDescent="0.3">
      <c r="A65" s="47">
        <v>5</v>
      </c>
      <c r="B65" s="49" t="s">
        <v>478</v>
      </c>
      <c r="C65" s="49" t="s">
        <v>380</v>
      </c>
      <c r="D65" s="47">
        <f>SUMIF('Дорожная карта'!$A$6:$A$16,A65,'Дорожная карта'!$E$6:$E$16)</f>
        <v>10</v>
      </c>
      <c r="E65" s="50">
        <v>0</v>
      </c>
      <c r="F65" s="51">
        <v>0.8</v>
      </c>
      <c r="G65" s="52">
        <f>Параметры!$B$9</f>
        <v>0.8</v>
      </c>
      <c r="H65" s="48">
        <f t="shared" si="2"/>
        <v>6.4</v>
      </c>
    </row>
    <row r="66" spans="1:8" x14ac:dyDescent="0.3">
      <c r="A66" s="47">
        <v>5</v>
      </c>
      <c r="B66" s="49" t="s">
        <v>479</v>
      </c>
      <c r="C66" s="49" t="s">
        <v>381</v>
      </c>
      <c r="D66" s="47">
        <f>SUMIF('Дорожная карта'!$A$6:$A$16,A66,'Дорожная карта'!$E$6:$E$16)</f>
        <v>10</v>
      </c>
      <c r="E66" s="50">
        <v>0</v>
      </c>
      <c r="F66" s="51">
        <v>1</v>
      </c>
      <c r="G66" s="52">
        <f>Параметры!$B$9</f>
        <v>0.8</v>
      </c>
      <c r="H66" s="48">
        <f t="shared" si="2"/>
        <v>8</v>
      </c>
    </row>
    <row r="67" spans="1:8" x14ac:dyDescent="0.3">
      <c r="A67" s="47">
        <v>5</v>
      </c>
      <c r="B67" s="49" t="s">
        <v>480</v>
      </c>
      <c r="C67" s="49" t="s">
        <v>377</v>
      </c>
      <c r="D67" s="47">
        <f>SUMIF('Дорожная карта'!$A$6:$A$16,A67,'Дорожная карта'!$E$6:$E$16)</f>
        <v>10</v>
      </c>
      <c r="E67" s="50">
        <v>0</v>
      </c>
      <c r="F67" s="51">
        <v>1</v>
      </c>
      <c r="G67" s="52">
        <f>Параметры!$B$9</f>
        <v>0.8</v>
      </c>
      <c r="H67" s="48">
        <f t="shared" si="2"/>
        <v>8</v>
      </c>
    </row>
    <row r="68" spans="1:8" x14ac:dyDescent="0.3">
      <c r="A68" s="47">
        <v>5</v>
      </c>
      <c r="B68" s="49" t="s">
        <v>481</v>
      </c>
      <c r="C68" s="49" t="s">
        <v>382</v>
      </c>
      <c r="D68" s="47">
        <f>SUMIF('Дорожная карта'!$A$6:$A$16,A68,'Дорожная карта'!$E$6:$E$16)</f>
        <v>10</v>
      </c>
      <c r="E68" s="50">
        <v>0</v>
      </c>
      <c r="F68" s="51">
        <v>0.8</v>
      </c>
      <c r="G68" s="52">
        <f>Параметры!$B$9</f>
        <v>0.8</v>
      </c>
      <c r="H68" s="48">
        <f t="shared" si="2"/>
        <v>6.4</v>
      </c>
    </row>
    <row r="69" spans="1:8" x14ac:dyDescent="0.3">
      <c r="A69" s="47">
        <v>5</v>
      </c>
      <c r="B69" s="49" t="s">
        <v>483</v>
      </c>
      <c r="C69" s="49" t="s">
        <v>378</v>
      </c>
      <c r="D69" s="47">
        <f>SUMIF('Дорожная карта'!$A$6:$A$16,A69,'Дорожная карта'!$E$6:$E$16)</f>
        <v>10</v>
      </c>
      <c r="E69" s="50">
        <v>0</v>
      </c>
      <c r="F69" s="51">
        <v>1</v>
      </c>
      <c r="G69" s="52">
        <f>Параметры!$B$9</f>
        <v>0.8</v>
      </c>
      <c r="H69" s="48">
        <f t="shared" ref="H69:H100" si="3">MAX(0,(D69-E69)*F69*G69)</f>
        <v>8</v>
      </c>
    </row>
    <row r="70" spans="1:8" x14ac:dyDescent="0.3">
      <c r="A70" s="55">
        <v>6</v>
      </c>
      <c r="B70" s="41" t="s">
        <v>264</v>
      </c>
      <c r="C70" s="41" t="s">
        <v>377</v>
      </c>
      <c r="D70" s="42">
        <f>SUMIF('Дорожная карта'!$A$6:$A$16,A70,'Дорожная карта'!$E$6:$E$16)</f>
        <v>10</v>
      </c>
      <c r="E70" s="43">
        <v>0</v>
      </c>
      <c r="F70" s="44">
        <v>1</v>
      </c>
      <c r="G70" s="45">
        <f>Параметры!$B$9</f>
        <v>0.8</v>
      </c>
      <c r="H70" s="46">
        <f t="shared" si="3"/>
        <v>8</v>
      </c>
    </row>
    <row r="71" spans="1:8" x14ac:dyDescent="0.3">
      <c r="A71" s="56">
        <v>6</v>
      </c>
      <c r="B71" s="49" t="s">
        <v>267</v>
      </c>
      <c r="C71" s="49" t="s">
        <v>378</v>
      </c>
      <c r="D71" s="47">
        <f>SUMIF('Дорожная карта'!$A$6:$A$16,A71,'Дорожная карта'!$E$6:$E$16)</f>
        <v>10</v>
      </c>
      <c r="E71" s="50">
        <v>0</v>
      </c>
      <c r="F71" s="51">
        <v>1</v>
      </c>
      <c r="G71" s="52">
        <f>Параметры!$B$9</f>
        <v>0.8</v>
      </c>
      <c r="H71" s="48">
        <f t="shared" si="3"/>
        <v>8</v>
      </c>
    </row>
    <row r="72" spans="1:8" x14ac:dyDescent="0.3">
      <c r="A72" s="56">
        <v>6</v>
      </c>
      <c r="B72" s="49" t="s">
        <v>275</v>
      </c>
      <c r="C72" s="49" t="s">
        <v>379</v>
      </c>
      <c r="D72" s="47">
        <f>SUMIF('Дорожная карта'!$A$6:$A$16,A72,'Дорожная карта'!$E$6:$E$16)</f>
        <v>10</v>
      </c>
      <c r="E72" s="50">
        <v>0</v>
      </c>
      <c r="F72" s="51">
        <v>0.8</v>
      </c>
      <c r="G72" s="52">
        <f>Параметры!$B$9</f>
        <v>0.8</v>
      </c>
      <c r="H72" s="48">
        <f t="shared" si="3"/>
        <v>6.4</v>
      </c>
    </row>
    <row r="73" spans="1:8" x14ac:dyDescent="0.3">
      <c r="A73" s="56">
        <v>6</v>
      </c>
      <c r="B73" s="49" t="s">
        <v>270</v>
      </c>
      <c r="C73" s="49" t="s">
        <v>377</v>
      </c>
      <c r="D73" s="47">
        <f>SUMIF('Дорожная карта'!$A$6:$A$16,A73,'Дорожная карта'!$E$6:$E$16)</f>
        <v>10</v>
      </c>
      <c r="E73" s="50">
        <v>0</v>
      </c>
      <c r="F73" s="51">
        <v>1</v>
      </c>
      <c r="G73" s="52">
        <f>Параметры!$B$9</f>
        <v>0.8</v>
      </c>
      <c r="H73" s="48">
        <f t="shared" si="3"/>
        <v>8</v>
      </c>
    </row>
    <row r="74" spans="1:8" x14ac:dyDescent="0.3">
      <c r="A74" s="56">
        <v>6</v>
      </c>
      <c r="B74" s="49" t="s">
        <v>474</v>
      </c>
      <c r="C74" s="49" t="s">
        <v>381</v>
      </c>
      <c r="D74" s="47">
        <f>SUMIF('Дорожная карта'!$A$6:$A$16,A74,'Дорожная карта'!$E$6:$E$16)</f>
        <v>10</v>
      </c>
      <c r="E74" s="50">
        <v>0</v>
      </c>
      <c r="F74" s="51">
        <v>0.5</v>
      </c>
      <c r="G74" s="52">
        <f>Параметры!$B$9</f>
        <v>0.8</v>
      </c>
      <c r="H74" s="48">
        <f t="shared" si="3"/>
        <v>4</v>
      </c>
    </row>
    <row r="75" spans="1:8" x14ac:dyDescent="0.3">
      <c r="A75" s="56">
        <v>6</v>
      </c>
      <c r="B75" s="49" t="s">
        <v>475</v>
      </c>
      <c r="C75" s="49" t="s">
        <v>377</v>
      </c>
      <c r="D75" s="47">
        <f>SUMIF('Дорожная карта'!$A$6:$A$16,A75,'Дорожная карта'!$E$6:$E$16)</f>
        <v>10</v>
      </c>
      <c r="E75" s="50">
        <v>0</v>
      </c>
      <c r="F75" s="51">
        <v>1</v>
      </c>
      <c r="G75" s="52">
        <f>Параметры!$B$9</f>
        <v>0.8</v>
      </c>
      <c r="H75" s="48">
        <f t="shared" si="3"/>
        <v>8</v>
      </c>
    </row>
    <row r="76" spans="1:8" x14ac:dyDescent="0.3">
      <c r="A76" s="56">
        <v>6</v>
      </c>
      <c r="B76" s="49" t="s">
        <v>476</v>
      </c>
      <c r="C76" s="49" t="s">
        <v>378</v>
      </c>
      <c r="D76" s="47">
        <f>SUMIF('Дорожная карта'!$A$6:$A$16,A76,'Дорожная карта'!$E$6:$E$16)</f>
        <v>10</v>
      </c>
      <c r="E76" s="50">
        <v>0</v>
      </c>
      <c r="F76" s="51">
        <v>1</v>
      </c>
      <c r="G76" s="52">
        <f>Параметры!$B$9</f>
        <v>0.8</v>
      </c>
      <c r="H76" s="48">
        <f t="shared" si="3"/>
        <v>8</v>
      </c>
    </row>
    <row r="77" spans="1:8" x14ac:dyDescent="0.3">
      <c r="A77" s="56">
        <v>6</v>
      </c>
      <c r="B77" s="49" t="s">
        <v>477</v>
      </c>
      <c r="C77" s="49" t="s">
        <v>379</v>
      </c>
      <c r="D77" s="47">
        <f>SUMIF('Дорожная карта'!$A$6:$A$16,A77,'Дорожная карта'!$E$6:$E$16)</f>
        <v>10</v>
      </c>
      <c r="E77" s="50">
        <v>0</v>
      </c>
      <c r="F77" s="51">
        <v>1</v>
      </c>
      <c r="G77" s="52">
        <f>Параметры!$B$9</f>
        <v>0.8</v>
      </c>
      <c r="H77" s="48">
        <f t="shared" si="3"/>
        <v>8</v>
      </c>
    </row>
    <row r="78" spans="1:8" x14ac:dyDescent="0.3">
      <c r="A78" s="56">
        <v>6</v>
      </c>
      <c r="B78" s="49" t="s">
        <v>478</v>
      </c>
      <c r="C78" s="49" t="s">
        <v>380</v>
      </c>
      <c r="D78" s="47">
        <f>SUMIF('Дорожная карта'!$A$6:$A$16,A78,'Дорожная карта'!$E$6:$E$16)</f>
        <v>10</v>
      </c>
      <c r="E78" s="50">
        <v>0</v>
      </c>
      <c r="F78" s="51">
        <v>0.8</v>
      </c>
      <c r="G78" s="52">
        <f>Параметры!$B$9</f>
        <v>0.8</v>
      </c>
      <c r="H78" s="48">
        <f t="shared" si="3"/>
        <v>6.4</v>
      </c>
    </row>
    <row r="79" spans="1:8" x14ac:dyDescent="0.3">
      <c r="A79" s="56">
        <v>6</v>
      </c>
      <c r="B79" s="49" t="s">
        <v>479</v>
      </c>
      <c r="C79" s="49" t="s">
        <v>381</v>
      </c>
      <c r="D79" s="47">
        <f>SUMIF('Дорожная карта'!$A$6:$A$16,A79,'Дорожная карта'!$E$6:$E$16)</f>
        <v>10</v>
      </c>
      <c r="E79" s="50">
        <v>0</v>
      </c>
      <c r="F79" s="51">
        <v>1</v>
      </c>
      <c r="G79" s="52">
        <f>Параметры!$B$9</f>
        <v>0.8</v>
      </c>
      <c r="H79" s="48">
        <f t="shared" si="3"/>
        <v>8</v>
      </c>
    </row>
    <row r="80" spans="1:8" x14ac:dyDescent="0.3">
      <c r="A80" s="56">
        <v>6</v>
      </c>
      <c r="B80" s="49" t="s">
        <v>480</v>
      </c>
      <c r="C80" s="49" t="s">
        <v>377</v>
      </c>
      <c r="D80" s="47">
        <f>SUMIF('Дорожная карта'!$A$6:$A$16,A80,'Дорожная карта'!$E$6:$E$16)</f>
        <v>10</v>
      </c>
      <c r="E80" s="50">
        <v>0</v>
      </c>
      <c r="F80" s="51">
        <v>1</v>
      </c>
      <c r="G80" s="52">
        <f>Параметры!$B$9</f>
        <v>0.8</v>
      </c>
      <c r="H80" s="48">
        <f t="shared" si="3"/>
        <v>8</v>
      </c>
    </row>
    <row r="81" spans="1:8" x14ac:dyDescent="0.3">
      <c r="A81" s="56">
        <v>6</v>
      </c>
      <c r="B81" s="49" t="s">
        <v>481</v>
      </c>
      <c r="C81" s="49" t="s">
        <v>382</v>
      </c>
      <c r="D81" s="47">
        <f>SUMIF('Дорожная карта'!$A$6:$A$16,A81,'Дорожная карта'!$E$6:$E$16)</f>
        <v>10</v>
      </c>
      <c r="E81" s="50">
        <v>0</v>
      </c>
      <c r="F81" s="51">
        <v>0.8</v>
      </c>
      <c r="G81" s="52">
        <f>Параметры!$B$9</f>
        <v>0.8</v>
      </c>
      <c r="H81" s="48">
        <f t="shared" si="3"/>
        <v>6.4</v>
      </c>
    </row>
    <row r="82" spans="1:8" x14ac:dyDescent="0.3">
      <c r="A82" s="56">
        <v>6</v>
      </c>
      <c r="B82" s="49" t="s">
        <v>483</v>
      </c>
      <c r="C82" s="49" t="s">
        <v>378</v>
      </c>
      <c r="D82" s="47">
        <f>SUMIF('Дорожная карта'!$A$6:$A$16,A82,'Дорожная карта'!$E$6:$E$16)</f>
        <v>10</v>
      </c>
      <c r="E82" s="50">
        <v>0</v>
      </c>
      <c r="F82" s="51">
        <v>1</v>
      </c>
      <c r="G82" s="52">
        <f>Параметры!$B$9</f>
        <v>0.8</v>
      </c>
      <c r="H82" s="48">
        <f t="shared" si="3"/>
        <v>8</v>
      </c>
    </row>
    <row r="83" spans="1:8" x14ac:dyDescent="0.3">
      <c r="A83" s="40">
        <v>7</v>
      </c>
      <c r="B83" s="41" t="s">
        <v>264</v>
      </c>
      <c r="C83" s="41" t="s">
        <v>377</v>
      </c>
      <c r="D83" s="42">
        <f>SUMIF('Дорожная карта'!$A$6:$A$16,A83,'Дорожная карта'!$E$6:$E$16)</f>
        <v>9</v>
      </c>
      <c r="E83" s="43">
        <v>0</v>
      </c>
      <c r="F83" s="44">
        <v>1</v>
      </c>
      <c r="G83" s="45">
        <f>Параметры!$B$9</f>
        <v>0.8</v>
      </c>
      <c r="H83" s="46">
        <f t="shared" si="3"/>
        <v>7.2</v>
      </c>
    </row>
    <row r="84" spans="1:8" x14ac:dyDescent="0.3">
      <c r="A84" s="47">
        <v>7</v>
      </c>
      <c r="B84" s="49" t="s">
        <v>267</v>
      </c>
      <c r="C84" s="49" t="s">
        <v>378</v>
      </c>
      <c r="D84" s="47">
        <f>SUMIF('Дорожная карта'!$A$6:$A$16,A84,'Дорожная карта'!$E$6:$E$16)</f>
        <v>9</v>
      </c>
      <c r="E84" s="50">
        <v>0</v>
      </c>
      <c r="F84" s="51">
        <v>1</v>
      </c>
      <c r="G84" s="52">
        <f>Параметры!$B$9</f>
        <v>0.8</v>
      </c>
      <c r="H84" s="48">
        <f t="shared" si="3"/>
        <v>7.2</v>
      </c>
    </row>
    <row r="85" spans="1:8" x14ac:dyDescent="0.3">
      <c r="A85" s="47">
        <v>7</v>
      </c>
      <c r="B85" s="49" t="s">
        <v>275</v>
      </c>
      <c r="C85" s="49" t="s">
        <v>379</v>
      </c>
      <c r="D85" s="47">
        <f>SUMIF('Дорожная карта'!$A$6:$A$16,A85,'Дорожная карта'!$E$6:$E$16)</f>
        <v>9</v>
      </c>
      <c r="E85" s="50">
        <v>0</v>
      </c>
      <c r="F85" s="51">
        <v>0.8</v>
      </c>
      <c r="G85" s="52">
        <f>Параметры!$B$9</f>
        <v>0.8</v>
      </c>
      <c r="H85" s="48">
        <f t="shared" si="3"/>
        <v>5.7600000000000007</v>
      </c>
    </row>
    <row r="86" spans="1:8" x14ac:dyDescent="0.3">
      <c r="A86" s="47">
        <v>7</v>
      </c>
      <c r="B86" s="49" t="s">
        <v>270</v>
      </c>
      <c r="C86" s="49" t="s">
        <v>377</v>
      </c>
      <c r="D86" s="47">
        <f>SUMIF('Дорожная карта'!$A$6:$A$16,A86,'Дорожная карта'!$E$6:$E$16)</f>
        <v>9</v>
      </c>
      <c r="E86" s="50">
        <v>0</v>
      </c>
      <c r="F86" s="51">
        <v>1</v>
      </c>
      <c r="G86" s="52">
        <f>Параметры!$B$9</f>
        <v>0.8</v>
      </c>
      <c r="H86" s="48">
        <f t="shared" si="3"/>
        <v>7.2</v>
      </c>
    </row>
    <row r="87" spans="1:8" x14ac:dyDescent="0.3">
      <c r="A87" s="47">
        <v>7</v>
      </c>
      <c r="B87" s="49" t="s">
        <v>474</v>
      </c>
      <c r="C87" s="49" t="s">
        <v>381</v>
      </c>
      <c r="D87" s="47">
        <f>SUMIF('Дорожная карта'!$A$6:$A$16,A87,'Дорожная карта'!$E$6:$E$16)</f>
        <v>9</v>
      </c>
      <c r="E87" s="50">
        <v>0</v>
      </c>
      <c r="F87" s="51">
        <v>0.5</v>
      </c>
      <c r="G87" s="52">
        <f>Параметры!$B$9</f>
        <v>0.8</v>
      </c>
      <c r="H87" s="48">
        <f t="shared" si="3"/>
        <v>3.6</v>
      </c>
    </row>
    <row r="88" spans="1:8" x14ac:dyDescent="0.3">
      <c r="A88" s="47">
        <v>7</v>
      </c>
      <c r="B88" s="49" t="s">
        <v>475</v>
      </c>
      <c r="C88" s="49" t="s">
        <v>377</v>
      </c>
      <c r="D88" s="47">
        <f>SUMIF('Дорожная карта'!$A$6:$A$16,A88,'Дорожная карта'!$E$6:$E$16)</f>
        <v>9</v>
      </c>
      <c r="E88" s="50">
        <v>0</v>
      </c>
      <c r="F88" s="51">
        <v>1</v>
      </c>
      <c r="G88" s="52">
        <f>Параметры!$B$9</f>
        <v>0.8</v>
      </c>
      <c r="H88" s="48">
        <f t="shared" si="3"/>
        <v>7.2</v>
      </c>
    </row>
    <row r="89" spans="1:8" x14ac:dyDescent="0.3">
      <c r="A89" s="47">
        <v>7</v>
      </c>
      <c r="B89" s="49" t="s">
        <v>476</v>
      </c>
      <c r="C89" s="49" t="s">
        <v>378</v>
      </c>
      <c r="D89" s="47">
        <f>SUMIF('Дорожная карта'!$A$6:$A$16,A89,'Дорожная карта'!$E$6:$E$16)</f>
        <v>9</v>
      </c>
      <c r="E89" s="50">
        <v>0</v>
      </c>
      <c r="F89" s="51">
        <v>1</v>
      </c>
      <c r="G89" s="52">
        <f>Параметры!$B$9</f>
        <v>0.8</v>
      </c>
      <c r="H89" s="48">
        <f t="shared" si="3"/>
        <v>7.2</v>
      </c>
    </row>
    <row r="90" spans="1:8" x14ac:dyDescent="0.3">
      <c r="A90" s="47">
        <v>7</v>
      </c>
      <c r="B90" s="49" t="s">
        <v>477</v>
      </c>
      <c r="C90" s="49" t="s">
        <v>379</v>
      </c>
      <c r="D90" s="47">
        <f>SUMIF('Дорожная карта'!$A$6:$A$16,A90,'Дорожная карта'!$E$6:$E$16)</f>
        <v>9</v>
      </c>
      <c r="E90" s="50">
        <v>0</v>
      </c>
      <c r="F90" s="51">
        <v>1</v>
      </c>
      <c r="G90" s="52">
        <f>Параметры!$B$9</f>
        <v>0.8</v>
      </c>
      <c r="H90" s="48">
        <f t="shared" si="3"/>
        <v>7.2</v>
      </c>
    </row>
    <row r="91" spans="1:8" x14ac:dyDescent="0.3">
      <c r="A91" s="47">
        <v>7</v>
      </c>
      <c r="B91" s="49" t="s">
        <v>478</v>
      </c>
      <c r="C91" s="49" t="s">
        <v>380</v>
      </c>
      <c r="D91" s="47">
        <f>SUMIF('Дорожная карта'!$A$6:$A$16,A91,'Дорожная карта'!$E$6:$E$16)</f>
        <v>9</v>
      </c>
      <c r="E91" s="50">
        <v>0</v>
      </c>
      <c r="F91" s="51">
        <v>0.8</v>
      </c>
      <c r="G91" s="52">
        <f>Параметры!$B$9</f>
        <v>0.8</v>
      </c>
      <c r="H91" s="48">
        <f t="shared" si="3"/>
        <v>5.7600000000000007</v>
      </c>
    </row>
    <row r="92" spans="1:8" x14ac:dyDescent="0.3">
      <c r="A92" s="47">
        <v>7</v>
      </c>
      <c r="B92" s="49" t="s">
        <v>479</v>
      </c>
      <c r="C92" s="49" t="s">
        <v>381</v>
      </c>
      <c r="D92" s="47">
        <f>SUMIF('Дорожная карта'!$A$6:$A$16,A92,'Дорожная карта'!$E$6:$E$16)</f>
        <v>9</v>
      </c>
      <c r="E92" s="50">
        <v>0</v>
      </c>
      <c r="F92" s="51">
        <v>1</v>
      </c>
      <c r="G92" s="52">
        <f>Параметры!$B$9</f>
        <v>0.8</v>
      </c>
      <c r="H92" s="48">
        <f t="shared" si="3"/>
        <v>7.2</v>
      </c>
    </row>
    <row r="93" spans="1:8" x14ac:dyDescent="0.3">
      <c r="A93" s="47">
        <v>7</v>
      </c>
      <c r="B93" s="49" t="s">
        <v>480</v>
      </c>
      <c r="C93" s="49" t="s">
        <v>377</v>
      </c>
      <c r="D93" s="47">
        <f>SUMIF('Дорожная карта'!$A$6:$A$16,A93,'Дорожная карта'!$E$6:$E$16)</f>
        <v>9</v>
      </c>
      <c r="E93" s="50">
        <v>0</v>
      </c>
      <c r="F93" s="51">
        <v>1</v>
      </c>
      <c r="G93" s="52">
        <f>Параметры!$B$9</f>
        <v>0.8</v>
      </c>
      <c r="H93" s="48">
        <f t="shared" si="3"/>
        <v>7.2</v>
      </c>
    </row>
    <row r="94" spans="1:8" x14ac:dyDescent="0.3">
      <c r="A94" s="47">
        <v>7</v>
      </c>
      <c r="B94" s="49" t="s">
        <v>481</v>
      </c>
      <c r="C94" s="49" t="s">
        <v>382</v>
      </c>
      <c r="D94" s="47">
        <f>SUMIF('Дорожная карта'!$A$6:$A$16,A94,'Дорожная карта'!$E$6:$E$16)</f>
        <v>9</v>
      </c>
      <c r="E94" s="50">
        <v>0</v>
      </c>
      <c r="F94" s="51">
        <v>0.8</v>
      </c>
      <c r="G94" s="52">
        <f>Параметры!$B$9</f>
        <v>0.8</v>
      </c>
      <c r="H94" s="48">
        <f t="shared" si="3"/>
        <v>5.7600000000000007</v>
      </c>
    </row>
    <row r="95" spans="1:8" x14ac:dyDescent="0.3">
      <c r="A95" s="47">
        <v>7</v>
      </c>
      <c r="B95" s="49" t="s">
        <v>483</v>
      </c>
      <c r="C95" s="49" t="s">
        <v>378</v>
      </c>
      <c r="D95" s="47">
        <f>SUMIF('Дорожная карта'!$A$6:$A$16,A95,'Дорожная карта'!$E$6:$E$16)</f>
        <v>9</v>
      </c>
      <c r="E95" s="50">
        <v>0</v>
      </c>
      <c r="F95" s="51">
        <v>1</v>
      </c>
      <c r="G95" s="52">
        <f>Параметры!$B$9</f>
        <v>0.8</v>
      </c>
      <c r="H95" s="48">
        <f t="shared" si="3"/>
        <v>7.2</v>
      </c>
    </row>
    <row r="96" spans="1:8" x14ac:dyDescent="0.3">
      <c r="A96" s="55">
        <v>8</v>
      </c>
      <c r="B96" s="41" t="s">
        <v>264</v>
      </c>
      <c r="C96" s="41" t="s">
        <v>377</v>
      </c>
      <c r="D96" s="42">
        <f>SUMIF('Дорожная карта'!$A$6:$A$16,A96,'Дорожная карта'!$E$6:$E$16)</f>
        <v>10</v>
      </c>
      <c r="E96" s="43">
        <v>5</v>
      </c>
      <c r="F96" s="44">
        <v>1</v>
      </c>
      <c r="G96" s="45">
        <f>Параметры!$B$9</f>
        <v>0.8</v>
      </c>
      <c r="H96" s="46">
        <f t="shared" si="3"/>
        <v>4</v>
      </c>
    </row>
    <row r="97" spans="1:8" x14ac:dyDescent="0.3">
      <c r="A97" s="56">
        <v>8</v>
      </c>
      <c r="B97" s="49" t="s">
        <v>267</v>
      </c>
      <c r="C97" s="49" t="s">
        <v>378</v>
      </c>
      <c r="D97" s="47">
        <f>SUMIF('Дорожная карта'!$A$6:$A$16,A97,'Дорожная карта'!$E$6:$E$16)</f>
        <v>10</v>
      </c>
      <c r="E97" s="50">
        <v>0</v>
      </c>
      <c r="F97" s="51">
        <v>1</v>
      </c>
      <c r="G97" s="52">
        <f>Параметры!$B$9</f>
        <v>0.8</v>
      </c>
      <c r="H97" s="48">
        <f t="shared" si="3"/>
        <v>8</v>
      </c>
    </row>
    <row r="98" spans="1:8" x14ac:dyDescent="0.3">
      <c r="A98" s="56">
        <v>8</v>
      </c>
      <c r="B98" s="49" t="s">
        <v>275</v>
      </c>
      <c r="C98" s="49" t="s">
        <v>379</v>
      </c>
      <c r="D98" s="47">
        <f>SUMIF('Дорожная карта'!$A$6:$A$16,A98,'Дорожная карта'!$E$6:$E$16)</f>
        <v>10</v>
      </c>
      <c r="E98" s="50">
        <v>0</v>
      </c>
      <c r="F98" s="51">
        <v>0.8</v>
      </c>
      <c r="G98" s="52">
        <f>Параметры!$B$9</f>
        <v>0.8</v>
      </c>
      <c r="H98" s="48">
        <f t="shared" si="3"/>
        <v>6.4</v>
      </c>
    </row>
    <row r="99" spans="1:8" x14ac:dyDescent="0.3">
      <c r="A99" s="56">
        <v>8</v>
      </c>
      <c r="B99" s="49" t="s">
        <v>270</v>
      </c>
      <c r="C99" s="49" t="s">
        <v>377</v>
      </c>
      <c r="D99" s="47">
        <f>SUMIF('Дорожная карта'!$A$6:$A$16,A99,'Дорожная карта'!$E$6:$E$16)</f>
        <v>10</v>
      </c>
      <c r="E99" s="50">
        <v>0</v>
      </c>
      <c r="F99" s="51">
        <v>1</v>
      </c>
      <c r="G99" s="52">
        <f>Параметры!$B$9</f>
        <v>0.8</v>
      </c>
      <c r="H99" s="48">
        <f t="shared" si="3"/>
        <v>8</v>
      </c>
    </row>
    <row r="100" spans="1:8" x14ac:dyDescent="0.3">
      <c r="A100" s="56">
        <v>8</v>
      </c>
      <c r="B100" s="49" t="s">
        <v>474</v>
      </c>
      <c r="C100" s="49" t="s">
        <v>381</v>
      </c>
      <c r="D100" s="47">
        <f>SUMIF('Дорожная карта'!$A$6:$A$16,A100,'Дорожная карта'!$E$6:$E$16)</f>
        <v>10</v>
      </c>
      <c r="E100" s="50">
        <v>0</v>
      </c>
      <c r="F100" s="51">
        <v>0.5</v>
      </c>
      <c r="G100" s="52">
        <f>Параметры!$B$9</f>
        <v>0.8</v>
      </c>
      <c r="H100" s="48">
        <f t="shared" si="3"/>
        <v>4</v>
      </c>
    </row>
    <row r="101" spans="1:8" x14ac:dyDescent="0.3">
      <c r="A101" s="56">
        <v>8</v>
      </c>
      <c r="B101" s="49" t="s">
        <v>475</v>
      </c>
      <c r="C101" s="49" t="s">
        <v>377</v>
      </c>
      <c r="D101" s="47">
        <f>SUMIF('Дорожная карта'!$A$6:$A$16,A101,'Дорожная карта'!$E$6:$E$16)</f>
        <v>10</v>
      </c>
      <c r="E101" s="50">
        <v>0</v>
      </c>
      <c r="F101" s="51">
        <v>1</v>
      </c>
      <c r="G101" s="52">
        <f>Параметры!$B$9</f>
        <v>0.8</v>
      </c>
      <c r="H101" s="48">
        <f t="shared" ref="H101:H132" si="4">MAX(0,(D101-E101)*F101*G101)</f>
        <v>8</v>
      </c>
    </row>
    <row r="102" spans="1:8" x14ac:dyDescent="0.3">
      <c r="A102" s="56">
        <v>8</v>
      </c>
      <c r="B102" s="49" t="s">
        <v>476</v>
      </c>
      <c r="C102" s="49" t="s">
        <v>378</v>
      </c>
      <c r="D102" s="47">
        <f>SUMIF('Дорожная карта'!$A$6:$A$16,A102,'Дорожная карта'!$E$6:$E$16)</f>
        <v>10</v>
      </c>
      <c r="E102" s="50">
        <v>0</v>
      </c>
      <c r="F102" s="51">
        <v>1</v>
      </c>
      <c r="G102" s="52">
        <f>Параметры!$B$9</f>
        <v>0.8</v>
      </c>
      <c r="H102" s="48">
        <f t="shared" si="4"/>
        <v>8</v>
      </c>
    </row>
    <row r="103" spans="1:8" x14ac:dyDescent="0.3">
      <c r="A103" s="56">
        <v>8</v>
      </c>
      <c r="B103" s="49" t="s">
        <v>477</v>
      </c>
      <c r="C103" s="49" t="s">
        <v>379</v>
      </c>
      <c r="D103" s="47">
        <f>SUMIF('Дорожная карта'!$A$6:$A$16,A103,'Дорожная карта'!$E$6:$E$16)</f>
        <v>10</v>
      </c>
      <c r="E103" s="50">
        <v>0</v>
      </c>
      <c r="F103" s="51">
        <v>1</v>
      </c>
      <c r="G103" s="52">
        <f>Параметры!$B$9</f>
        <v>0.8</v>
      </c>
      <c r="H103" s="48">
        <f t="shared" si="4"/>
        <v>8</v>
      </c>
    </row>
    <row r="104" spans="1:8" x14ac:dyDescent="0.3">
      <c r="A104" s="56">
        <v>8</v>
      </c>
      <c r="B104" s="49" t="s">
        <v>478</v>
      </c>
      <c r="C104" s="49" t="s">
        <v>380</v>
      </c>
      <c r="D104" s="47">
        <f>SUMIF('Дорожная карта'!$A$6:$A$16,A104,'Дорожная карта'!$E$6:$E$16)</f>
        <v>10</v>
      </c>
      <c r="E104" s="50">
        <v>0</v>
      </c>
      <c r="F104" s="51">
        <v>0.8</v>
      </c>
      <c r="G104" s="52">
        <f>Параметры!$B$9</f>
        <v>0.8</v>
      </c>
      <c r="H104" s="48">
        <f t="shared" si="4"/>
        <v>6.4</v>
      </c>
    </row>
    <row r="105" spans="1:8" x14ac:dyDescent="0.3">
      <c r="A105" s="56">
        <v>8</v>
      </c>
      <c r="B105" s="49" t="s">
        <v>479</v>
      </c>
      <c r="C105" s="49" t="s">
        <v>381</v>
      </c>
      <c r="D105" s="47">
        <f>SUMIF('Дорожная карта'!$A$6:$A$16,A105,'Дорожная карта'!$E$6:$E$16)</f>
        <v>10</v>
      </c>
      <c r="E105" s="50">
        <v>0</v>
      </c>
      <c r="F105" s="51">
        <v>1</v>
      </c>
      <c r="G105" s="52">
        <f>Параметры!$B$9</f>
        <v>0.8</v>
      </c>
      <c r="H105" s="48">
        <f t="shared" si="4"/>
        <v>8</v>
      </c>
    </row>
    <row r="106" spans="1:8" x14ac:dyDescent="0.3">
      <c r="A106" s="56">
        <v>8</v>
      </c>
      <c r="B106" s="49" t="s">
        <v>480</v>
      </c>
      <c r="C106" s="49" t="s">
        <v>377</v>
      </c>
      <c r="D106" s="47">
        <f>SUMIF('Дорожная карта'!$A$6:$A$16,A106,'Дорожная карта'!$E$6:$E$16)</f>
        <v>10</v>
      </c>
      <c r="E106" s="50">
        <v>0</v>
      </c>
      <c r="F106" s="51">
        <v>1</v>
      </c>
      <c r="G106" s="52">
        <f>Параметры!$B$9</f>
        <v>0.8</v>
      </c>
      <c r="H106" s="48">
        <f t="shared" si="4"/>
        <v>8</v>
      </c>
    </row>
    <row r="107" spans="1:8" x14ac:dyDescent="0.3">
      <c r="A107" s="56">
        <v>8</v>
      </c>
      <c r="B107" s="49" t="s">
        <v>481</v>
      </c>
      <c r="C107" s="49" t="s">
        <v>382</v>
      </c>
      <c r="D107" s="47">
        <f>SUMIF('Дорожная карта'!$A$6:$A$16,A107,'Дорожная карта'!$E$6:$E$16)</f>
        <v>10</v>
      </c>
      <c r="E107" s="50">
        <v>0</v>
      </c>
      <c r="F107" s="51">
        <v>0.8</v>
      </c>
      <c r="G107" s="52">
        <f>Параметры!$B$9</f>
        <v>0.8</v>
      </c>
      <c r="H107" s="48">
        <f t="shared" si="4"/>
        <v>6.4</v>
      </c>
    </row>
    <row r="108" spans="1:8" x14ac:dyDescent="0.3">
      <c r="A108" s="56">
        <v>8</v>
      </c>
      <c r="B108" s="49" t="s">
        <v>483</v>
      </c>
      <c r="C108" s="49" t="s">
        <v>378</v>
      </c>
      <c r="D108" s="47">
        <f>SUMIF('Дорожная карта'!$A$6:$A$16,A108,'Дорожная карта'!$E$6:$E$16)</f>
        <v>10</v>
      </c>
      <c r="E108" s="50">
        <v>0</v>
      </c>
      <c r="F108" s="51">
        <v>1</v>
      </c>
      <c r="G108" s="52">
        <f>Параметры!$B$9</f>
        <v>0.8</v>
      </c>
      <c r="H108" s="48">
        <f t="shared" si="4"/>
        <v>8</v>
      </c>
    </row>
    <row r="109" spans="1:8" x14ac:dyDescent="0.3">
      <c r="A109" s="40">
        <v>9</v>
      </c>
      <c r="B109" s="41" t="s">
        <v>264</v>
      </c>
      <c r="C109" s="41" t="s">
        <v>377</v>
      </c>
      <c r="D109" s="42">
        <f>SUMIF('Дорожная карта'!$A$6:$A$16,A109,'Дорожная карта'!$E$6:$E$16)</f>
        <v>10</v>
      </c>
      <c r="E109" s="43">
        <v>0</v>
      </c>
      <c r="F109" s="44">
        <v>1</v>
      </c>
      <c r="G109" s="45">
        <f>Параметры!$B$9</f>
        <v>0.8</v>
      </c>
      <c r="H109" s="46">
        <f t="shared" si="4"/>
        <v>8</v>
      </c>
    </row>
    <row r="110" spans="1:8" x14ac:dyDescent="0.3">
      <c r="A110" s="47">
        <v>9</v>
      </c>
      <c r="B110" s="49" t="s">
        <v>267</v>
      </c>
      <c r="C110" s="49" t="s">
        <v>378</v>
      </c>
      <c r="D110" s="47">
        <f>SUMIF('Дорожная карта'!$A$6:$A$16,A110,'Дорожная карта'!$E$6:$E$16)</f>
        <v>10</v>
      </c>
      <c r="E110" s="50">
        <v>0</v>
      </c>
      <c r="F110" s="51">
        <v>1</v>
      </c>
      <c r="G110" s="52">
        <f>Параметры!$B$9</f>
        <v>0.8</v>
      </c>
      <c r="H110" s="48">
        <f t="shared" si="4"/>
        <v>8</v>
      </c>
    </row>
    <row r="111" spans="1:8" x14ac:dyDescent="0.3">
      <c r="A111" s="47">
        <v>9</v>
      </c>
      <c r="B111" s="49" t="s">
        <v>275</v>
      </c>
      <c r="C111" s="49" t="s">
        <v>379</v>
      </c>
      <c r="D111" s="47">
        <f>SUMIF('Дорожная карта'!$A$6:$A$16,A111,'Дорожная карта'!$E$6:$E$16)</f>
        <v>10</v>
      </c>
      <c r="E111" s="50">
        <v>0</v>
      </c>
      <c r="F111" s="51">
        <v>0.8</v>
      </c>
      <c r="G111" s="52">
        <f>Параметры!$B$9</f>
        <v>0.8</v>
      </c>
      <c r="H111" s="48">
        <f t="shared" si="4"/>
        <v>6.4</v>
      </c>
    </row>
    <row r="112" spans="1:8" x14ac:dyDescent="0.3">
      <c r="A112" s="47">
        <v>9</v>
      </c>
      <c r="B112" s="49" t="s">
        <v>270</v>
      </c>
      <c r="C112" s="49" t="s">
        <v>377</v>
      </c>
      <c r="D112" s="47">
        <f>SUMIF('Дорожная карта'!$A$6:$A$16,A112,'Дорожная карта'!$E$6:$E$16)</f>
        <v>10</v>
      </c>
      <c r="E112" s="50">
        <v>0</v>
      </c>
      <c r="F112" s="51">
        <v>1</v>
      </c>
      <c r="G112" s="52">
        <f>Параметры!$B$9</f>
        <v>0.8</v>
      </c>
      <c r="H112" s="48">
        <f t="shared" si="4"/>
        <v>8</v>
      </c>
    </row>
    <row r="113" spans="1:8" x14ac:dyDescent="0.3">
      <c r="A113" s="47">
        <v>9</v>
      </c>
      <c r="B113" s="49" t="s">
        <v>474</v>
      </c>
      <c r="C113" s="49" t="s">
        <v>381</v>
      </c>
      <c r="D113" s="47">
        <f>SUMIF('Дорожная карта'!$A$6:$A$16,A113,'Дорожная карта'!$E$6:$E$16)</f>
        <v>10</v>
      </c>
      <c r="E113" s="50">
        <v>0</v>
      </c>
      <c r="F113" s="51">
        <v>0.5</v>
      </c>
      <c r="G113" s="52">
        <f>Параметры!$B$9</f>
        <v>0.8</v>
      </c>
      <c r="H113" s="48">
        <f t="shared" si="4"/>
        <v>4</v>
      </c>
    </row>
    <row r="114" spans="1:8" x14ac:dyDescent="0.3">
      <c r="A114" s="47">
        <v>9</v>
      </c>
      <c r="B114" s="49" t="s">
        <v>475</v>
      </c>
      <c r="C114" s="49" t="s">
        <v>377</v>
      </c>
      <c r="D114" s="47">
        <f>SUMIF('Дорожная карта'!$A$6:$A$16,A114,'Дорожная карта'!$E$6:$E$16)</f>
        <v>10</v>
      </c>
      <c r="E114" s="50">
        <v>0</v>
      </c>
      <c r="F114" s="51">
        <v>1</v>
      </c>
      <c r="G114" s="52">
        <f>Параметры!$B$9</f>
        <v>0.8</v>
      </c>
      <c r="H114" s="48">
        <f t="shared" si="4"/>
        <v>8</v>
      </c>
    </row>
    <row r="115" spans="1:8" x14ac:dyDescent="0.3">
      <c r="A115" s="47">
        <v>9</v>
      </c>
      <c r="B115" s="49" t="s">
        <v>476</v>
      </c>
      <c r="C115" s="49" t="s">
        <v>378</v>
      </c>
      <c r="D115" s="47">
        <f>SUMIF('Дорожная карта'!$A$6:$A$16,A115,'Дорожная карта'!$E$6:$E$16)</f>
        <v>10</v>
      </c>
      <c r="E115" s="50">
        <v>0</v>
      </c>
      <c r="F115" s="51">
        <v>1</v>
      </c>
      <c r="G115" s="52">
        <f>Параметры!$B$9</f>
        <v>0.8</v>
      </c>
      <c r="H115" s="48">
        <f t="shared" si="4"/>
        <v>8</v>
      </c>
    </row>
    <row r="116" spans="1:8" x14ac:dyDescent="0.3">
      <c r="A116" s="47">
        <v>9</v>
      </c>
      <c r="B116" s="49" t="s">
        <v>477</v>
      </c>
      <c r="C116" s="49" t="s">
        <v>379</v>
      </c>
      <c r="D116" s="47">
        <f>SUMIF('Дорожная карта'!$A$6:$A$16,A116,'Дорожная карта'!$E$6:$E$16)</f>
        <v>10</v>
      </c>
      <c r="E116" s="50">
        <v>0</v>
      </c>
      <c r="F116" s="51">
        <v>1</v>
      </c>
      <c r="G116" s="52">
        <f>Параметры!$B$9</f>
        <v>0.8</v>
      </c>
      <c r="H116" s="48">
        <f t="shared" si="4"/>
        <v>8</v>
      </c>
    </row>
    <row r="117" spans="1:8" x14ac:dyDescent="0.3">
      <c r="A117" s="47">
        <v>9</v>
      </c>
      <c r="B117" s="49" t="s">
        <v>478</v>
      </c>
      <c r="C117" s="49" t="s">
        <v>380</v>
      </c>
      <c r="D117" s="47">
        <f>SUMIF('Дорожная карта'!$A$6:$A$16,A117,'Дорожная карта'!$E$6:$E$16)</f>
        <v>10</v>
      </c>
      <c r="E117" s="50">
        <v>0</v>
      </c>
      <c r="F117" s="51">
        <v>0.8</v>
      </c>
      <c r="G117" s="52">
        <f>Параметры!$B$9</f>
        <v>0.8</v>
      </c>
      <c r="H117" s="48">
        <f t="shared" si="4"/>
        <v>6.4</v>
      </c>
    </row>
    <row r="118" spans="1:8" x14ac:dyDescent="0.3">
      <c r="A118" s="47">
        <v>9</v>
      </c>
      <c r="B118" s="49" t="s">
        <v>479</v>
      </c>
      <c r="C118" s="49" t="s">
        <v>381</v>
      </c>
      <c r="D118" s="47">
        <f>SUMIF('Дорожная карта'!$A$6:$A$16,A118,'Дорожная карта'!$E$6:$E$16)</f>
        <v>10</v>
      </c>
      <c r="E118" s="50">
        <v>0</v>
      </c>
      <c r="F118" s="51">
        <v>1</v>
      </c>
      <c r="G118" s="52">
        <f>Параметры!$B$9</f>
        <v>0.8</v>
      </c>
      <c r="H118" s="48">
        <f t="shared" si="4"/>
        <v>8</v>
      </c>
    </row>
    <row r="119" spans="1:8" x14ac:dyDescent="0.3">
      <c r="A119" s="47">
        <v>9</v>
      </c>
      <c r="B119" s="49" t="s">
        <v>480</v>
      </c>
      <c r="C119" s="49" t="s">
        <v>377</v>
      </c>
      <c r="D119" s="47">
        <f>SUMIF('Дорожная карта'!$A$6:$A$16,A119,'Дорожная карта'!$E$6:$E$16)</f>
        <v>10</v>
      </c>
      <c r="E119" s="50">
        <v>0</v>
      </c>
      <c r="F119" s="51">
        <v>1</v>
      </c>
      <c r="G119" s="52">
        <f>Параметры!$B$9</f>
        <v>0.8</v>
      </c>
      <c r="H119" s="48">
        <f t="shared" si="4"/>
        <v>8</v>
      </c>
    </row>
    <row r="120" spans="1:8" x14ac:dyDescent="0.3">
      <c r="A120" s="47">
        <v>9</v>
      </c>
      <c r="B120" s="49" t="s">
        <v>481</v>
      </c>
      <c r="C120" s="49" t="s">
        <v>382</v>
      </c>
      <c r="D120" s="47">
        <f>SUMIF('Дорожная карта'!$A$6:$A$16,A120,'Дорожная карта'!$E$6:$E$16)</f>
        <v>10</v>
      </c>
      <c r="E120" s="50">
        <v>0</v>
      </c>
      <c r="F120" s="51">
        <v>0.8</v>
      </c>
      <c r="G120" s="52">
        <f>Параметры!$B$9</f>
        <v>0.8</v>
      </c>
      <c r="H120" s="48">
        <f t="shared" si="4"/>
        <v>6.4</v>
      </c>
    </row>
    <row r="121" spans="1:8" x14ac:dyDescent="0.3">
      <c r="A121" s="47">
        <v>9</v>
      </c>
      <c r="B121" s="49" t="s">
        <v>483</v>
      </c>
      <c r="C121" s="49" t="s">
        <v>378</v>
      </c>
      <c r="D121" s="47">
        <f>SUMIF('Дорожная карта'!$A$6:$A$16,A121,'Дорожная карта'!$E$6:$E$16)</f>
        <v>10</v>
      </c>
      <c r="E121" s="50">
        <v>0</v>
      </c>
      <c r="F121" s="51">
        <v>1</v>
      </c>
      <c r="G121" s="52">
        <f>Параметры!$B$9</f>
        <v>0.8</v>
      </c>
      <c r="H121" s="48">
        <f t="shared" si="4"/>
        <v>8</v>
      </c>
    </row>
    <row r="122" spans="1:8" x14ac:dyDescent="0.3">
      <c r="A122" s="55">
        <v>10</v>
      </c>
      <c r="B122" s="41" t="s">
        <v>264</v>
      </c>
      <c r="C122" s="41" t="s">
        <v>377</v>
      </c>
      <c r="D122" s="42">
        <f>SUMIF('Дорожная карта'!$A$6:$A$16,A122,'Дорожная карта'!$E$6:$E$16)</f>
        <v>10</v>
      </c>
      <c r="E122" s="43">
        <v>0</v>
      </c>
      <c r="F122" s="44">
        <v>1</v>
      </c>
      <c r="G122" s="45">
        <f>Параметры!$B$9</f>
        <v>0.8</v>
      </c>
      <c r="H122" s="46">
        <f t="shared" si="4"/>
        <v>8</v>
      </c>
    </row>
    <row r="123" spans="1:8" x14ac:dyDescent="0.3">
      <c r="A123" s="56">
        <v>10</v>
      </c>
      <c r="B123" s="49" t="s">
        <v>267</v>
      </c>
      <c r="C123" s="49" t="s">
        <v>378</v>
      </c>
      <c r="D123" s="47">
        <f>SUMIF('Дорожная карта'!$A$6:$A$16,A123,'Дорожная карта'!$E$6:$E$16)</f>
        <v>10</v>
      </c>
      <c r="E123" s="50">
        <v>0</v>
      </c>
      <c r="F123" s="51">
        <v>1</v>
      </c>
      <c r="G123" s="52">
        <f>Параметры!$B$9</f>
        <v>0.8</v>
      </c>
      <c r="H123" s="48">
        <f t="shared" si="4"/>
        <v>8</v>
      </c>
    </row>
    <row r="124" spans="1:8" x14ac:dyDescent="0.3">
      <c r="A124" s="56">
        <v>10</v>
      </c>
      <c r="B124" s="49" t="s">
        <v>275</v>
      </c>
      <c r="C124" s="49" t="s">
        <v>379</v>
      </c>
      <c r="D124" s="47">
        <f>SUMIF('Дорожная карта'!$A$6:$A$16,A124,'Дорожная карта'!$E$6:$E$16)</f>
        <v>10</v>
      </c>
      <c r="E124" s="50">
        <v>0</v>
      </c>
      <c r="F124" s="51">
        <v>0.8</v>
      </c>
      <c r="G124" s="52">
        <f>Параметры!$B$9</f>
        <v>0.8</v>
      </c>
      <c r="H124" s="48">
        <f t="shared" si="4"/>
        <v>6.4</v>
      </c>
    </row>
    <row r="125" spans="1:8" x14ac:dyDescent="0.3">
      <c r="A125" s="56">
        <v>10</v>
      </c>
      <c r="B125" s="49" t="s">
        <v>270</v>
      </c>
      <c r="C125" s="49" t="s">
        <v>377</v>
      </c>
      <c r="D125" s="47">
        <f>SUMIF('Дорожная карта'!$A$6:$A$16,A125,'Дорожная карта'!$E$6:$E$16)</f>
        <v>10</v>
      </c>
      <c r="E125" s="50">
        <v>0</v>
      </c>
      <c r="F125" s="51">
        <v>1</v>
      </c>
      <c r="G125" s="52">
        <f>Параметры!$B$9</f>
        <v>0.8</v>
      </c>
      <c r="H125" s="48">
        <f t="shared" si="4"/>
        <v>8</v>
      </c>
    </row>
    <row r="126" spans="1:8" x14ac:dyDescent="0.3">
      <c r="A126" s="56">
        <v>10</v>
      </c>
      <c r="B126" s="49" t="s">
        <v>474</v>
      </c>
      <c r="C126" s="49" t="s">
        <v>381</v>
      </c>
      <c r="D126" s="47">
        <f>SUMIF('Дорожная карта'!$A$6:$A$16,A126,'Дорожная карта'!$E$6:$E$16)</f>
        <v>10</v>
      </c>
      <c r="E126" s="50">
        <v>0</v>
      </c>
      <c r="F126" s="51">
        <v>0.5</v>
      </c>
      <c r="G126" s="52">
        <f>Параметры!$B$9</f>
        <v>0.8</v>
      </c>
      <c r="H126" s="48">
        <f t="shared" si="4"/>
        <v>4</v>
      </c>
    </row>
    <row r="127" spans="1:8" x14ac:dyDescent="0.3">
      <c r="A127" s="56">
        <v>10</v>
      </c>
      <c r="B127" s="49" t="s">
        <v>475</v>
      </c>
      <c r="C127" s="49" t="s">
        <v>377</v>
      </c>
      <c r="D127" s="47">
        <f>SUMIF('Дорожная карта'!$A$6:$A$16,A127,'Дорожная карта'!$E$6:$E$16)</f>
        <v>10</v>
      </c>
      <c r="E127" s="50">
        <v>0</v>
      </c>
      <c r="F127" s="51">
        <v>1</v>
      </c>
      <c r="G127" s="52">
        <f>Параметры!$B$9</f>
        <v>0.8</v>
      </c>
      <c r="H127" s="48">
        <f t="shared" si="4"/>
        <v>8</v>
      </c>
    </row>
    <row r="128" spans="1:8" x14ac:dyDescent="0.3">
      <c r="A128" s="56">
        <v>10</v>
      </c>
      <c r="B128" s="49" t="s">
        <v>476</v>
      </c>
      <c r="C128" s="49" t="s">
        <v>378</v>
      </c>
      <c r="D128" s="47">
        <f>SUMIF('Дорожная карта'!$A$6:$A$16,A128,'Дорожная карта'!$E$6:$E$16)</f>
        <v>10</v>
      </c>
      <c r="E128" s="50">
        <v>0</v>
      </c>
      <c r="F128" s="51">
        <v>1</v>
      </c>
      <c r="G128" s="52">
        <f>Параметры!$B$9</f>
        <v>0.8</v>
      </c>
      <c r="H128" s="48">
        <f t="shared" si="4"/>
        <v>8</v>
      </c>
    </row>
    <row r="129" spans="1:8" x14ac:dyDescent="0.3">
      <c r="A129" s="56">
        <v>10</v>
      </c>
      <c r="B129" s="49" t="s">
        <v>477</v>
      </c>
      <c r="C129" s="49" t="s">
        <v>379</v>
      </c>
      <c r="D129" s="47">
        <f>SUMIF('Дорожная карта'!$A$6:$A$16,A129,'Дорожная карта'!$E$6:$E$16)</f>
        <v>10</v>
      </c>
      <c r="E129" s="50">
        <v>0</v>
      </c>
      <c r="F129" s="51">
        <v>1</v>
      </c>
      <c r="G129" s="52">
        <f>Параметры!$B$9</f>
        <v>0.8</v>
      </c>
      <c r="H129" s="48">
        <f t="shared" si="4"/>
        <v>8</v>
      </c>
    </row>
    <row r="130" spans="1:8" x14ac:dyDescent="0.3">
      <c r="A130" s="56">
        <v>10</v>
      </c>
      <c r="B130" s="49" t="s">
        <v>478</v>
      </c>
      <c r="C130" s="49" t="s">
        <v>380</v>
      </c>
      <c r="D130" s="47">
        <f>SUMIF('Дорожная карта'!$A$6:$A$16,A130,'Дорожная карта'!$E$6:$E$16)</f>
        <v>10</v>
      </c>
      <c r="E130" s="50">
        <v>0</v>
      </c>
      <c r="F130" s="51">
        <v>0.8</v>
      </c>
      <c r="G130" s="52">
        <f>Параметры!$B$9</f>
        <v>0.8</v>
      </c>
      <c r="H130" s="48">
        <f t="shared" si="4"/>
        <v>6.4</v>
      </c>
    </row>
    <row r="131" spans="1:8" x14ac:dyDescent="0.3">
      <c r="A131" s="56">
        <v>10</v>
      </c>
      <c r="B131" s="49" t="s">
        <v>479</v>
      </c>
      <c r="C131" s="49" t="s">
        <v>381</v>
      </c>
      <c r="D131" s="47">
        <f>SUMIF('Дорожная карта'!$A$6:$A$16,A131,'Дорожная карта'!$E$6:$E$16)</f>
        <v>10</v>
      </c>
      <c r="E131" s="50">
        <v>0</v>
      </c>
      <c r="F131" s="51">
        <v>1</v>
      </c>
      <c r="G131" s="52">
        <f>Параметры!$B$9</f>
        <v>0.8</v>
      </c>
      <c r="H131" s="48">
        <f t="shared" si="4"/>
        <v>8</v>
      </c>
    </row>
    <row r="132" spans="1:8" x14ac:dyDescent="0.3">
      <c r="A132" s="56">
        <v>10</v>
      </c>
      <c r="B132" s="49" t="s">
        <v>480</v>
      </c>
      <c r="C132" s="49" t="s">
        <v>377</v>
      </c>
      <c r="D132" s="47">
        <f>SUMIF('Дорожная карта'!$A$6:$A$16,A132,'Дорожная карта'!$E$6:$E$16)</f>
        <v>10</v>
      </c>
      <c r="E132" s="50">
        <v>0</v>
      </c>
      <c r="F132" s="51">
        <v>1</v>
      </c>
      <c r="G132" s="52">
        <f>Параметры!$B$9</f>
        <v>0.8</v>
      </c>
      <c r="H132" s="48">
        <f t="shared" si="4"/>
        <v>8</v>
      </c>
    </row>
    <row r="133" spans="1:8" x14ac:dyDescent="0.3">
      <c r="A133" s="56">
        <v>10</v>
      </c>
      <c r="B133" s="49" t="s">
        <v>481</v>
      </c>
      <c r="C133" s="49" t="s">
        <v>382</v>
      </c>
      <c r="D133" s="47">
        <f>SUMIF('Дорожная карта'!$A$6:$A$16,A133,'Дорожная карта'!$E$6:$E$16)</f>
        <v>10</v>
      </c>
      <c r="E133" s="50">
        <v>0</v>
      </c>
      <c r="F133" s="51">
        <v>0.8</v>
      </c>
      <c r="G133" s="52">
        <f>Параметры!$B$9</f>
        <v>0.8</v>
      </c>
      <c r="H133" s="48">
        <f t="shared" ref="H133:H164" si="5">MAX(0,(D133-E133)*F133*G133)</f>
        <v>6.4</v>
      </c>
    </row>
    <row r="134" spans="1:8" x14ac:dyDescent="0.3">
      <c r="A134" s="56">
        <v>10</v>
      </c>
      <c r="B134" s="49" t="s">
        <v>483</v>
      </c>
      <c r="C134" s="49" t="s">
        <v>378</v>
      </c>
      <c r="D134" s="47">
        <f>SUMIF('Дорожная карта'!$A$6:$A$16,A134,'Дорожная карта'!$E$6:$E$16)</f>
        <v>10</v>
      </c>
      <c r="E134" s="50">
        <v>0</v>
      </c>
      <c r="F134" s="51">
        <v>1</v>
      </c>
      <c r="G134" s="52">
        <f>Параметры!$B$9</f>
        <v>0.8</v>
      </c>
      <c r="H134" s="48">
        <f t="shared" si="5"/>
        <v>8</v>
      </c>
    </row>
    <row r="135" spans="1:8" x14ac:dyDescent="0.3">
      <c r="A135" s="40">
        <v>11</v>
      </c>
      <c r="B135" s="41" t="s">
        <v>264</v>
      </c>
      <c r="C135" s="41" t="s">
        <v>377</v>
      </c>
      <c r="D135" s="42">
        <f>SUMIF('Дорожная карта'!$A$6:$A$16,A135,'Дорожная карта'!$E$6:$E$16)</f>
        <v>9</v>
      </c>
      <c r="E135" s="43">
        <v>0</v>
      </c>
      <c r="F135" s="44">
        <v>1</v>
      </c>
      <c r="G135" s="45">
        <f>Параметры!$B$9</f>
        <v>0.8</v>
      </c>
      <c r="H135" s="46">
        <f t="shared" si="5"/>
        <v>7.2</v>
      </c>
    </row>
    <row r="136" spans="1:8" x14ac:dyDescent="0.3">
      <c r="A136" s="47">
        <v>11</v>
      </c>
      <c r="B136" s="49" t="s">
        <v>267</v>
      </c>
      <c r="C136" s="49" t="s">
        <v>378</v>
      </c>
      <c r="D136" s="47">
        <f>SUMIF('Дорожная карта'!$A$6:$A$16,A136,'Дорожная карта'!$E$6:$E$16)</f>
        <v>9</v>
      </c>
      <c r="E136" s="50">
        <v>0</v>
      </c>
      <c r="F136" s="51">
        <v>1</v>
      </c>
      <c r="G136" s="52">
        <f>Параметры!$B$9</f>
        <v>0.8</v>
      </c>
      <c r="H136" s="48">
        <f t="shared" si="5"/>
        <v>7.2</v>
      </c>
    </row>
    <row r="137" spans="1:8" x14ac:dyDescent="0.3">
      <c r="A137" s="47">
        <v>11</v>
      </c>
      <c r="B137" s="49" t="s">
        <v>275</v>
      </c>
      <c r="C137" s="49" t="s">
        <v>379</v>
      </c>
      <c r="D137" s="47">
        <f>SUMIF('Дорожная карта'!$A$6:$A$16,A137,'Дорожная карта'!$E$6:$E$16)</f>
        <v>9</v>
      </c>
      <c r="E137" s="50">
        <v>0</v>
      </c>
      <c r="F137" s="51">
        <v>0.8</v>
      </c>
      <c r="G137" s="52">
        <f>Параметры!$B$9</f>
        <v>0.8</v>
      </c>
      <c r="H137" s="48">
        <f t="shared" si="5"/>
        <v>5.7600000000000007</v>
      </c>
    </row>
    <row r="138" spans="1:8" x14ac:dyDescent="0.3">
      <c r="A138" s="47">
        <v>11</v>
      </c>
      <c r="B138" s="49" t="s">
        <v>270</v>
      </c>
      <c r="C138" s="49" t="s">
        <v>377</v>
      </c>
      <c r="D138" s="47">
        <f>SUMIF('Дорожная карта'!$A$6:$A$16,A138,'Дорожная карта'!$E$6:$E$16)</f>
        <v>9</v>
      </c>
      <c r="E138" s="50">
        <v>0</v>
      </c>
      <c r="F138" s="51">
        <v>1</v>
      </c>
      <c r="G138" s="52">
        <f>Параметры!$B$9</f>
        <v>0.8</v>
      </c>
      <c r="H138" s="48">
        <f t="shared" si="5"/>
        <v>7.2</v>
      </c>
    </row>
    <row r="139" spans="1:8" x14ac:dyDescent="0.3">
      <c r="A139" s="47">
        <v>11</v>
      </c>
      <c r="B139" s="49" t="s">
        <v>474</v>
      </c>
      <c r="C139" s="49" t="s">
        <v>381</v>
      </c>
      <c r="D139" s="47">
        <f>SUMIF('Дорожная карта'!$A$6:$A$16,A139,'Дорожная карта'!$E$6:$E$16)</f>
        <v>9</v>
      </c>
      <c r="E139" s="50">
        <v>0</v>
      </c>
      <c r="F139" s="51">
        <v>0.5</v>
      </c>
      <c r="G139" s="52">
        <f>Параметры!$B$9</f>
        <v>0.8</v>
      </c>
      <c r="H139" s="48">
        <f t="shared" si="5"/>
        <v>3.6</v>
      </c>
    </row>
    <row r="140" spans="1:8" x14ac:dyDescent="0.3">
      <c r="A140" s="47">
        <v>11</v>
      </c>
      <c r="B140" s="49" t="s">
        <v>475</v>
      </c>
      <c r="C140" s="49" t="s">
        <v>377</v>
      </c>
      <c r="D140" s="47">
        <f>SUMIF('Дорожная карта'!$A$6:$A$16,A140,'Дорожная карта'!$E$6:$E$16)</f>
        <v>9</v>
      </c>
      <c r="E140" s="50">
        <v>0</v>
      </c>
      <c r="F140" s="51">
        <v>1</v>
      </c>
      <c r="G140" s="52">
        <f>Параметры!$B$9</f>
        <v>0.8</v>
      </c>
      <c r="H140" s="48">
        <f t="shared" si="5"/>
        <v>7.2</v>
      </c>
    </row>
    <row r="141" spans="1:8" x14ac:dyDescent="0.3">
      <c r="A141" s="47">
        <v>11</v>
      </c>
      <c r="B141" s="49" t="s">
        <v>476</v>
      </c>
      <c r="C141" s="49" t="s">
        <v>378</v>
      </c>
      <c r="D141" s="47">
        <f>SUMIF('Дорожная карта'!$A$6:$A$16,A141,'Дорожная карта'!$E$6:$E$16)</f>
        <v>9</v>
      </c>
      <c r="E141" s="50">
        <v>0</v>
      </c>
      <c r="F141" s="51">
        <v>1</v>
      </c>
      <c r="G141" s="52">
        <f>Параметры!$B$9</f>
        <v>0.8</v>
      </c>
      <c r="H141" s="48">
        <f t="shared" si="5"/>
        <v>7.2</v>
      </c>
    </row>
    <row r="142" spans="1:8" x14ac:dyDescent="0.3">
      <c r="A142" s="47">
        <v>11</v>
      </c>
      <c r="B142" s="49" t="s">
        <v>477</v>
      </c>
      <c r="C142" s="49" t="s">
        <v>379</v>
      </c>
      <c r="D142" s="47">
        <f>SUMIF('Дорожная карта'!$A$6:$A$16,A142,'Дорожная карта'!$E$6:$E$16)</f>
        <v>9</v>
      </c>
      <c r="E142" s="50">
        <v>0</v>
      </c>
      <c r="F142" s="51">
        <v>1</v>
      </c>
      <c r="G142" s="52">
        <f>Параметры!$B$9</f>
        <v>0.8</v>
      </c>
      <c r="H142" s="48">
        <f t="shared" si="5"/>
        <v>7.2</v>
      </c>
    </row>
    <row r="143" spans="1:8" x14ac:dyDescent="0.3">
      <c r="A143" s="47">
        <v>11</v>
      </c>
      <c r="B143" s="49" t="s">
        <v>478</v>
      </c>
      <c r="C143" s="49" t="s">
        <v>380</v>
      </c>
      <c r="D143" s="47">
        <f>SUMIF('Дорожная карта'!$A$6:$A$16,A143,'Дорожная карта'!$E$6:$E$16)</f>
        <v>9</v>
      </c>
      <c r="E143" s="50">
        <v>0</v>
      </c>
      <c r="F143" s="51">
        <v>0.8</v>
      </c>
      <c r="G143" s="52">
        <f>Параметры!$B$9</f>
        <v>0.8</v>
      </c>
      <c r="H143" s="48">
        <f t="shared" si="5"/>
        <v>5.7600000000000007</v>
      </c>
    </row>
    <row r="144" spans="1:8" x14ac:dyDescent="0.3">
      <c r="A144" s="47">
        <v>11</v>
      </c>
      <c r="B144" s="49" t="s">
        <v>479</v>
      </c>
      <c r="C144" s="49" t="s">
        <v>381</v>
      </c>
      <c r="D144" s="47">
        <f>SUMIF('Дорожная карта'!$A$6:$A$16,A144,'Дорожная карта'!$E$6:$E$16)</f>
        <v>9</v>
      </c>
      <c r="E144" s="50">
        <v>0</v>
      </c>
      <c r="F144" s="51">
        <v>1</v>
      </c>
      <c r="G144" s="52">
        <f>Параметры!$B$9</f>
        <v>0.8</v>
      </c>
      <c r="H144" s="48">
        <f t="shared" si="5"/>
        <v>7.2</v>
      </c>
    </row>
    <row r="145" spans="1:8" x14ac:dyDescent="0.3">
      <c r="A145" s="47">
        <v>11</v>
      </c>
      <c r="B145" s="49" t="s">
        <v>480</v>
      </c>
      <c r="C145" s="49" t="s">
        <v>377</v>
      </c>
      <c r="D145" s="47">
        <f>SUMIF('Дорожная карта'!$A$6:$A$16,A145,'Дорожная карта'!$E$6:$E$16)</f>
        <v>9</v>
      </c>
      <c r="E145" s="50">
        <v>0</v>
      </c>
      <c r="F145" s="51">
        <v>1</v>
      </c>
      <c r="G145" s="52">
        <f>Параметры!$B$9</f>
        <v>0.8</v>
      </c>
      <c r="H145" s="48">
        <f t="shared" si="5"/>
        <v>7.2</v>
      </c>
    </row>
    <row r="146" spans="1:8" x14ac:dyDescent="0.3">
      <c r="A146" s="47">
        <v>11</v>
      </c>
      <c r="B146" s="49" t="s">
        <v>481</v>
      </c>
      <c r="C146" s="49" t="s">
        <v>382</v>
      </c>
      <c r="D146" s="47">
        <f>SUMIF('Дорожная карта'!$A$6:$A$16,A146,'Дорожная карта'!$E$6:$E$16)</f>
        <v>9</v>
      </c>
      <c r="E146" s="50">
        <v>0</v>
      </c>
      <c r="F146" s="51">
        <v>0.8</v>
      </c>
      <c r="G146" s="52">
        <f>Параметры!$B$9</f>
        <v>0.8</v>
      </c>
      <c r="H146" s="48">
        <f t="shared" si="5"/>
        <v>5.7600000000000007</v>
      </c>
    </row>
    <row r="147" spans="1:8" x14ac:dyDescent="0.3">
      <c r="A147" s="47">
        <v>11</v>
      </c>
      <c r="B147" s="49" t="s">
        <v>483</v>
      </c>
      <c r="C147" s="49" t="s">
        <v>378</v>
      </c>
      <c r="D147" s="47">
        <f>SUMIF('Дорожная карта'!$A$6:$A$16,A147,'Дорожная карта'!$E$6:$E$16)</f>
        <v>9</v>
      </c>
      <c r="E147" s="50">
        <v>0</v>
      </c>
      <c r="F147" s="51">
        <v>1</v>
      </c>
      <c r="G147" s="52">
        <f>Параметры!$B$9</f>
        <v>0.8</v>
      </c>
      <c r="H147" s="48">
        <f t="shared" si="5"/>
        <v>7.2</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9"/>
  <sheetViews>
    <sheetView showGridLines="0" workbookViewId="0"/>
  </sheetViews>
  <sheetFormatPr defaultRowHeight="14.4" x14ac:dyDescent="0.3"/>
  <cols>
    <col min="1" max="1" width="14" customWidth="1"/>
    <col min="2" max="2" width="30" customWidth="1"/>
  </cols>
  <sheetData>
    <row r="1" spans="1:2" ht="15.6" customHeight="1" x14ac:dyDescent="0.3">
      <c r="A1" s="91" t="s">
        <v>484</v>
      </c>
    </row>
    <row r="2" spans="1:2" x14ac:dyDescent="0.3">
      <c r="A2" s="82" t="s">
        <v>485</v>
      </c>
    </row>
    <row r="4" spans="1:2" x14ac:dyDescent="0.3">
      <c r="A4" s="92" t="s">
        <v>235</v>
      </c>
      <c r="B4" s="92" t="s">
        <v>486</v>
      </c>
    </row>
    <row r="5" spans="1:2" x14ac:dyDescent="0.3">
      <c r="A5" s="107">
        <v>46330</v>
      </c>
      <c r="B5" s="93" t="s">
        <v>487</v>
      </c>
    </row>
    <row r="6" spans="1:2" x14ac:dyDescent="0.3">
      <c r="A6" s="107">
        <v>46388</v>
      </c>
      <c r="B6" s="93" t="s">
        <v>488</v>
      </c>
    </row>
    <row r="7" spans="1:2" x14ac:dyDescent="0.3">
      <c r="A7" s="107">
        <v>46389</v>
      </c>
      <c r="B7" s="93" t="s">
        <v>489</v>
      </c>
    </row>
    <row r="8" spans="1:2" x14ac:dyDescent="0.3">
      <c r="A8" s="107"/>
      <c r="B8" s="93"/>
    </row>
    <row r="9" spans="1:2" x14ac:dyDescent="0.3">
      <c r="A9" s="107"/>
      <c r="B9" s="93"/>
    </row>
    <row r="10" spans="1:2" x14ac:dyDescent="0.3">
      <c r="A10" s="107"/>
      <c r="B10" s="93"/>
    </row>
    <row r="11" spans="1:2" x14ac:dyDescent="0.3">
      <c r="A11" s="107"/>
      <c r="B11" s="93"/>
    </row>
    <row r="12" spans="1:2" x14ac:dyDescent="0.3">
      <c r="A12" s="107"/>
      <c r="B12" s="93"/>
    </row>
    <row r="13" spans="1:2" x14ac:dyDescent="0.3">
      <c r="A13" s="107"/>
      <c r="B13" s="93"/>
    </row>
    <row r="14" spans="1:2" x14ac:dyDescent="0.3">
      <c r="A14" s="107"/>
      <c r="B14" s="93"/>
    </row>
    <row r="15" spans="1:2" x14ac:dyDescent="0.3">
      <c r="A15" s="107"/>
      <c r="B15" s="93"/>
    </row>
    <row r="16" spans="1:2" x14ac:dyDescent="0.3">
      <c r="A16" s="107"/>
      <c r="B16" s="93"/>
    </row>
    <row r="17" spans="1:2" x14ac:dyDescent="0.3">
      <c r="A17" s="107"/>
      <c r="B17" s="93"/>
    </row>
    <row r="18" spans="1:2" x14ac:dyDescent="0.3">
      <c r="A18" s="107"/>
      <c r="B18" s="93"/>
    </row>
    <row r="19" spans="1:2" x14ac:dyDescent="0.3">
      <c r="A19" s="107"/>
      <c r="B19" s="93"/>
    </row>
    <row r="20" spans="1:2" x14ac:dyDescent="0.3">
      <c r="A20" s="107"/>
      <c r="B20" s="93"/>
    </row>
    <row r="21" spans="1:2" x14ac:dyDescent="0.3">
      <c r="A21" s="107"/>
      <c r="B21" s="93"/>
    </row>
    <row r="22" spans="1:2" x14ac:dyDescent="0.3">
      <c r="A22" s="107"/>
      <c r="B22" s="93"/>
    </row>
    <row r="23" spans="1:2" x14ac:dyDescent="0.3">
      <c r="A23" s="107"/>
      <c r="B23" s="93"/>
    </row>
    <row r="24" spans="1:2" x14ac:dyDescent="0.3">
      <c r="A24" s="107"/>
      <c r="B24" s="93"/>
    </row>
    <row r="25" spans="1:2" x14ac:dyDescent="0.3">
      <c r="A25" s="107"/>
      <c r="B25" s="93"/>
    </row>
    <row r="26" spans="1:2" x14ac:dyDescent="0.3">
      <c r="A26" s="107"/>
      <c r="B26" s="93"/>
    </row>
    <row r="27" spans="1:2" x14ac:dyDescent="0.3">
      <c r="A27" s="107"/>
      <c r="B27" s="93"/>
    </row>
    <row r="28" spans="1:2" x14ac:dyDescent="0.3">
      <c r="A28" s="107"/>
      <c r="B28" s="93"/>
    </row>
    <row r="29" spans="1:2" x14ac:dyDescent="0.3">
      <c r="A29" s="107"/>
      <c r="B29" s="93"/>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7"/>
  <sheetViews>
    <sheetView showGridLines="0" workbookViewId="0">
      <pane ySplit="5" topLeftCell="A9" activePane="bottomLeft" state="frozen"/>
      <selection activeCell="H8" sqref="H8"/>
      <selection pane="bottomLeft" activeCell="H8" sqref="H8"/>
    </sheetView>
  </sheetViews>
  <sheetFormatPr defaultRowHeight="14.4" x14ac:dyDescent="0.3"/>
  <cols>
    <col min="1" max="1" width="12" customWidth="1"/>
    <col min="2" max="2" width="13" customWidth="1"/>
    <col min="3" max="3" width="16" customWidth="1"/>
    <col min="4" max="4" width="10" customWidth="1"/>
    <col min="5" max="5" width="12" customWidth="1"/>
    <col min="7" max="7" width="11.33203125" customWidth="1"/>
  </cols>
  <sheetData>
    <row r="1" spans="1:8" ht="17.399999999999999" customHeight="1" x14ac:dyDescent="0.3">
      <c r="A1" s="37" t="s">
        <v>490</v>
      </c>
    </row>
    <row r="2" spans="1:8" x14ac:dyDescent="0.3">
      <c r="A2" s="38" t="s">
        <v>491</v>
      </c>
    </row>
    <row r="3" spans="1:8" x14ac:dyDescent="0.3">
      <c r="A3" s="14" t="s">
        <v>492</v>
      </c>
      <c r="B3" s="67">
        <f>Параметры!$B$13</f>
        <v>3</v>
      </c>
    </row>
    <row r="5" spans="1:8" ht="27.6" customHeight="1" x14ac:dyDescent="0.3">
      <c r="A5" s="39" t="s">
        <v>376</v>
      </c>
      <c r="B5" s="39" t="s">
        <v>346</v>
      </c>
      <c r="C5" s="39" t="s">
        <v>493</v>
      </c>
      <c r="D5" s="39" t="s">
        <v>45</v>
      </c>
      <c r="E5" s="39" t="s">
        <v>121</v>
      </c>
    </row>
    <row r="6" spans="1:8" x14ac:dyDescent="0.3">
      <c r="A6" s="68" t="s">
        <v>377</v>
      </c>
      <c r="B6" s="35">
        <f>SUMIFS(Капасити!$H$5:$H$147,Капасити!$A$5:$A$147,Параметры!$B$13,Капасити!$C$5:$C$147,A6)</f>
        <v>32</v>
      </c>
      <c r="C6" s="35">
        <f>SUMIFS(Бэклог!$E$5:$E$44,Бэклог!$H$5:$H$44,A6,Бэклог!$M$5:$M$44,Параметры!$B$13)</f>
        <v>8</v>
      </c>
      <c r="D6" s="60">
        <f t="shared" ref="D6:D12" si="0">IFERROR(C6/B6,0)</f>
        <v>0.25</v>
      </c>
      <c r="E6" s="47" t="str">
        <f t="shared" ref="E6:E11" si="1">IF(B6=0,"—",IF(D6&gt;1,"Перегруз",IF(D6&gt;=0.9,"На пределе","OK")))</f>
        <v>OK</v>
      </c>
    </row>
    <row r="7" spans="1:8" x14ac:dyDescent="0.3">
      <c r="A7" s="68" t="s">
        <v>378</v>
      </c>
      <c r="B7" s="35">
        <f>SUMIFS(Капасити!$H$5:$H$147,Капасити!$A$5:$A$147,Параметры!$B$13,Капасити!$C$5:$C$147,A7)</f>
        <v>24</v>
      </c>
      <c r="C7" s="35">
        <f>SUMIFS(Бэклог!$E$5:$E$44,Бэклог!$H$5:$H$44,A7,Бэклог!$M$5:$M$44,Параметры!$B$13)</f>
        <v>13</v>
      </c>
      <c r="D7" s="60">
        <f t="shared" si="0"/>
        <v>0.54166666666666663</v>
      </c>
      <c r="E7" s="47" t="str">
        <f t="shared" si="1"/>
        <v>OK</v>
      </c>
    </row>
    <row r="8" spans="1:8" x14ac:dyDescent="0.3">
      <c r="A8" s="68" t="s">
        <v>379</v>
      </c>
      <c r="B8" s="35">
        <f>SUMIFS(Капасити!$H$5:$H$147,Капасити!$A$5:$A$147,Параметры!$B$13,Капасити!$C$5:$C$147,A8)</f>
        <v>14.4</v>
      </c>
      <c r="C8" s="35">
        <f>SUMIFS(Бэклог!$E$5:$E$44,Бэклог!$H$5:$H$44,A8,Бэклог!$M$5:$M$44,Параметры!$B$13)</f>
        <v>5</v>
      </c>
      <c r="D8" s="60">
        <f t="shared" si="0"/>
        <v>0.34722222222222221</v>
      </c>
      <c r="E8" s="47" t="str">
        <f t="shared" si="1"/>
        <v>OK</v>
      </c>
    </row>
    <row r="9" spans="1:8" x14ac:dyDescent="0.3">
      <c r="A9" s="68" t="s">
        <v>380</v>
      </c>
      <c r="B9" s="35">
        <f>SUMIFS(Капасити!$H$5:$H$147,Капасити!$A$5:$A$147,Параметры!$B$13,Капасити!$C$5:$C$147,A9)</f>
        <v>6.4</v>
      </c>
      <c r="C9" s="35">
        <f>SUMIFS(Бэклог!$E$5:$E$44,Бэклог!$H$5:$H$44,A9,Бэклог!$M$5:$M$44,Параметры!$B$13)</f>
        <v>0</v>
      </c>
      <c r="D9" s="60">
        <f t="shared" si="0"/>
        <v>0</v>
      </c>
      <c r="E9" s="47" t="str">
        <f t="shared" si="1"/>
        <v>OK</v>
      </c>
    </row>
    <row r="10" spans="1:8" x14ac:dyDescent="0.3">
      <c r="A10" s="68" t="s">
        <v>381</v>
      </c>
      <c r="B10" s="35">
        <f>SUMIFS(Капасити!$H$5:$H$147,Капасити!$A$5:$A$147,Параметры!$B$13,Капасити!$C$5:$C$147,A10)</f>
        <v>12</v>
      </c>
      <c r="C10" s="35">
        <f>SUMIFS(Бэклог!$E$5:$E$44,Бэклог!$H$5:$H$44,A10,Бэклог!$M$5:$M$44,Параметры!$B$13)</f>
        <v>3</v>
      </c>
      <c r="D10" s="60">
        <f t="shared" si="0"/>
        <v>0.25</v>
      </c>
      <c r="E10" s="47" t="str">
        <f t="shared" si="1"/>
        <v>OK</v>
      </c>
    </row>
    <row r="11" spans="1:8" x14ac:dyDescent="0.3">
      <c r="A11" s="68" t="s">
        <v>382</v>
      </c>
      <c r="B11" s="35">
        <f>SUMIFS(Капасити!$H$5:$H$147,Капасити!$A$5:$A$147,Параметры!$B$13,Капасити!$C$5:$C$147,A11)</f>
        <v>6.4</v>
      </c>
      <c r="C11" s="35">
        <f>SUMIFS(Бэклог!$E$5:$E$44,Бэклог!$H$5:$H$44,A11,Бэклог!$M$5:$M$44,Параметры!$B$13)</f>
        <v>0</v>
      </c>
      <c r="D11" s="60">
        <f t="shared" si="0"/>
        <v>0</v>
      </c>
      <c r="E11" s="47" t="str">
        <f t="shared" si="1"/>
        <v>OK</v>
      </c>
    </row>
    <row r="12" spans="1:8" x14ac:dyDescent="0.3">
      <c r="A12" s="53" t="s">
        <v>494</v>
      </c>
      <c r="B12" s="54">
        <f>SUM(B6:B11)</f>
        <v>95.200000000000017</v>
      </c>
      <c r="C12" s="54">
        <f>SUM(C6:C11)</f>
        <v>29</v>
      </c>
      <c r="D12" s="66">
        <f t="shared" si="0"/>
        <v>0.30462184873949577</v>
      </c>
      <c r="E12" s="65"/>
    </row>
    <row r="15" spans="1:8" ht="15.6" customHeight="1" x14ac:dyDescent="0.3">
      <c r="A15" s="58" t="s">
        <v>495</v>
      </c>
    </row>
    <row r="16" spans="1:8" ht="27.6" customHeight="1" x14ac:dyDescent="0.3">
      <c r="A16" s="39" t="s">
        <v>112</v>
      </c>
      <c r="B16" s="39" t="s">
        <v>377</v>
      </c>
      <c r="C16" s="39" t="s">
        <v>378</v>
      </c>
      <c r="D16" s="39" t="s">
        <v>379</v>
      </c>
      <c r="E16" s="39" t="s">
        <v>380</v>
      </c>
      <c r="F16" s="39" t="s">
        <v>381</v>
      </c>
      <c r="G16" s="39" t="s">
        <v>382</v>
      </c>
      <c r="H16" s="39" t="s">
        <v>496</v>
      </c>
    </row>
    <row r="17" spans="1:8" x14ac:dyDescent="0.3">
      <c r="A17" s="47">
        <v>1</v>
      </c>
      <c r="B17" s="69">
        <f>SUMIFS(Капасити!$H$5:$H$147,Капасити!$A$5:$A$147,$A17,Капасити!$C$5:$C$147,B$16)</f>
        <v>30.4</v>
      </c>
      <c r="C17" s="69">
        <f>SUMIFS(Капасити!$H$5:$H$147,Капасити!$A$5:$A$147,$A17,Капасити!$C$5:$C$147,C$16)</f>
        <v>23.2</v>
      </c>
      <c r="D17" s="69">
        <f>SUMIFS(Капасити!$H$5:$H$147,Капасити!$A$5:$A$147,$A17,Капасити!$C$5:$C$147,D$16)</f>
        <v>14.4</v>
      </c>
      <c r="E17" s="69">
        <f>SUMIFS(Капасити!$H$5:$H$147,Капасити!$A$5:$A$147,$A17,Капасити!$C$5:$C$147,E$16)</f>
        <v>6.4</v>
      </c>
      <c r="F17" s="69">
        <f>SUMIFS(Капасити!$H$5:$H$147,Капасити!$A$5:$A$147,$A17,Капасити!$C$5:$C$147,F$16)</f>
        <v>12</v>
      </c>
      <c r="G17" s="69">
        <f>SUMIFS(Капасити!$H$5:$H$147,Капасити!$A$5:$A$147,$A17,Капасити!$C$5:$C$147,G$16)</f>
        <v>6.4</v>
      </c>
      <c r="H17" s="48">
        <f t="shared" ref="H17:H27" si="2">SUM(B17:G17)</f>
        <v>92.800000000000011</v>
      </c>
    </row>
    <row r="18" spans="1:8" x14ac:dyDescent="0.3">
      <c r="A18" s="47">
        <v>2</v>
      </c>
      <c r="B18" s="69">
        <f>SUMIFS(Капасити!$H$5:$H$147,Капасити!$A$5:$A$147,$A18,Капасити!$C$5:$C$147,B$16)</f>
        <v>32</v>
      </c>
      <c r="C18" s="69">
        <f>SUMIFS(Капасити!$H$5:$H$147,Капасити!$A$5:$A$147,$A18,Капасити!$C$5:$C$147,C$16)</f>
        <v>24</v>
      </c>
      <c r="D18" s="69">
        <f>SUMIFS(Капасити!$H$5:$H$147,Капасити!$A$5:$A$147,$A18,Капасити!$C$5:$C$147,D$16)</f>
        <v>14.4</v>
      </c>
      <c r="E18" s="69">
        <f>SUMIFS(Капасити!$H$5:$H$147,Капасити!$A$5:$A$147,$A18,Капасити!$C$5:$C$147,E$16)</f>
        <v>6.4</v>
      </c>
      <c r="F18" s="69">
        <f>SUMIFS(Капасити!$H$5:$H$147,Капасити!$A$5:$A$147,$A18,Капасити!$C$5:$C$147,F$16)</f>
        <v>12</v>
      </c>
      <c r="G18" s="69">
        <f>SUMIFS(Капасити!$H$5:$H$147,Капасити!$A$5:$A$147,$A18,Капасити!$C$5:$C$147,G$16)</f>
        <v>6.4</v>
      </c>
      <c r="H18" s="48">
        <f t="shared" si="2"/>
        <v>95.200000000000017</v>
      </c>
    </row>
    <row r="19" spans="1:8" x14ac:dyDescent="0.3">
      <c r="A19" s="47">
        <v>3</v>
      </c>
      <c r="B19" s="69">
        <f>SUMIFS(Капасити!$H$5:$H$147,Капасити!$A$5:$A$147,$A19,Капасити!$C$5:$C$147,B$16)</f>
        <v>32</v>
      </c>
      <c r="C19" s="69">
        <f>SUMIFS(Капасити!$H$5:$H$147,Капасити!$A$5:$A$147,$A19,Капасити!$C$5:$C$147,C$16)</f>
        <v>24</v>
      </c>
      <c r="D19" s="69">
        <f>SUMIFS(Капасити!$H$5:$H$147,Капасити!$A$5:$A$147,$A19,Капасити!$C$5:$C$147,D$16)</f>
        <v>14.4</v>
      </c>
      <c r="E19" s="69">
        <f>SUMIFS(Капасити!$H$5:$H$147,Капасити!$A$5:$A$147,$A19,Капасити!$C$5:$C$147,E$16)</f>
        <v>6.4</v>
      </c>
      <c r="F19" s="69">
        <f>SUMIFS(Капасити!$H$5:$H$147,Капасити!$A$5:$A$147,$A19,Капасити!$C$5:$C$147,F$16)</f>
        <v>12</v>
      </c>
      <c r="G19" s="69">
        <f>SUMIFS(Капасити!$H$5:$H$147,Капасити!$A$5:$A$147,$A19,Капасити!$C$5:$C$147,G$16)</f>
        <v>6.4</v>
      </c>
      <c r="H19" s="48">
        <f t="shared" si="2"/>
        <v>95.200000000000017</v>
      </c>
    </row>
    <row r="20" spans="1:8" x14ac:dyDescent="0.3">
      <c r="A20" s="47">
        <v>4</v>
      </c>
      <c r="B20" s="69">
        <f>SUMIFS(Капасити!$H$5:$H$147,Капасити!$A$5:$A$147,$A20,Капасити!$C$5:$C$147,B$16)</f>
        <v>32</v>
      </c>
      <c r="C20" s="69">
        <f>SUMIFS(Капасити!$H$5:$H$147,Капасити!$A$5:$A$147,$A20,Капасити!$C$5:$C$147,C$16)</f>
        <v>24</v>
      </c>
      <c r="D20" s="69">
        <f>SUMIFS(Капасити!$H$5:$H$147,Капасити!$A$5:$A$147,$A20,Капасити!$C$5:$C$147,D$16)</f>
        <v>14.4</v>
      </c>
      <c r="E20" s="69">
        <f>SUMIFS(Капасити!$H$5:$H$147,Капасити!$A$5:$A$147,$A20,Капасити!$C$5:$C$147,E$16)</f>
        <v>6.4</v>
      </c>
      <c r="F20" s="69">
        <f>SUMIFS(Капасити!$H$5:$H$147,Капасити!$A$5:$A$147,$A20,Капасити!$C$5:$C$147,F$16)</f>
        <v>12</v>
      </c>
      <c r="G20" s="69">
        <f>SUMIFS(Капасити!$H$5:$H$147,Капасити!$A$5:$A$147,$A20,Капасити!$C$5:$C$147,G$16)</f>
        <v>6.4</v>
      </c>
      <c r="H20" s="48">
        <f t="shared" si="2"/>
        <v>95.200000000000017</v>
      </c>
    </row>
    <row r="21" spans="1:8" x14ac:dyDescent="0.3">
      <c r="A21" s="47">
        <v>5</v>
      </c>
      <c r="B21" s="69">
        <f>SUMIFS(Капасити!$H$5:$H$147,Капасити!$A$5:$A$147,$A21,Капасити!$C$5:$C$147,B$16)</f>
        <v>32</v>
      </c>
      <c r="C21" s="69">
        <f>SUMIFS(Капасити!$H$5:$H$147,Капасити!$A$5:$A$147,$A21,Капасити!$C$5:$C$147,C$16)</f>
        <v>24</v>
      </c>
      <c r="D21" s="69">
        <f>SUMIFS(Капасити!$H$5:$H$147,Капасити!$A$5:$A$147,$A21,Капасити!$C$5:$C$147,D$16)</f>
        <v>14.4</v>
      </c>
      <c r="E21" s="69">
        <f>SUMIFS(Капасити!$H$5:$H$147,Капасити!$A$5:$A$147,$A21,Капасити!$C$5:$C$147,E$16)</f>
        <v>6.4</v>
      </c>
      <c r="F21" s="69">
        <f>SUMIFS(Капасити!$H$5:$H$147,Капасити!$A$5:$A$147,$A21,Капасити!$C$5:$C$147,F$16)</f>
        <v>10</v>
      </c>
      <c r="G21" s="69">
        <f>SUMIFS(Капасити!$H$5:$H$147,Капасити!$A$5:$A$147,$A21,Капасити!$C$5:$C$147,G$16)</f>
        <v>6.4</v>
      </c>
      <c r="H21" s="48">
        <f t="shared" si="2"/>
        <v>93.200000000000017</v>
      </c>
    </row>
    <row r="22" spans="1:8" x14ac:dyDescent="0.3">
      <c r="A22" s="47">
        <v>6</v>
      </c>
      <c r="B22" s="69">
        <f>SUMIFS(Капасити!$H$5:$H$147,Капасити!$A$5:$A$147,$A22,Капасити!$C$5:$C$147,B$16)</f>
        <v>32</v>
      </c>
      <c r="C22" s="69">
        <f>SUMIFS(Капасити!$H$5:$H$147,Капасити!$A$5:$A$147,$A22,Капасити!$C$5:$C$147,C$16)</f>
        <v>24</v>
      </c>
      <c r="D22" s="69">
        <f>SUMIFS(Капасити!$H$5:$H$147,Капасити!$A$5:$A$147,$A22,Капасити!$C$5:$C$147,D$16)</f>
        <v>14.4</v>
      </c>
      <c r="E22" s="69">
        <f>SUMIFS(Капасити!$H$5:$H$147,Капасити!$A$5:$A$147,$A22,Капасити!$C$5:$C$147,E$16)</f>
        <v>6.4</v>
      </c>
      <c r="F22" s="69">
        <f>SUMIFS(Капасити!$H$5:$H$147,Капасити!$A$5:$A$147,$A22,Капасити!$C$5:$C$147,F$16)</f>
        <v>12</v>
      </c>
      <c r="G22" s="69">
        <f>SUMIFS(Капасити!$H$5:$H$147,Капасити!$A$5:$A$147,$A22,Капасити!$C$5:$C$147,G$16)</f>
        <v>6.4</v>
      </c>
      <c r="H22" s="48">
        <f t="shared" si="2"/>
        <v>95.200000000000017</v>
      </c>
    </row>
    <row r="23" spans="1:8" x14ac:dyDescent="0.3">
      <c r="A23" s="47">
        <v>7</v>
      </c>
      <c r="B23" s="69">
        <f>SUMIFS(Капасити!$H$5:$H$147,Капасити!$A$5:$A$147,$A23,Капасити!$C$5:$C$147,B$16)</f>
        <v>28.8</v>
      </c>
      <c r="C23" s="69">
        <f>SUMIFS(Капасити!$H$5:$H$147,Капасити!$A$5:$A$147,$A23,Капасити!$C$5:$C$147,C$16)</f>
        <v>21.6</v>
      </c>
      <c r="D23" s="69">
        <f>SUMIFS(Капасити!$H$5:$H$147,Капасити!$A$5:$A$147,$A23,Капасити!$C$5:$C$147,D$16)</f>
        <v>12.96</v>
      </c>
      <c r="E23" s="69">
        <f>SUMIFS(Капасити!$H$5:$H$147,Капасити!$A$5:$A$147,$A23,Капасити!$C$5:$C$147,E$16)</f>
        <v>5.7600000000000007</v>
      </c>
      <c r="F23" s="69">
        <f>SUMIFS(Капасити!$H$5:$H$147,Капасити!$A$5:$A$147,$A23,Капасити!$C$5:$C$147,F$16)</f>
        <v>10.8</v>
      </c>
      <c r="G23" s="69">
        <f>SUMIFS(Капасити!$H$5:$H$147,Капасити!$A$5:$A$147,$A23,Капасити!$C$5:$C$147,G$16)</f>
        <v>5.7600000000000007</v>
      </c>
      <c r="H23" s="48">
        <f t="shared" si="2"/>
        <v>85.68</v>
      </c>
    </row>
    <row r="24" spans="1:8" x14ac:dyDescent="0.3">
      <c r="A24" s="47">
        <v>8</v>
      </c>
      <c r="B24" s="69">
        <f>SUMIFS(Капасити!$H$5:$H$147,Капасити!$A$5:$A$147,$A24,Капасити!$C$5:$C$147,B$16)</f>
        <v>28</v>
      </c>
      <c r="C24" s="69">
        <f>SUMIFS(Капасити!$H$5:$H$147,Капасити!$A$5:$A$147,$A24,Капасити!$C$5:$C$147,C$16)</f>
        <v>24</v>
      </c>
      <c r="D24" s="69">
        <f>SUMIFS(Капасити!$H$5:$H$147,Капасити!$A$5:$A$147,$A24,Капасити!$C$5:$C$147,D$16)</f>
        <v>14.4</v>
      </c>
      <c r="E24" s="69">
        <f>SUMIFS(Капасити!$H$5:$H$147,Капасити!$A$5:$A$147,$A24,Капасити!$C$5:$C$147,E$16)</f>
        <v>6.4</v>
      </c>
      <c r="F24" s="69">
        <f>SUMIFS(Капасити!$H$5:$H$147,Капасити!$A$5:$A$147,$A24,Капасити!$C$5:$C$147,F$16)</f>
        <v>12</v>
      </c>
      <c r="G24" s="69">
        <f>SUMIFS(Капасити!$H$5:$H$147,Капасити!$A$5:$A$147,$A24,Капасити!$C$5:$C$147,G$16)</f>
        <v>6.4</v>
      </c>
      <c r="H24" s="48">
        <f t="shared" si="2"/>
        <v>91.200000000000017</v>
      </c>
    </row>
    <row r="25" spans="1:8" x14ac:dyDescent="0.3">
      <c r="A25" s="47">
        <v>9</v>
      </c>
      <c r="B25" s="69">
        <f>SUMIFS(Капасити!$H$5:$H$147,Капасити!$A$5:$A$147,$A25,Капасити!$C$5:$C$147,B$16)</f>
        <v>32</v>
      </c>
      <c r="C25" s="69">
        <f>SUMIFS(Капасити!$H$5:$H$147,Капасити!$A$5:$A$147,$A25,Капасити!$C$5:$C$147,C$16)</f>
        <v>24</v>
      </c>
      <c r="D25" s="69">
        <f>SUMIFS(Капасити!$H$5:$H$147,Капасити!$A$5:$A$147,$A25,Капасити!$C$5:$C$147,D$16)</f>
        <v>14.4</v>
      </c>
      <c r="E25" s="69">
        <f>SUMIFS(Капасити!$H$5:$H$147,Капасити!$A$5:$A$147,$A25,Капасити!$C$5:$C$147,E$16)</f>
        <v>6.4</v>
      </c>
      <c r="F25" s="69">
        <f>SUMIFS(Капасити!$H$5:$H$147,Капасити!$A$5:$A$147,$A25,Капасити!$C$5:$C$147,F$16)</f>
        <v>12</v>
      </c>
      <c r="G25" s="69">
        <f>SUMIFS(Капасити!$H$5:$H$147,Капасити!$A$5:$A$147,$A25,Капасити!$C$5:$C$147,G$16)</f>
        <v>6.4</v>
      </c>
      <c r="H25" s="48">
        <f t="shared" si="2"/>
        <v>95.200000000000017</v>
      </c>
    </row>
    <row r="26" spans="1:8" x14ac:dyDescent="0.3">
      <c r="A26" s="47">
        <v>10</v>
      </c>
      <c r="B26" s="69">
        <f>SUMIFS(Капасити!$H$5:$H$147,Капасити!$A$5:$A$147,$A26,Капасити!$C$5:$C$147,B$16)</f>
        <v>32</v>
      </c>
      <c r="C26" s="69">
        <f>SUMIFS(Капасити!$H$5:$H$147,Капасити!$A$5:$A$147,$A26,Капасити!$C$5:$C$147,C$16)</f>
        <v>24</v>
      </c>
      <c r="D26" s="69">
        <f>SUMIFS(Капасити!$H$5:$H$147,Капасити!$A$5:$A$147,$A26,Капасити!$C$5:$C$147,D$16)</f>
        <v>14.4</v>
      </c>
      <c r="E26" s="69">
        <f>SUMIFS(Капасити!$H$5:$H$147,Капасити!$A$5:$A$147,$A26,Капасити!$C$5:$C$147,E$16)</f>
        <v>6.4</v>
      </c>
      <c r="F26" s="69">
        <f>SUMIFS(Капасити!$H$5:$H$147,Капасити!$A$5:$A$147,$A26,Капасити!$C$5:$C$147,F$16)</f>
        <v>12</v>
      </c>
      <c r="G26" s="69">
        <f>SUMIFS(Капасити!$H$5:$H$147,Капасити!$A$5:$A$147,$A26,Капасити!$C$5:$C$147,G$16)</f>
        <v>6.4</v>
      </c>
      <c r="H26" s="48">
        <f t="shared" si="2"/>
        <v>95.200000000000017</v>
      </c>
    </row>
    <row r="27" spans="1:8" x14ac:dyDescent="0.3">
      <c r="A27" s="47">
        <v>11</v>
      </c>
      <c r="B27" s="69">
        <f>SUMIFS(Капасити!$H$5:$H$147,Капасити!$A$5:$A$147,$A27,Капасити!$C$5:$C$147,B$16)</f>
        <v>28.8</v>
      </c>
      <c r="C27" s="69">
        <f>SUMIFS(Капасити!$H$5:$H$147,Капасити!$A$5:$A$147,$A27,Капасити!$C$5:$C$147,C$16)</f>
        <v>21.6</v>
      </c>
      <c r="D27" s="69">
        <f>SUMIFS(Капасити!$H$5:$H$147,Капасити!$A$5:$A$147,$A27,Капасити!$C$5:$C$147,D$16)</f>
        <v>12.96</v>
      </c>
      <c r="E27" s="69">
        <f>SUMIFS(Капасити!$H$5:$H$147,Капасити!$A$5:$A$147,$A27,Капасити!$C$5:$C$147,E$16)</f>
        <v>5.7600000000000007</v>
      </c>
      <c r="F27" s="69">
        <f>SUMIFS(Капасити!$H$5:$H$147,Капасити!$A$5:$A$147,$A27,Капасити!$C$5:$C$147,F$16)</f>
        <v>10.8</v>
      </c>
      <c r="G27" s="69">
        <f>SUMIFS(Капасити!$H$5:$H$147,Капасити!$A$5:$A$147,$A27,Капасити!$C$5:$C$147,G$16)</f>
        <v>5.7600000000000007</v>
      </c>
      <c r="H27" s="48">
        <f t="shared" si="2"/>
        <v>85.68</v>
      </c>
    </row>
  </sheetData>
  <conditionalFormatting sqref="D6:D11">
    <cfRule type="cellIs" dxfId="8" priority="1" operator="greaterThan">
      <formula>1</formula>
    </cfRule>
    <cfRule type="cellIs" dxfId="7" priority="2" operator="between">
      <formula>0.9</formula>
      <formula>1</formula>
    </cfRule>
    <cfRule type="cellIs" dxfId="6" priority="3" operator="lessThan">
      <formula>0.9</formula>
    </cfRule>
  </conditionalFormatting>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U100"/>
  <sheetViews>
    <sheetView showGridLines="0" workbookViewId="0">
      <pane ySplit="4" topLeftCell="A11" activePane="bottomLeft" state="frozen"/>
      <selection activeCell="H8" sqref="H8"/>
      <selection pane="bottomLeft" activeCell="H8" sqref="H8"/>
    </sheetView>
  </sheetViews>
  <sheetFormatPr defaultRowHeight="14.4" x14ac:dyDescent="0.3"/>
  <cols>
    <col min="1" max="1" width="8" customWidth="1"/>
    <col min="2" max="2" width="34" customWidth="1"/>
    <col min="3" max="3" width="14" customWidth="1"/>
    <col min="4" max="5" width="11" customWidth="1"/>
    <col min="6" max="6" width="12" customWidth="1"/>
    <col min="7" max="8" width="11" customWidth="1"/>
    <col min="9" max="9" width="10" customWidth="1"/>
    <col min="10" max="10" width="15.88671875" customWidth="1"/>
    <col min="11" max="12" width="9" customWidth="1"/>
    <col min="13" max="13" width="8" customWidth="1"/>
    <col min="14" max="14" width="12" customWidth="1"/>
    <col min="15" max="17" width="10" customWidth="1"/>
    <col min="18" max="19" width="8" customWidth="1"/>
    <col min="20" max="20" width="9" customWidth="1"/>
    <col min="21" max="21" width="11" customWidth="1"/>
  </cols>
  <sheetData>
    <row r="1" spans="1:21" ht="17.399999999999999" customHeight="1" x14ac:dyDescent="0.3">
      <c r="A1" s="1" t="s">
        <v>497</v>
      </c>
    </row>
    <row r="2" spans="1:21" x14ac:dyDescent="0.3">
      <c r="A2" s="2" t="s">
        <v>498</v>
      </c>
    </row>
    <row r="4" spans="1:21" ht="27.6" customHeight="1" x14ac:dyDescent="0.3">
      <c r="A4" s="3" t="s">
        <v>189</v>
      </c>
      <c r="B4" s="3" t="s">
        <v>386</v>
      </c>
      <c r="C4" s="3" t="s">
        <v>388</v>
      </c>
      <c r="D4" s="3" t="s">
        <v>197</v>
      </c>
      <c r="E4" s="3" t="s">
        <v>284</v>
      </c>
      <c r="F4" s="3" t="s">
        <v>121</v>
      </c>
      <c r="G4" s="3" t="s">
        <v>499</v>
      </c>
      <c r="H4" s="39" t="s">
        <v>376</v>
      </c>
      <c r="I4" s="39" t="s">
        <v>500</v>
      </c>
      <c r="J4" s="39" t="s">
        <v>501</v>
      </c>
      <c r="K4" s="39" t="s">
        <v>502</v>
      </c>
      <c r="L4" s="39" t="s">
        <v>503</v>
      </c>
      <c r="M4" s="113" t="s">
        <v>112</v>
      </c>
      <c r="N4" s="92" t="s">
        <v>504</v>
      </c>
      <c r="O4" s="92" t="s">
        <v>505</v>
      </c>
      <c r="P4" s="92" t="s">
        <v>506</v>
      </c>
      <c r="Q4" s="92" t="s">
        <v>248</v>
      </c>
      <c r="R4" s="92" t="s">
        <v>507</v>
      </c>
      <c r="S4" s="92" t="s">
        <v>508</v>
      </c>
      <c r="T4" s="92" t="s">
        <v>509</v>
      </c>
      <c r="U4" s="200" t="s">
        <v>282</v>
      </c>
    </row>
    <row r="5" spans="1:21" x14ac:dyDescent="0.3">
      <c r="A5" s="94" t="s">
        <v>393</v>
      </c>
      <c r="B5" s="95" t="s">
        <v>510</v>
      </c>
      <c r="C5" s="95" t="s">
        <v>264</v>
      </c>
      <c r="D5" s="94" t="s">
        <v>291</v>
      </c>
      <c r="E5" s="96">
        <v>5</v>
      </c>
      <c r="F5" s="94" t="s">
        <v>248</v>
      </c>
      <c r="G5" s="23">
        <f t="shared" ref="G5:G44" si="0">IF(F5="Готово",0,IF(E5="","",E5))</f>
        <v>0</v>
      </c>
      <c r="H5" s="70" t="str">
        <f>IFERROR(INDEX(Капасити!$C$5:$C$147,MATCH($C5,Капасити!$B$5:$B$147,0)),"")</f>
        <v>Backend</v>
      </c>
      <c r="I5" s="97">
        <v>6</v>
      </c>
      <c r="J5" s="72">
        <f t="shared" ref="J5:J44" si="1">IF(AND(I5&lt;&gt;"",E5&lt;&gt;""),I5/E5,"")</f>
        <v>1.2</v>
      </c>
      <c r="K5" s="50" t="s">
        <v>102</v>
      </c>
      <c r="L5" s="33"/>
      <c r="M5" s="98">
        <v>1</v>
      </c>
      <c r="N5" s="109" t="s">
        <v>102</v>
      </c>
      <c r="O5" s="128">
        <v>46233</v>
      </c>
      <c r="P5" s="128">
        <v>46237</v>
      </c>
      <c r="Q5" s="128">
        <v>46240</v>
      </c>
      <c r="R5" s="90">
        <f t="shared" ref="R5:R44" si="2">IF(AND(Q5&lt;&gt;"",P5&lt;&gt;""),Q5-P5,"")</f>
        <v>3</v>
      </c>
      <c r="S5" s="90">
        <f t="shared" ref="S5:S44" si="3">IF(AND(Q5&lt;&gt;"",O5&lt;&gt;""),Q5-O5,"")</f>
        <v>7</v>
      </c>
      <c r="T5" s="90" t="str">
        <f>IF(AND(F5="В работе",P5&lt;&gt;""),Параметры!$B$10-P5,"")</f>
        <v/>
      </c>
      <c r="U5" s="201" t="s">
        <v>444</v>
      </c>
    </row>
    <row r="6" spans="1:21" x14ac:dyDescent="0.3">
      <c r="A6" s="94" t="s">
        <v>403</v>
      </c>
      <c r="B6" s="95" t="s">
        <v>511</v>
      </c>
      <c r="C6" s="95" t="s">
        <v>267</v>
      </c>
      <c r="D6" s="94" t="s">
        <v>291</v>
      </c>
      <c r="E6" s="96">
        <v>8</v>
      </c>
      <c r="F6" s="94" t="s">
        <v>248</v>
      </c>
      <c r="G6" s="23">
        <f t="shared" si="0"/>
        <v>0</v>
      </c>
      <c r="H6" s="70" t="str">
        <f>IFERROR(INDEX(Капасити!$C$5:$C$147,MATCH($C6,Капасити!$B$5:$B$147,0)),"")</f>
        <v>Frontend</v>
      </c>
      <c r="I6" s="97">
        <v>8</v>
      </c>
      <c r="J6" s="72">
        <f t="shared" si="1"/>
        <v>1</v>
      </c>
      <c r="K6" s="50" t="s">
        <v>102</v>
      </c>
      <c r="L6" s="33"/>
      <c r="M6" s="98">
        <v>1</v>
      </c>
      <c r="N6" s="109" t="s">
        <v>102</v>
      </c>
      <c r="O6" s="128">
        <v>46233</v>
      </c>
      <c r="P6" s="128">
        <v>46238</v>
      </c>
      <c r="Q6" s="128">
        <v>46246</v>
      </c>
      <c r="R6" s="90">
        <f t="shared" si="2"/>
        <v>8</v>
      </c>
      <c r="S6" s="90">
        <f t="shared" si="3"/>
        <v>13</v>
      </c>
      <c r="T6" s="90" t="str">
        <f>IF(AND(F6="В работе",P6&lt;&gt;""),Параметры!$B$10-P6,"")</f>
        <v/>
      </c>
      <c r="U6" s="201" t="s">
        <v>386</v>
      </c>
    </row>
    <row r="7" spans="1:21" x14ac:dyDescent="0.3">
      <c r="A7" s="94" t="s">
        <v>512</v>
      </c>
      <c r="B7" s="95" t="s">
        <v>513</v>
      </c>
      <c r="C7" s="95" t="s">
        <v>478</v>
      </c>
      <c r="D7" s="94" t="s">
        <v>301</v>
      </c>
      <c r="E7" s="96">
        <v>4</v>
      </c>
      <c r="F7" s="94" t="s">
        <v>248</v>
      </c>
      <c r="G7" s="23">
        <f t="shared" si="0"/>
        <v>0</v>
      </c>
      <c r="H7" s="70" t="str">
        <f>IFERROR(INDEX(Капасити!$C$5:$C$147,MATCH($C7,Капасити!$B$5:$B$147,0)),"")</f>
        <v>DevOps</v>
      </c>
      <c r="I7" s="97">
        <v>5</v>
      </c>
      <c r="J7" s="72">
        <f t="shared" si="1"/>
        <v>1.25</v>
      </c>
      <c r="K7" s="50" t="s">
        <v>102</v>
      </c>
      <c r="L7" s="33"/>
      <c r="M7" s="98">
        <v>1</v>
      </c>
      <c r="N7" s="109" t="s">
        <v>102</v>
      </c>
      <c r="O7" s="128">
        <v>46234</v>
      </c>
      <c r="P7" s="128">
        <v>46237</v>
      </c>
      <c r="Q7" s="128">
        <v>46239</v>
      </c>
      <c r="R7" s="90">
        <f t="shared" si="2"/>
        <v>2</v>
      </c>
      <c r="S7" s="90">
        <f t="shared" si="3"/>
        <v>5</v>
      </c>
      <c r="T7" s="90" t="str">
        <f>IF(AND(F7="В работе",P7&lt;&gt;""),Параметры!$B$10-P7,"")</f>
        <v/>
      </c>
      <c r="U7" s="201" t="s">
        <v>386</v>
      </c>
    </row>
    <row r="8" spans="1:21" x14ac:dyDescent="0.3">
      <c r="A8" s="94" t="s">
        <v>514</v>
      </c>
      <c r="B8" s="95" t="s">
        <v>515</v>
      </c>
      <c r="C8" s="95" t="s">
        <v>270</v>
      </c>
      <c r="D8" s="94" t="s">
        <v>291</v>
      </c>
      <c r="E8" s="96">
        <v>5</v>
      </c>
      <c r="F8" s="94" t="s">
        <v>251</v>
      </c>
      <c r="G8" s="23">
        <f t="shared" si="0"/>
        <v>5</v>
      </c>
      <c r="H8" s="70" t="str">
        <f>IFERROR(INDEX(Капасити!$C$5:$C$147,MATCH($C8,Капасити!$B$5:$B$147,0)),"")</f>
        <v>Backend</v>
      </c>
      <c r="I8" s="97"/>
      <c r="J8" s="72" t="str">
        <f t="shared" si="1"/>
        <v/>
      </c>
      <c r="K8" s="50" t="s">
        <v>102</v>
      </c>
      <c r="L8" s="33"/>
      <c r="M8" s="98">
        <v>1</v>
      </c>
      <c r="N8" s="109" t="s">
        <v>102</v>
      </c>
      <c r="O8" s="128">
        <v>46234</v>
      </c>
      <c r="P8" s="128">
        <v>46239</v>
      </c>
      <c r="Q8" s="129"/>
      <c r="R8" s="90" t="str">
        <f t="shared" si="2"/>
        <v/>
      </c>
      <c r="S8" s="90" t="str">
        <f t="shared" si="3"/>
        <v/>
      </c>
      <c r="T8" s="90">
        <f>IF(AND(F8="В работе",P8&lt;&gt;""),Параметры!$B$10-P8,"")</f>
        <v>36</v>
      </c>
      <c r="U8" s="201" t="s">
        <v>444</v>
      </c>
    </row>
    <row r="9" spans="1:21" x14ac:dyDescent="0.3">
      <c r="A9" s="94" t="s">
        <v>395</v>
      </c>
      <c r="B9" s="95" t="s">
        <v>419</v>
      </c>
      <c r="C9" s="95" t="s">
        <v>264</v>
      </c>
      <c r="D9" s="94" t="s">
        <v>291</v>
      </c>
      <c r="E9" s="96">
        <v>8</v>
      </c>
      <c r="F9" s="94" t="s">
        <v>248</v>
      </c>
      <c r="G9" s="23">
        <f t="shared" si="0"/>
        <v>0</v>
      </c>
      <c r="H9" s="70" t="str">
        <f>IFERROR(INDEX(Капасити!$C$5:$C$147,MATCH($C9,Капасити!$B$5:$B$147,0)),"")</f>
        <v>Backend</v>
      </c>
      <c r="I9" s="97">
        <v>9</v>
      </c>
      <c r="J9" s="72">
        <f t="shared" si="1"/>
        <v>1.125</v>
      </c>
      <c r="K9" s="50" t="s">
        <v>102</v>
      </c>
      <c r="L9" s="33"/>
      <c r="M9" s="98">
        <v>2</v>
      </c>
      <c r="N9" s="109" t="s">
        <v>102</v>
      </c>
      <c r="O9" s="128">
        <v>46244</v>
      </c>
      <c r="P9" s="128">
        <v>46251</v>
      </c>
      <c r="Q9" s="128">
        <v>46258</v>
      </c>
      <c r="R9" s="90">
        <f t="shared" si="2"/>
        <v>7</v>
      </c>
      <c r="S9" s="90">
        <f t="shared" si="3"/>
        <v>14</v>
      </c>
      <c r="T9" s="90" t="str">
        <f>IF(AND(F9="В работе",P9&lt;&gt;""),Параметры!$B$10-P9,"")</f>
        <v/>
      </c>
      <c r="U9" s="201" t="s">
        <v>386</v>
      </c>
    </row>
    <row r="10" spans="1:21" x14ac:dyDescent="0.3">
      <c r="A10" s="94" t="s">
        <v>394</v>
      </c>
      <c r="B10" s="95" t="s">
        <v>516</v>
      </c>
      <c r="C10" s="95" t="s">
        <v>275</v>
      </c>
      <c r="D10" s="94" t="s">
        <v>301</v>
      </c>
      <c r="E10" s="96">
        <v>4</v>
      </c>
      <c r="F10" s="94" t="s">
        <v>248</v>
      </c>
      <c r="G10" s="23">
        <f t="shared" si="0"/>
        <v>0</v>
      </c>
      <c r="H10" s="70" t="str">
        <f>IFERROR(INDEX(Капасити!$C$5:$C$147,MATCH($C10,Капасити!$B$5:$B$147,0)),"")</f>
        <v>QA</v>
      </c>
      <c r="I10" s="97">
        <v>4</v>
      </c>
      <c r="J10" s="72">
        <f t="shared" si="1"/>
        <v>1</v>
      </c>
      <c r="K10" s="50" t="s">
        <v>102</v>
      </c>
      <c r="L10" s="33"/>
      <c r="M10" s="98">
        <v>2</v>
      </c>
      <c r="N10" s="109" t="s">
        <v>102</v>
      </c>
      <c r="O10" s="128">
        <v>46246</v>
      </c>
      <c r="P10" s="128">
        <v>46252</v>
      </c>
      <c r="Q10" s="128">
        <v>46254</v>
      </c>
      <c r="R10" s="90">
        <f t="shared" si="2"/>
        <v>2</v>
      </c>
      <c r="S10" s="90">
        <f t="shared" si="3"/>
        <v>8</v>
      </c>
      <c r="T10" s="90" t="str">
        <f>IF(AND(F10="В работе",P10&lt;&gt;""),Параметры!$B$10-P10,"")</f>
        <v/>
      </c>
      <c r="U10" s="201" t="s">
        <v>517</v>
      </c>
    </row>
    <row r="11" spans="1:21" x14ac:dyDescent="0.3">
      <c r="A11" s="94" t="s">
        <v>431</v>
      </c>
      <c r="B11" s="95" t="s">
        <v>518</v>
      </c>
      <c r="C11" s="95" t="s">
        <v>475</v>
      </c>
      <c r="D11" s="94" t="s">
        <v>307</v>
      </c>
      <c r="E11" s="96">
        <v>4</v>
      </c>
      <c r="F11" s="94" t="s">
        <v>248</v>
      </c>
      <c r="G11" s="23">
        <f t="shared" si="0"/>
        <v>0</v>
      </c>
      <c r="H11" s="70" t="str">
        <f>IFERROR(INDEX(Капасити!$C$5:$C$147,MATCH($C11,Капасити!$B$5:$B$147,0)),"")</f>
        <v>Backend</v>
      </c>
      <c r="I11" s="97">
        <v>4</v>
      </c>
      <c r="J11" s="72">
        <f t="shared" si="1"/>
        <v>1</v>
      </c>
      <c r="K11" s="50" t="s">
        <v>102</v>
      </c>
      <c r="L11" s="33"/>
      <c r="M11" s="98">
        <v>2</v>
      </c>
      <c r="N11" s="109" t="s">
        <v>102</v>
      </c>
      <c r="O11" s="128">
        <v>46246</v>
      </c>
      <c r="P11" s="128">
        <v>46253</v>
      </c>
      <c r="Q11" s="128">
        <v>46260</v>
      </c>
      <c r="R11" s="90">
        <f t="shared" si="2"/>
        <v>7</v>
      </c>
      <c r="S11" s="90">
        <f t="shared" si="3"/>
        <v>14</v>
      </c>
      <c r="T11" s="90" t="str">
        <f>IF(AND(F11="В работе",P11&lt;&gt;""),Параметры!$B$10-P11,"")</f>
        <v/>
      </c>
      <c r="U11" s="201" t="s">
        <v>386</v>
      </c>
    </row>
    <row r="12" spans="1:21" x14ac:dyDescent="0.3">
      <c r="A12" s="94" t="s">
        <v>438</v>
      </c>
      <c r="B12" s="95" t="s">
        <v>437</v>
      </c>
      <c r="C12" s="95" t="s">
        <v>480</v>
      </c>
      <c r="D12" s="94" t="s">
        <v>301</v>
      </c>
      <c r="E12" s="96">
        <v>5</v>
      </c>
      <c r="F12" s="94" t="s">
        <v>248</v>
      </c>
      <c r="G12" s="23">
        <f t="shared" si="0"/>
        <v>0</v>
      </c>
      <c r="H12" s="70" t="str">
        <f>IFERROR(INDEX(Капасити!$C$5:$C$147,MATCH($C12,Капасити!$B$5:$B$147,0)),"")</f>
        <v>Backend</v>
      </c>
      <c r="I12" s="97">
        <v>5</v>
      </c>
      <c r="J12" s="72">
        <f t="shared" si="1"/>
        <v>1</v>
      </c>
      <c r="K12" s="50" t="s">
        <v>102</v>
      </c>
      <c r="L12" s="33"/>
      <c r="M12" s="98">
        <v>2</v>
      </c>
      <c r="N12" s="109" t="s">
        <v>102</v>
      </c>
      <c r="O12" s="128">
        <v>46245</v>
      </c>
      <c r="P12" s="128">
        <v>46251</v>
      </c>
      <c r="Q12" s="128">
        <v>46259</v>
      </c>
      <c r="R12" s="90">
        <f t="shared" si="2"/>
        <v>8</v>
      </c>
      <c r="S12" s="90">
        <f t="shared" si="3"/>
        <v>14</v>
      </c>
      <c r="T12" s="90" t="str">
        <f>IF(AND(F12="В работе",P12&lt;&gt;""),Параметры!$B$10-P12,"")</f>
        <v/>
      </c>
      <c r="U12" s="201" t="s">
        <v>444</v>
      </c>
    </row>
    <row r="13" spans="1:21" x14ac:dyDescent="0.3">
      <c r="A13" s="94" t="s">
        <v>456</v>
      </c>
      <c r="B13" s="95" t="s">
        <v>455</v>
      </c>
      <c r="C13" s="95" t="s">
        <v>478</v>
      </c>
      <c r="D13" s="94" t="s">
        <v>307</v>
      </c>
      <c r="E13" s="96">
        <v>3</v>
      </c>
      <c r="F13" s="94" t="s">
        <v>519</v>
      </c>
      <c r="G13" s="23">
        <f t="shared" si="0"/>
        <v>3</v>
      </c>
      <c r="H13" s="70" t="str">
        <f>IFERROR(INDEX(Капасити!$C$5:$C$147,MATCH($C13,Капасити!$B$5:$B$147,0)),"")</f>
        <v>DevOps</v>
      </c>
      <c r="I13" s="97"/>
      <c r="J13" s="72" t="str">
        <f t="shared" si="1"/>
        <v/>
      </c>
      <c r="K13" s="50" t="s">
        <v>102</v>
      </c>
      <c r="L13" s="33"/>
      <c r="M13" s="98">
        <v>2</v>
      </c>
      <c r="N13" s="109" t="s">
        <v>102</v>
      </c>
      <c r="O13" s="129"/>
      <c r="P13" s="129"/>
      <c r="Q13" s="129"/>
      <c r="R13" s="90" t="str">
        <f t="shared" si="2"/>
        <v/>
      </c>
      <c r="S13" s="90" t="str">
        <f t="shared" si="3"/>
        <v/>
      </c>
      <c r="T13" s="90" t="str">
        <f>IF(AND(F13="В работе",P13&lt;&gt;""),Параметры!$B$10-P13,"")</f>
        <v/>
      </c>
      <c r="U13" s="201" t="s">
        <v>386</v>
      </c>
    </row>
    <row r="14" spans="1:21" x14ac:dyDescent="0.3">
      <c r="A14" s="94" t="s">
        <v>520</v>
      </c>
      <c r="B14" s="95" t="s">
        <v>521</v>
      </c>
      <c r="C14" s="95" t="s">
        <v>270</v>
      </c>
      <c r="D14" s="94" t="s">
        <v>301</v>
      </c>
      <c r="E14" s="96">
        <v>3</v>
      </c>
      <c r="F14" s="94" t="s">
        <v>251</v>
      </c>
      <c r="G14" s="23">
        <f t="shared" si="0"/>
        <v>3</v>
      </c>
      <c r="H14" s="70" t="str">
        <f>IFERROR(INDEX(Капасити!$C$5:$C$147,MATCH($C14,Капасити!$B$5:$B$147,0)),"")</f>
        <v>Backend</v>
      </c>
      <c r="I14" s="97"/>
      <c r="J14" s="72" t="str">
        <f t="shared" si="1"/>
        <v/>
      </c>
      <c r="K14" s="50" t="s">
        <v>102</v>
      </c>
      <c r="L14" s="33"/>
      <c r="M14" s="98">
        <v>3</v>
      </c>
      <c r="N14" s="109" t="s">
        <v>102</v>
      </c>
      <c r="O14" s="128">
        <v>46262</v>
      </c>
      <c r="P14" s="128">
        <v>46267</v>
      </c>
      <c r="Q14" s="129"/>
      <c r="R14" s="90" t="str">
        <f t="shared" si="2"/>
        <v/>
      </c>
      <c r="S14" s="90" t="str">
        <f t="shared" si="3"/>
        <v/>
      </c>
      <c r="T14" s="90">
        <f>IF(AND(F14="В работе",P14&lt;&gt;""),Параметры!$B$10-P14,"")</f>
        <v>8</v>
      </c>
      <c r="U14" s="201" t="s">
        <v>386</v>
      </c>
    </row>
    <row r="15" spans="1:21" x14ac:dyDescent="0.3">
      <c r="A15" s="94" t="s">
        <v>522</v>
      </c>
      <c r="B15" s="95" t="s">
        <v>523</v>
      </c>
      <c r="C15" s="95" t="s">
        <v>474</v>
      </c>
      <c r="D15" s="94" t="s">
        <v>307</v>
      </c>
      <c r="E15" s="96">
        <v>3</v>
      </c>
      <c r="F15" s="94" t="s">
        <v>519</v>
      </c>
      <c r="G15" s="23">
        <f t="shared" si="0"/>
        <v>3</v>
      </c>
      <c r="H15" s="70" t="str">
        <f>IFERROR(INDEX(Капасити!$C$5:$C$147,MATCH($C15,Капасити!$B$5:$B$147,0)),"")</f>
        <v>Analyst</v>
      </c>
      <c r="I15" s="97"/>
      <c r="J15" s="72" t="str">
        <f t="shared" si="1"/>
        <v/>
      </c>
      <c r="K15" s="50" t="s">
        <v>102</v>
      </c>
      <c r="L15" s="33"/>
      <c r="M15" s="98">
        <v>3</v>
      </c>
      <c r="N15" s="109" t="s">
        <v>392</v>
      </c>
      <c r="O15" s="129"/>
      <c r="P15" s="129"/>
      <c r="Q15" s="129"/>
      <c r="R15" s="90" t="str">
        <f t="shared" si="2"/>
        <v/>
      </c>
      <c r="S15" s="90" t="str">
        <f t="shared" si="3"/>
        <v/>
      </c>
      <c r="T15" s="90" t="str">
        <f>IF(AND(F15="В работе",P15&lt;&gt;""),Параметры!$B$10-P15,"")</f>
        <v/>
      </c>
      <c r="U15" s="201" t="s">
        <v>444</v>
      </c>
    </row>
    <row r="16" spans="1:21" x14ac:dyDescent="0.3">
      <c r="A16" s="94" t="s">
        <v>404</v>
      </c>
      <c r="B16" s="95" t="s">
        <v>524</v>
      </c>
      <c r="C16" s="95" t="s">
        <v>275</v>
      </c>
      <c r="D16" s="94" t="s">
        <v>301</v>
      </c>
      <c r="E16" s="96">
        <v>5</v>
      </c>
      <c r="F16" s="94" t="s">
        <v>519</v>
      </c>
      <c r="G16" s="23">
        <f t="shared" si="0"/>
        <v>5</v>
      </c>
      <c r="H16" s="70" t="str">
        <f>IFERROR(INDEX(Капасити!$C$5:$C$147,MATCH($C16,Капасити!$B$5:$B$147,0)),"")</f>
        <v>QA</v>
      </c>
      <c r="I16" s="97"/>
      <c r="J16" s="72" t="str">
        <f t="shared" si="1"/>
        <v/>
      </c>
      <c r="K16" s="50" t="s">
        <v>102</v>
      </c>
      <c r="L16" s="33"/>
      <c r="M16" s="98">
        <v>3</v>
      </c>
      <c r="N16" s="109" t="s">
        <v>102</v>
      </c>
      <c r="O16" s="129"/>
      <c r="P16" s="129"/>
      <c r="Q16" s="129"/>
      <c r="R16" s="90" t="str">
        <f t="shared" si="2"/>
        <v/>
      </c>
      <c r="S16" s="90" t="str">
        <f t="shared" si="3"/>
        <v/>
      </c>
      <c r="T16" s="90" t="str">
        <f>IF(AND(F16="В работе",P16&lt;&gt;""),Параметры!$B$10-P16,"")</f>
        <v/>
      </c>
      <c r="U16" s="201" t="s">
        <v>386</v>
      </c>
    </row>
    <row r="17" spans="1:21" x14ac:dyDescent="0.3">
      <c r="A17" s="94" t="s">
        <v>396</v>
      </c>
      <c r="B17" s="95" t="s">
        <v>525</v>
      </c>
      <c r="C17" s="95" t="s">
        <v>476</v>
      </c>
      <c r="D17" s="94" t="s">
        <v>291</v>
      </c>
      <c r="E17" s="96">
        <v>8</v>
      </c>
      <c r="F17" s="94" t="s">
        <v>251</v>
      </c>
      <c r="G17" s="23">
        <f t="shared" si="0"/>
        <v>8</v>
      </c>
      <c r="H17" s="70" t="str">
        <f>IFERROR(INDEX(Капасити!$C$5:$C$147,MATCH($C17,Капасити!$B$5:$B$147,0)),"")</f>
        <v>Frontend</v>
      </c>
      <c r="I17" s="97"/>
      <c r="J17" s="72" t="str">
        <f t="shared" si="1"/>
        <v/>
      </c>
      <c r="K17" s="50" t="s">
        <v>102</v>
      </c>
      <c r="L17" s="33"/>
      <c r="M17" s="98">
        <v>3</v>
      </c>
      <c r="N17" s="109" t="s">
        <v>102</v>
      </c>
      <c r="O17" s="128">
        <v>46262</v>
      </c>
      <c r="P17" s="128">
        <v>46266</v>
      </c>
      <c r="Q17" s="129"/>
      <c r="R17" s="90" t="str">
        <f t="shared" si="2"/>
        <v/>
      </c>
      <c r="S17" s="90" t="str">
        <f t="shared" si="3"/>
        <v/>
      </c>
      <c r="T17" s="90">
        <f>IF(AND(F17="В работе",P17&lt;&gt;""),Параметры!$B$10-P17,"")</f>
        <v>9</v>
      </c>
      <c r="U17" s="201" t="s">
        <v>386</v>
      </c>
    </row>
    <row r="18" spans="1:21" x14ac:dyDescent="0.3">
      <c r="A18" s="94" t="s">
        <v>406</v>
      </c>
      <c r="B18" s="95" t="s">
        <v>526</v>
      </c>
      <c r="C18" s="95" t="s">
        <v>264</v>
      </c>
      <c r="D18" s="94" t="s">
        <v>291</v>
      </c>
      <c r="E18" s="96">
        <v>5</v>
      </c>
      <c r="F18" s="94" t="s">
        <v>519</v>
      </c>
      <c r="G18" s="23">
        <f t="shared" si="0"/>
        <v>5</v>
      </c>
      <c r="H18" s="70" t="str">
        <f>IFERROR(INDEX(Капасити!$C$5:$C$147,MATCH($C18,Капасити!$B$5:$B$147,0)),"")</f>
        <v>Backend</v>
      </c>
      <c r="I18" s="97"/>
      <c r="J18" s="72" t="str">
        <f t="shared" si="1"/>
        <v/>
      </c>
      <c r="K18" s="99" t="s">
        <v>392</v>
      </c>
      <c r="L18" s="100">
        <v>1</v>
      </c>
      <c r="M18" s="98">
        <v>3</v>
      </c>
      <c r="N18" s="109" t="s">
        <v>392</v>
      </c>
      <c r="O18" s="129"/>
      <c r="P18" s="129"/>
      <c r="Q18" s="129"/>
      <c r="R18" s="90" t="str">
        <f t="shared" si="2"/>
        <v/>
      </c>
      <c r="S18" s="90" t="str">
        <f t="shared" si="3"/>
        <v/>
      </c>
      <c r="T18" s="90" t="str">
        <f>IF(AND(F18="В работе",P18&lt;&gt;""),Параметры!$B$10-P18,"")</f>
        <v/>
      </c>
      <c r="U18" s="201" t="s">
        <v>444</v>
      </c>
    </row>
    <row r="19" spans="1:21" x14ac:dyDescent="0.3">
      <c r="A19" s="94" t="s">
        <v>397</v>
      </c>
      <c r="B19" s="95" t="s">
        <v>207</v>
      </c>
      <c r="C19" s="95" t="s">
        <v>483</v>
      </c>
      <c r="D19" s="94" t="s">
        <v>301</v>
      </c>
      <c r="E19" s="96">
        <v>5</v>
      </c>
      <c r="F19" s="94" t="s">
        <v>519</v>
      </c>
      <c r="G19" s="23">
        <f t="shared" si="0"/>
        <v>5</v>
      </c>
      <c r="H19" s="70" t="str">
        <f>IFERROR(INDEX(Капасити!$C$5:$C$147,MATCH($C19,Капасити!$B$5:$B$147,0)),"")</f>
        <v>Frontend</v>
      </c>
      <c r="I19" s="97"/>
      <c r="J19" s="72" t="str">
        <f t="shared" si="1"/>
        <v/>
      </c>
      <c r="K19" s="50" t="s">
        <v>102</v>
      </c>
      <c r="L19" s="33"/>
      <c r="M19" s="98">
        <v>3</v>
      </c>
      <c r="N19" s="109" t="s">
        <v>102</v>
      </c>
      <c r="O19" s="129"/>
      <c r="P19" s="129"/>
      <c r="Q19" s="129"/>
      <c r="R19" s="90" t="str">
        <f t="shared" si="2"/>
        <v/>
      </c>
      <c r="S19" s="90" t="str">
        <f t="shared" si="3"/>
        <v/>
      </c>
      <c r="T19" s="90" t="str">
        <f>IF(AND(F19="В работе",P19&lt;&gt;""),Параметры!$B$10-P19,"")</f>
        <v/>
      </c>
      <c r="U19" s="201" t="s">
        <v>386</v>
      </c>
    </row>
    <row r="20" spans="1:21" x14ac:dyDescent="0.3">
      <c r="A20" s="94" t="s">
        <v>398</v>
      </c>
      <c r="B20" s="95" t="s">
        <v>211</v>
      </c>
      <c r="C20" s="95" t="s">
        <v>476</v>
      </c>
      <c r="D20" s="94" t="s">
        <v>301</v>
      </c>
      <c r="E20" s="96">
        <v>8</v>
      </c>
      <c r="F20" s="94" t="s">
        <v>519</v>
      </c>
      <c r="G20" s="23">
        <f t="shared" si="0"/>
        <v>8</v>
      </c>
      <c r="H20" s="70" t="str">
        <f>IFERROR(INDEX(Капасити!$C$5:$C$147,MATCH($C20,Капасити!$B$5:$B$147,0)),"")</f>
        <v>Frontend</v>
      </c>
      <c r="I20" s="97"/>
      <c r="J20" s="72" t="str">
        <f t="shared" si="1"/>
        <v/>
      </c>
      <c r="K20" s="50" t="s">
        <v>102</v>
      </c>
      <c r="L20" s="33"/>
      <c r="M20" s="98">
        <v>4</v>
      </c>
      <c r="N20" s="109" t="s">
        <v>102</v>
      </c>
      <c r="O20" s="129"/>
      <c r="P20" s="129"/>
      <c r="Q20" s="129"/>
      <c r="R20" s="90" t="str">
        <f t="shared" si="2"/>
        <v/>
      </c>
      <c r="S20" s="90" t="str">
        <f t="shared" si="3"/>
        <v/>
      </c>
      <c r="T20" s="90" t="str">
        <f>IF(AND(F20="В работе",P20&lt;&gt;""),Параметры!$B$10-P20,"")</f>
        <v/>
      </c>
      <c r="U20" s="201" t="s">
        <v>386</v>
      </c>
    </row>
    <row r="21" spans="1:21" x14ac:dyDescent="0.3">
      <c r="A21" s="94" t="s">
        <v>405</v>
      </c>
      <c r="B21" s="95" t="s">
        <v>527</v>
      </c>
      <c r="C21" s="95" t="s">
        <v>477</v>
      </c>
      <c r="D21" s="94" t="s">
        <v>301</v>
      </c>
      <c r="E21" s="96">
        <v>6</v>
      </c>
      <c r="F21" s="94" t="s">
        <v>519</v>
      </c>
      <c r="G21" s="23">
        <f t="shared" si="0"/>
        <v>6</v>
      </c>
      <c r="H21" s="70" t="str">
        <f>IFERROR(INDEX(Капасити!$C$5:$C$147,MATCH($C21,Капасити!$B$5:$B$147,0)),"")</f>
        <v>QA</v>
      </c>
      <c r="I21" s="97"/>
      <c r="J21" s="72" t="str">
        <f t="shared" si="1"/>
        <v/>
      </c>
      <c r="K21" s="50" t="s">
        <v>102</v>
      </c>
      <c r="L21" s="33"/>
      <c r="M21" s="98">
        <v>4</v>
      </c>
      <c r="N21" s="109" t="s">
        <v>102</v>
      </c>
      <c r="O21" s="129"/>
      <c r="P21" s="129"/>
      <c r="Q21" s="129"/>
      <c r="R21" s="90" t="str">
        <f t="shared" si="2"/>
        <v/>
      </c>
      <c r="S21" s="90" t="str">
        <f t="shared" si="3"/>
        <v/>
      </c>
      <c r="T21" s="90" t="str">
        <f>IF(AND(F21="В работе",P21&lt;&gt;""),Параметры!$B$10-P21,"")</f>
        <v/>
      </c>
      <c r="U21" s="201" t="s">
        <v>444</v>
      </c>
    </row>
    <row r="22" spans="1:21" x14ac:dyDescent="0.3">
      <c r="A22" s="94" t="s">
        <v>528</v>
      </c>
      <c r="B22" s="95" t="s">
        <v>529</v>
      </c>
      <c r="C22" s="95" t="s">
        <v>481</v>
      </c>
      <c r="D22" s="94" t="s">
        <v>307</v>
      </c>
      <c r="E22" s="96">
        <v>5</v>
      </c>
      <c r="F22" s="94" t="s">
        <v>519</v>
      </c>
      <c r="G22" s="23">
        <f t="shared" si="0"/>
        <v>5</v>
      </c>
      <c r="H22" s="70" t="str">
        <f>IFERROR(INDEX(Капасити!$C$5:$C$147,MATCH($C22,Капасити!$B$5:$B$147,0)),"")</f>
        <v>Designer</v>
      </c>
      <c r="I22" s="97"/>
      <c r="J22" s="72" t="str">
        <f t="shared" si="1"/>
        <v/>
      </c>
      <c r="K22" s="50" t="s">
        <v>102</v>
      </c>
      <c r="L22" s="33"/>
      <c r="M22" s="98">
        <v>4</v>
      </c>
      <c r="N22" s="109" t="s">
        <v>102</v>
      </c>
      <c r="O22" s="129"/>
      <c r="P22" s="129"/>
      <c r="Q22" s="129"/>
      <c r="R22" s="90" t="str">
        <f t="shared" si="2"/>
        <v/>
      </c>
      <c r="S22" s="90" t="str">
        <f t="shared" si="3"/>
        <v/>
      </c>
      <c r="T22" s="90" t="str">
        <f>IF(AND(F22="В работе",P22&lt;&gt;""),Параметры!$B$10-P22,"")</f>
        <v/>
      </c>
      <c r="U22" s="201" t="s">
        <v>517</v>
      </c>
    </row>
    <row r="23" spans="1:21" x14ac:dyDescent="0.3">
      <c r="A23" s="94" t="s">
        <v>530</v>
      </c>
      <c r="B23" s="95" t="s">
        <v>531</v>
      </c>
      <c r="C23" s="95" t="s">
        <v>479</v>
      </c>
      <c r="D23" s="94" t="s">
        <v>307</v>
      </c>
      <c r="E23" s="96">
        <v>8</v>
      </c>
      <c r="F23" s="94" t="s">
        <v>519</v>
      </c>
      <c r="G23" s="23">
        <f t="shared" si="0"/>
        <v>8</v>
      </c>
      <c r="H23" s="70" t="str">
        <f>IFERROR(INDEX(Капасити!$C$5:$C$147,MATCH($C23,Капасити!$B$5:$B$147,0)),"")</f>
        <v>Analyst</v>
      </c>
      <c r="I23" s="97"/>
      <c r="J23" s="72" t="str">
        <f t="shared" si="1"/>
        <v/>
      </c>
      <c r="K23" s="50" t="s">
        <v>102</v>
      </c>
      <c r="L23" s="33"/>
      <c r="M23" s="98">
        <v>5</v>
      </c>
      <c r="N23" s="109" t="s">
        <v>102</v>
      </c>
      <c r="O23" s="129"/>
      <c r="P23" s="129"/>
      <c r="Q23" s="129"/>
      <c r="R23" s="90" t="str">
        <f t="shared" si="2"/>
        <v/>
      </c>
      <c r="S23" s="90" t="str">
        <f t="shared" si="3"/>
        <v/>
      </c>
      <c r="T23" s="90" t="str">
        <f>IF(AND(F23="В работе",P23&lt;&gt;""),Параметры!$B$10-P23,"")</f>
        <v/>
      </c>
      <c r="U23" s="201" t="s">
        <v>444</v>
      </c>
    </row>
    <row r="24" spans="1:21" x14ac:dyDescent="0.3">
      <c r="A24" s="94" t="s">
        <v>532</v>
      </c>
      <c r="B24" s="95" t="s">
        <v>533</v>
      </c>
      <c r="C24" s="95" t="s">
        <v>477</v>
      </c>
      <c r="D24" s="94" t="s">
        <v>301</v>
      </c>
      <c r="E24" s="96">
        <v>5</v>
      </c>
      <c r="F24" s="94" t="s">
        <v>519</v>
      </c>
      <c r="G24" s="23">
        <f t="shared" si="0"/>
        <v>5</v>
      </c>
      <c r="H24" s="70" t="str">
        <f>IFERROR(INDEX(Капасити!$C$5:$C$147,MATCH($C24,Капасити!$B$5:$B$147,0)),"")</f>
        <v>QA</v>
      </c>
      <c r="I24" s="97"/>
      <c r="J24" s="72" t="str">
        <f t="shared" si="1"/>
        <v/>
      </c>
      <c r="K24" s="50" t="s">
        <v>102</v>
      </c>
      <c r="L24" s="33"/>
      <c r="M24" s="98">
        <v>5</v>
      </c>
      <c r="N24" s="109" t="s">
        <v>102</v>
      </c>
      <c r="O24" s="129"/>
      <c r="P24" s="129"/>
      <c r="Q24" s="129"/>
      <c r="R24" s="90" t="str">
        <f t="shared" si="2"/>
        <v/>
      </c>
      <c r="S24" s="90" t="str">
        <f t="shared" si="3"/>
        <v/>
      </c>
      <c r="T24" s="90" t="str">
        <f>IF(AND(F24="В работе",P24&lt;&gt;""),Параметры!$B$10-P24,"")</f>
        <v/>
      </c>
      <c r="U24" s="201" t="s">
        <v>386</v>
      </c>
    </row>
    <row r="25" spans="1:21" x14ac:dyDescent="0.3">
      <c r="A25" s="5"/>
      <c r="B25" s="13"/>
      <c r="C25" s="13"/>
      <c r="D25" s="5"/>
      <c r="E25" s="24"/>
      <c r="F25" s="5"/>
      <c r="G25" s="23" t="str">
        <f t="shared" si="0"/>
        <v/>
      </c>
      <c r="H25" s="70" t="str">
        <f>IFERROR(INDEX(Капасити!$C$5:$C$147,MATCH($C25,Капасити!$B$5:$B$147,0)),"")</f>
        <v/>
      </c>
      <c r="I25" s="71"/>
      <c r="J25" s="72" t="str">
        <f t="shared" si="1"/>
        <v/>
      </c>
      <c r="K25" s="50" t="s">
        <v>102</v>
      </c>
      <c r="L25" s="33"/>
      <c r="M25" s="101"/>
      <c r="N25" s="109"/>
      <c r="O25" s="129"/>
      <c r="P25" s="129"/>
      <c r="Q25" s="129"/>
      <c r="R25" s="90" t="str">
        <f t="shared" si="2"/>
        <v/>
      </c>
      <c r="S25" s="90" t="str">
        <f t="shared" si="3"/>
        <v/>
      </c>
      <c r="T25" s="90" t="str">
        <f>IF(AND(F25="В работе",P25&lt;&gt;""),Параметры!$B$10-P25,"")</f>
        <v/>
      </c>
      <c r="U25" s="211"/>
    </row>
    <row r="26" spans="1:21" x14ac:dyDescent="0.3">
      <c r="A26" s="5"/>
      <c r="B26" s="13"/>
      <c r="C26" s="13"/>
      <c r="D26" s="5"/>
      <c r="E26" s="24"/>
      <c r="F26" s="5"/>
      <c r="G26" s="23" t="str">
        <f t="shared" si="0"/>
        <v/>
      </c>
      <c r="H26" s="70" t="str">
        <f>IFERROR(INDEX(Капасити!$C$5:$C$147,MATCH($C26,Капасити!$B$5:$B$147,0)),"")</f>
        <v/>
      </c>
      <c r="I26" s="71"/>
      <c r="J26" s="72" t="str">
        <f t="shared" si="1"/>
        <v/>
      </c>
      <c r="K26" s="50" t="s">
        <v>102</v>
      </c>
      <c r="L26" s="33"/>
      <c r="M26" s="101"/>
      <c r="N26" s="109"/>
      <c r="O26" s="129"/>
      <c r="P26" s="129"/>
      <c r="Q26" s="129"/>
      <c r="R26" s="90" t="str">
        <f t="shared" si="2"/>
        <v/>
      </c>
      <c r="S26" s="90" t="str">
        <f t="shared" si="3"/>
        <v/>
      </c>
      <c r="T26" s="90" t="str">
        <f>IF(AND(F26="В работе",P26&lt;&gt;""),Параметры!$B$10-P26,"")</f>
        <v/>
      </c>
      <c r="U26" s="211"/>
    </row>
    <row r="27" spans="1:21" x14ac:dyDescent="0.3">
      <c r="A27" s="5"/>
      <c r="B27" s="13"/>
      <c r="C27" s="13"/>
      <c r="D27" s="5"/>
      <c r="E27" s="24"/>
      <c r="F27" s="5"/>
      <c r="G27" s="23" t="str">
        <f t="shared" si="0"/>
        <v/>
      </c>
      <c r="H27" s="70" t="str">
        <f>IFERROR(INDEX(Капасити!$C$5:$C$147,MATCH($C27,Капасити!$B$5:$B$147,0)),"")</f>
        <v/>
      </c>
      <c r="I27" s="71"/>
      <c r="J27" s="72" t="str">
        <f t="shared" si="1"/>
        <v/>
      </c>
      <c r="K27" s="50" t="s">
        <v>102</v>
      </c>
      <c r="L27" s="33"/>
      <c r="M27" s="101"/>
      <c r="N27" s="109"/>
      <c r="O27" s="129"/>
      <c r="P27" s="129"/>
      <c r="Q27" s="129"/>
      <c r="R27" s="90" t="str">
        <f t="shared" si="2"/>
        <v/>
      </c>
      <c r="S27" s="90" t="str">
        <f t="shared" si="3"/>
        <v/>
      </c>
      <c r="T27" s="90" t="str">
        <f>IF(AND(F27="В работе",P27&lt;&gt;""),Параметры!$B$10-P27,"")</f>
        <v/>
      </c>
      <c r="U27" s="211"/>
    </row>
    <row r="28" spans="1:21" x14ac:dyDescent="0.3">
      <c r="A28" s="5"/>
      <c r="B28" s="13"/>
      <c r="C28" s="13"/>
      <c r="D28" s="5"/>
      <c r="E28" s="24"/>
      <c r="F28" s="5"/>
      <c r="G28" s="23" t="str">
        <f t="shared" si="0"/>
        <v/>
      </c>
      <c r="H28" s="70" t="str">
        <f>IFERROR(INDEX(Капасити!$C$5:$C$147,MATCH($C28,Капасити!$B$5:$B$147,0)),"")</f>
        <v/>
      </c>
      <c r="I28" s="71"/>
      <c r="J28" s="72" t="str">
        <f t="shared" si="1"/>
        <v/>
      </c>
      <c r="K28" s="50" t="s">
        <v>102</v>
      </c>
      <c r="L28" s="33"/>
      <c r="M28" s="101"/>
      <c r="N28" s="109"/>
      <c r="O28" s="129"/>
      <c r="P28" s="129"/>
      <c r="Q28" s="129"/>
      <c r="R28" s="90" t="str">
        <f t="shared" si="2"/>
        <v/>
      </c>
      <c r="S28" s="90" t="str">
        <f t="shared" si="3"/>
        <v/>
      </c>
      <c r="T28" s="90" t="str">
        <f>IF(AND(F28="В работе",P28&lt;&gt;""),Параметры!$B$10-P28,"")</f>
        <v/>
      </c>
      <c r="U28" s="211"/>
    </row>
    <row r="29" spans="1:21" x14ac:dyDescent="0.3">
      <c r="A29" s="5"/>
      <c r="B29" s="13"/>
      <c r="C29" s="13"/>
      <c r="D29" s="5"/>
      <c r="E29" s="24"/>
      <c r="F29" s="5"/>
      <c r="G29" s="23" t="str">
        <f t="shared" si="0"/>
        <v/>
      </c>
      <c r="H29" s="70" t="str">
        <f>IFERROR(INDEX(Капасити!$C$5:$C$147,MATCH($C29,Капасити!$B$5:$B$147,0)),"")</f>
        <v/>
      </c>
      <c r="I29" s="71"/>
      <c r="J29" s="72" t="str">
        <f t="shared" si="1"/>
        <v/>
      </c>
      <c r="K29" s="50" t="s">
        <v>102</v>
      </c>
      <c r="L29" s="33"/>
      <c r="M29" s="101"/>
      <c r="N29" s="109"/>
      <c r="O29" s="129"/>
      <c r="P29" s="129"/>
      <c r="Q29" s="129"/>
      <c r="R29" s="90" t="str">
        <f t="shared" si="2"/>
        <v/>
      </c>
      <c r="S29" s="90" t="str">
        <f t="shared" si="3"/>
        <v/>
      </c>
      <c r="T29" s="90" t="str">
        <f>IF(AND(F29="В работе",P29&lt;&gt;""),Параметры!$B$10-P29,"")</f>
        <v/>
      </c>
      <c r="U29" s="211"/>
    </row>
    <row r="30" spans="1:21" x14ac:dyDescent="0.3">
      <c r="A30" s="5"/>
      <c r="B30" s="13"/>
      <c r="C30" s="13"/>
      <c r="D30" s="5"/>
      <c r="E30" s="24"/>
      <c r="F30" s="5"/>
      <c r="G30" s="23" t="str">
        <f t="shared" si="0"/>
        <v/>
      </c>
      <c r="H30" s="70" t="str">
        <f>IFERROR(INDEX(Капасити!$C$5:$C$147,MATCH($C30,Капасити!$B$5:$B$147,0)),"")</f>
        <v/>
      </c>
      <c r="I30" s="71"/>
      <c r="J30" s="72" t="str">
        <f t="shared" si="1"/>
        <v/>
      </c>
      <c r="K30" s="50" t="s">
        <v>102</v>
      </c>
      <c r="L30" s="33"/>
      <c r="M30" s="101"/>
      <c r="N30" s="109"/>
      <c r="O30" s="129"/>
      <c r="P30" s="129"/>
      <c r="Q30" s="129"/>
      <c r="R30" s="90" t="str">
        <f t="shared" si="2"/>
        <v/>
      </c>
      <c r="S30" s="90" t="str">
        <f t="shared" si="3"/>
        <v/>
      </c>
      <c r="T30" s="90" t="str">
        <f>IF(AND(F30="В работе",P30&lt;&gt;""),Параметры!$B$10-P30,"")</f>
        <v/>
      </c>
      <c r="U30" s="211"/>
    </row>
    <row r="31" spans="1:21" x14ac:dyDescent="0.3">
      <c r="A31" s="5"/>
      <c r="B31" s="13"/>
      <c r="C31" s="13"/>
      <c r="D31" s="5"/>
      <c r="E31" s="24"/>
      <c r="F31" s="5"/>
      <c r="G31" s="23" t="str">
        <f t="shared" si="0"/>
        <v/>
      </c>
      <c r="H31" s="70" t="str">
        <f>IFERROR(INDEX(Капасити!$C$5:$C$147,MATCH($C31,Капасити!$B$5:$B$147,0)),"")</f>
        <v/>
      </c>
      <c r="I31" s="71"/>
      <c r="J31" s="72" t="str">
        <f t="shared" si="1"/>
        <v/>
      </c>
      <c r="K31" s="50" t="s">
        <v>102</v>
      </c>
      <c r="L31" s="33"/>
      <c r="M31" s="101"/>
      <c r="N31" s="109"/>
      <c r="O31" s="129"/>
      <c r="P31" s="129"/>
      <c r="Q31" s="129"/>
      <c r="R31" s="90" t="str">
        <f t="shared" si="2"/>
        <v/>
      </c>
      <c r="S31" s="90" t="str">
        <f t="shared" si="3"/>
        <v/>
      </c>
      <c r="T31" s="90" t="str">
        <f>IF(AND(F31="В работе",P31&lt;&gt;""),Параметры!$B$10-P31,"")</f>
        <v/>
      </c>
      <c r="U31" s="211"/>
    </row>
    <row r="32" spans="1:21" x14ac:dyDescent="0.3">
      <c r="A32" s="5"/>
      <c r="B32" s="13"/>
      <c r="C32" s="13"/>
      <c r="D32" s="5"/>
      <c r="E32" s="24"/>
      <c r="F32" s="5"/>
      <c r="G32" s="23" t="str">
        <f t="shared" si="0"/>
        <v/>
      </c>
      <c r="H32" s="70" t="str">
        <f>IFERROR(INDEX(Капасити!$C$5:$C$147,MATCH($C32,Капасити!$B$5:$B$147,0)),"")</f>
        <v/>
      </c>
      <c r="I32" s="71"/>
      <c r="J32" s="72" t="str">
        <f t="shared" si="1"/>
        <v/>
      </c>
      <c r="K32" s="50" t="s">
        <v>102</v>
      </c>
      <c r="L32" s="33"/>
      <c r="M32" s="101"/>
      <c r="N32" s="109"/>
      <c r="O32" s="129"/>
      <c r="P32" s="129"/>
      <c r="Q32" s="129"/>
      <c r="R32" s="90" t="str">
        <f t="shared" si="2"/>
        <v/>
      </c>
      <c r="S32" s="90" t="str">
        <f t="shared" si="3"/>
        <v/>
      </c>
      <c r="T32" s="90" t="str">
        <f>IF(AND(F32="В работе",P32&lt;&gt;""),Параметры!$B$10-P32,"")</f>
        <v/>
      </c>
      <c r="U32" s="211"/>
    </row>
    <row r="33" spans="1:21" x14ac:dyDescent="0.3">
      <c r="A33" s="5"/>
      <c r="B33" s="13"/>
      <c r="C33" s="13"/>
      <c r="D33" s="5"/>
      <c r="E33" s="24"/>
      <c r="F33" s="5"/>
      <c r="G33" s="23" t="str">
        <f t="shared" si="0"/>
        <v/>
      </c>
      <c r="H33" s="70" t="str">
        <f>IFERROR(INDEX(Капасити!$C$5:$C$147,MATCH($C33,Капасити!$B$5:$B$147,0)),"")</f>
        <v/>
      </c>
      <c r="I33" s="71"/>
      <c r="J33" s="72" t="str">
        <f t="shared" si="1"/>
        <v/>
      </c>
      <c r="K33" s="50" t="s">
        <v>102</v>
      </c>
      <c r="L33" s="33"/>
      <c r="M33" s="101"/>
      <c r="N33" s="109"/>
      <c r="O33" s="129"/>
      <c r="P33" s="129"/>
      <c r="Q33" s="129"/>
      <c r="R33" s="90" t="str">
        <f t="shared" si="2"/>
        <v/>
      </c>
      <c r="S33" s="90" t="str">
        <f t="shared" si="3"/>
        <v/>
      </c>
      <c r="T33" s="90" t="str">
        <f>IF(AND(F33="В работе",P33&lt;&gt;""),Параметры!$B$10-P33,"")</f>
        <v/>
      </c>
      <c r="U33" s="211"/>
    </row>
    <row r="34" spans="1:21" x14ac:dyDescent="0.3">
      <c r="A34" s="5"/>
      <c r="B34" s="13"/>
      <c r="C34" s="13"/>
      <c r="D34" s="5"/>
      <c r="E34" s="24"/>
      <c r="F34" s="5"/>
      <c r="G34" s="23" t="str">
        <f t="shared" si="0"/>
        <v/>
      </c>
      <c r="H34" s="70" t="str">
        <f>IFERROR(INDEX(Капасити!$C$5:$C$147,MATCH($C34,Капасити!$B$5:$B$147,0)),"")</f>
        <v/>
      </c>
      <c r="I34" s="71"/>
      <c r="J34" s="72" t="str">
        <f t="shared" si="1"/>
        <v/>
      </c>
      <c r="K34" s="50" t="s">
        <v>102</v>
      </c>
      <c r="L34" s="33"/>
      <c r="M34" s="101"/>
      <c r="N34" s="109"/>
      <c r="O34" s="129"/>
      <c r="P34" s="129"/>
      <c r="Q34" s="129"/>
      <c r="R34" s="90" t="str">
        <f t="shared" si="2"/>
        <v/>
      </c>
      <c r="S34" s="90" t="str">
        <f t="shared" si="3"/>
        <v/>
      </c>
      <c r="T34" s="90" t="str">
        <f>IF(AND(F34="В работе",P34&lt;&gt;""),Параметры!$B$10-P34,"")</f>
        <v/>
      </c>
      <c r="U34" s="211"/>
    </row>
    <row r="35" spans="1:21" x14ac:dyDescent="0.3">
      <c r="A35" s="5"/>
      <c r="B35" s="13"/>
      <c r="C35" s="13"/>
      <c r="D35" s="5"/>
      <c r="E35" s="24"/>
      <c r="F35" s="5"/>
      <c r="G35" s="23" t="str">
        <f t="shared" si="0"/>
        <v/>
      </c>
      <c r="H35" s="70" t="str">
        <f>IFERROR(INDEX(Капасити!$C$5:$C$147,MATCH($C35,Капасити!$B$5:$B$147,0)),"")</f>
        <v/>
      </c>
      <c r="I35" s="71"/>
      <c r="J35" s="72" t="str">
        <f t="shared" si="1"/>
        <v/>
      </c>
      <c r="K35" s="50" t="s">
        <v>102</v>
      </c>
      <c r="L35" s="33"/>
      <c r="M35" s="101"/>
      <c r="N35" s="109"/>
      <c r="O35" s="129"/>
      <c r="P35" s="129"/>
      <c r="Q35" s="129"/>
      <c r="R35" s="90" t="str">
        <f t="shared" si="2"/>
        <v/>
      </c>
      <c r="S35" s="90" t="str">
        <f t="shared" si="3"/>
        <v/>
      </c>
      <c r="T35" s="90" t="str">
        <f>IF(AND(F35="В работе",P35&lt;&gt;""),Параметры!$B$10-P35,"")</f>
        <v/>
      </c>
      <c r="U35" s="211"/>
    </row>
    <row r="36" spans="1:21" x14ac:dyDescent="0.3">
      <c r="A36" s="5"/>
      <c r="B36" s="13"/>
      <c r="C36" s="13"/>
      <c r="D36" s="5"/>
      <c r="E36" s="24"/>
      <c r="F36" s="5"/>
      <c r="G36" s="23" t="str">
        <f t="shared" si="0"/>
        <v/>
      </c>
      <c r="H36" s="70" t="str">
        <f>IFERROR(INDEX(Капасити!$C$5:$C$147,MATCH($C36,Капасити!$B$5:$B$147,0)),"")</f>
        <v/>
      </c>
      <c r="I36" s="71"/>
      <c r="J36" s="72" t="str">
        <f t="shared" si="1"/>
        <v/>
      </c>
      <c r="K36" s="50" t="s">
        <v>102</v>
      </c>
      <c r="L36" s="33"/>
      <c r="M36" s="101"/>
      <c r="N36" s="109"/>
      <c r="O36" s="129"/>
      <c r="P36" s="129"/>
      <c r="Q36" s="129"/>
      <c r="R36" s="90" t="str">
        <f t="shared" si="2"/>
        <v/>
      </c>
      <c r="S36" s="90" t="str">
        <f t="shared" si="3"/>
        <v/>
      </c>
      <c r="T36" s="90" t="str">
        <f>IF(AND(F36="В работе",P36&lt;&gt;""),Параметры!$B$10-P36,"")</f>
        <v/>
      </c>
      <c r="U36" s="211"/>
    </row>
    <row r="37" spans="1:21" x14ac:dyDescent="0.3">
      <c r="A37" s="5"/>
      <c r="B37" s="13"/>
      <c r="C37" s="13"/>
      <c r="D37" s="5"/>
      <c r="E37" s="24"/>
      <c r="F37" s="5"/>
      <c r="G37" s="23" t="str">
        <f t="shared" si="0"/>
        <v/>
      </c>
      <c r="H37" s="70" t="str">
        <f>IFERROR(INDEX(Капасити!$C$5:$C$147,MATCH($C37,Капасити!$B$5:$B$147,0)),"")</f>
        <v/>
      </c>
      <c r="I37" s="71"/>
      <c r="J37" s="72" t="str">
        <f t="shared" si="1"/>
        <v/>
      </c>
      <c r="K37" s="50" t="s">
        <v>102</v>
      </c>
      <c r="L37" s="33"/>
      <c r="M37" s="101"/>
      <c r="N37" s="109"/>
      <c r="O37" s="129"/>
      <c r="P37" s="129"/>
      <c r="Q37" s="129"/>
      <c r="R37" s="90" t="str">
        <f t="shared" si="2"/>
        <v/>
      </c>
      <c r="S37" s="90" t="str">
        <f t="shared" si="3"/>
        <v/>
      </c>
      <c r="T37" s="90" t="str">
        <f>IF(AND(F37="В работе",P37&lt;&gt;""),Параметры!$B$10-P37,"")</f>
        <v/>
      </c>
      <c r="U37" s="211"/>
    </row>
    <row r="38" spans="1:21" x14ac:dyDescent="0.3">
      <c r="A38" s="5"/>
      <c r="B38" s="13"/>
      <c r="C38" s="13"/>
      <c r="D38" s="5"/>
      <c r="E38" s="24"/>
      <c r="F38" s="5"/>
      <c r="G38" s="23" t="str">
        <f t="shared" si="0"/>
        <v/>
      </c>
      <c r="H38" s="70" t="str">
        <f>IFERROR(INDEX(Капасити!$C$5:$C$147,MATCH($C38,Капасити!$B$5:$B$147,0)),"")</f>
        <v/>
      </c>
      <c r="I38" s="71"/>
      <c r="J38" s="72" t="str">
        <f t="shared" si="1"/>
        <v/>
      </c>
      <c r="K38" s="50" t="s">
        <v>102</v>
      </c>
      <c r="L38" s="33"/>
      <c r="M38" s="101"/>
      <c r="N38" s="109"/>
      <c r="O38" s="129"/>
      <c r="P38" s="129"/>
      <c r="Q38" s="129"/>
      <c r="R38" s="90" t="str">
        <f t="shared" si="2"/>
        <v/>
      </c>
      <c r="S38" s="90" t="str">
        <f t="shared" si="3"/>
        <v/>
      </c>
      <c r="T38" s="90" t="str">
        <f>IF(AND(F38="В работе",P38&lt;&gt;""),Параметры!$B$10-P38,"")</f>
        <v/>
      </c>
      <c r="U38" s="211"/>
    </row>
    <row r="39" spans="1:21" x14ac:dyDescent="0.3">
      <c r="A39" s="5"/>
      <c r="B39" s="13"/>
      <c r="C39" s="13"/>
      <c r="D39" s="5"/>
      <c r="E39" s="24"/>
      <c r="F39" s="5"/>
      <c r="G39" s="23" t="str">
        <f t="shared" si="0"/>
        <v/>
      </c>
      <c r="H39" s="70" t="str">
        <f>IFERROR(INDEX(Капасити!$C$5:$C$147,MATCH($C39,Капасити!$B$5:$B$147,0)),"")</f>
        <v/>
      </c>
      <c r="I39" s="71"/>
      <c r="J39" s="72" t="str">
        <f t="shared" si="1"/>
        <v/>
      </c>
      <c r="K39" s="50" t="s">
        <v>102</v>
      </c>
      <c r="L39" s="33"/>
      <c r="M39" s="101"/>
      <c r="N39" s="109"/>
      <c r="O39" s="129"/>
      <c r="P39" s="129"/>
      <c r="Q39" s="129"/>
      <c r="R39" s="90" t="str">
        <f t="shared" si="2"/>
        <v/>
      </c>
      <c r="S39" s="90" t="str">
        <f t="shared" si="3"/>
        <v/>
      </c>
      <c r="T39" s="90" t="str">
        <f>IF(AND(F39="В работе",P39&lt;&gt;""),Параметры!$B$10-P39,"")</f>
        <v/>
      </c>
      <c r="U39" s="211"/>
    </row>
    <row r="40" spans="1:21" x14ac:dyDescent="0.3">
      <c r="A40" s="5"/>
      <c r="B40" s="13"/>
      <c r="C40" s="13"/>
      <c r="D40" s="5"/>
      <c r="E40" s="24"/>
      <c r="F40" s="5"/>
      <c r="G40" s="23" t="str">
        <f t="shared" si="0"/>
        <v/>
      </c>
      <c r="H40" s="70" t="str">
        <f>IFERROR(INDEX(Капасити!$C$5:$C$147,MATCH($C40,Капасити!$B$5:$B$147,0)),"")</f>
        <v/>
      </c>
      <c r="I40" s="71"/>
      <c r="J40" s="72" t="str">
        <f t="shared" si="1"/>
        <v/>
      </c>
      <c r="K40" s="50" t="s">
        <v>102</v>
      </c>
      <c r="L40" s="33"/>
      <c r="M40" s="101"/>
      <c r="N40" s="109"/>
      <c r="O40" s="129"/>
      <c r="P40" s="129"/>
      <c r="Q40" s="129"/>
      <c r="R40" s="90" t="str">
        <f t="shared" si="2"/>
        <v/>
      </c>
      <c r="S40" s="90" t="str">
        <f t="shared" si="3"/>
        <v/>
      </c>
      <c r="T40" s="90" t="str">
        <f>IF(AND(F40="В работе",P40&lt;&gt;""),Параметры!$B$10-P40,"")</f>
        <v/>
      </c>
      <c r="U40" s="211"/>
    </row>
    <row r="41" spans="1:21" x14ac:dyDescent="0.3">
      <c r="A41" s="5"/>
      <c r="B41" s="13"/>
      <c r="C41" s="13"/>
      <c r="D41" s="5"/>
      <c r="E41" s="24"/>
      <c r="F41" s="5"/>
      <c r="G41" s="23" t="str">
        <f t="shared" si="0"/>
        <v/>
      </c>
      <c r="H41" s="70" t="str">
        <f>IFERROR(INDEX(Капасити!$C$5:$C$147,MATCH($C41,Капасити!$B$5:$B$147,0)),"")</f>
        <v/>
      </c>
      <c r="I41" s="71"/>
      <c r="J41" s="72" t="str">
        <f t="shared" si="1"/>
        <v/>
      </c>
      <c r="K41" s="50" t="s">
        <v>102</v>
      </c>
      <c r="L41" s="33"/>
      <c r="M41" s="101"/>
      <c r="N41" s="109"/>
      <c r="O41" s="129"/>
      <c r="P41" s="129"/>
      <c r="Q41" s="129"/>
      <c r="R41" s="90" t="str">
        <f t="shared" si="2"/>
        <v/>
      </c>
      <c r="S41" s="90" t="str">
        <f t="shared" si="3"/>
        <v/>
      </c>
      <c r="T41" s="90" t="str">
        <f>IF(AND(F41="В работе",P41&lt;&gt;""),Параметры!$B$10-P41,"")</f>
        <v/>
      </c>
      <c r="U41" s="211"/>
    </row>
    <row r="42" spans="1:21" x14ac:dyDescent="0.3">
      <c r="A42" s="5"/>
      <c r="B42" s="13"/>
      <c r="C42" s="13"/>
      <c r="D42" s="5"/>
      <c r="E42" s="24"/>
      <c r="F42" s="5"/>
      <c r="G42" s="23" t="str">
        <f t="shared" si="0"/>
        <v/>
      </c>
      <c r="H42" s="70" t="str">
        <f>IFERROR(INDEX(Капасити!$C$5:$C$147,MATCH($C42,Капасити!$B$5:$B$147,0)),"")</f>
        <v/>
      </c>
      <c r="I42" s="71"/>
      <c r="J42" s="72" t="str">
        <f t="shared" si="1"/>
        <v/>
      </c>
      <c r="K42" s="50" t="s">
        <v>102</v>
      </c>
      <c r="L42" s="33"/>
      <c r="M42" s="101"/>
      <c r="N42" s="109"/>
      <c r="O42" s="129"/>
      <c r="P42" s="129"/>
      <c r="Q42" s="129"/>
      <c r="R42" s="90" t="str">
        <f t="shared" si="2"/>
        <v/>
      </c>
      <c r="S42" s="90" t="str">
        <f t="shared" si="3"/>
        <v/>
      </c>
      <c r="T42" s="90" t="str">
        <f>IF(AND(F42="В работе",P42&lt;&gt;""),Параметры!$B$10-P42,"")</f>
        <v/>
      </c>
      <c r="U42" s="211"/>
    </row>
    <row r="43" spans="1:21" x14ac:dyDescent="0.3">
      <c r="A43" s="5"/>
      <c r="B43" s="13"/>
      <c r="C43" s="13"/>
      <c r="D43" s="5"/>
      <c r="E43" s="24"/>
      <c r="F43" s="5"/>
      <c r="G43" s="23" t="str">
        <f t="shared" si="0"/>
        <v/>
      </c>
      <c r="H43" s="70" t="str">
        <f>IFERROR(INDEX(Капасити!$C$5:$C$147,MATCH($C43,Капасити!$B$5:$B$147,0)),"")</f>
        <v/>
      </c>
      <c r="I43" s="71"/>
      <c r="J43" s="72" t="str">
        <f t="shared" si="1"/>
        <v/>
      </c>
      <c r="K43" s="50" t="s">
        <v>102</v>
      </c>
      <c r="L43" s="33"/>
      <c r="M43" s="101"/>
      <c r="N43" s="109"/>
      <c r="O43" s="129"/>
      <c r="P43" s="129"/>
      <c r="Q43" s="129"/>
      <c r="R43" s="90" t="str">
        <f t="shared" si="2"/>
        <v/>
      </c>
      <c r="S43" s="90" t="str">
        <f t="shared" si="3"/>
        <v/>
      </c>
      <c r="T43" s="90" t="str">
        <f>IF(AND(F43="В работе",P43&lt;&gt;""),Параметры!$B$10-P43,"")</f>
        <v/>
      </c>
      <c r="U43" s="211"/>
    </row>
    <row r="44" spans="1:21" x14ac:dyDescent="0.3">
      <c r="A44" s="5"/>
      <c r="B44" s="13"/>
      <c r="C44" s="13"/>
      <c r="D44" s="5"/>
      <c r="E44" s="24"/>
      <c r="F44" s="5"/>
      <c r="G44" s="23" t="str">
        <f t="shared" si="0"/>
        <v/>
      </c>
      <c r="H44" s="70" t="str">
        <f>IFERROR(INDEX(Капасити!$C$5:$C$147,MATCH($C44,Капасити!$B$5:$B$147,0)),"")</f>
        <v/>
      </c>
      <c r="I44" s="71"/>
      <c r="J44" s="72" t="str">
        <f t="shared" si="1"/>
        <v/>
      </c>
      <c r="K44" s="50" t="s">
        <v>102</v>
      </c>
      <c r="L44" s="33"/>
      <c r="M44" s="101"/>
      <c r="N44" s="109"/>
      <c r="O44" s="129"/>
      <c r="P44" s="129"/>
      <c r="Q44" s="129"/>
      <c r="R44" s="90" t="str">
        <f t="shared" si="2"/>
        <v/>
      </c>
      <c r="S44" s="90" t="str">
        <f t="shared" si="3"/>
        <v/>
      </c>
      <c r="T44" s="90" t="str">
        <f>IF(AND(F44="В работе",P44&lt;&gt;""),Параметры!$B$10-P44,"")</f>
        <v/>
      </c>
      <c r="U44" s="211"/>
    </row>
    <row r="45" spans="1:21" x14ac:dyDescent="0.3">
      <c r="A45" s="11"/>
      <c r="B45" s="11"/>
      <c r="C45" s="12" t="s">
        <v>534</v>
      </c>
      <c r="D45" s="11"/>
      <c r="E45" s="21">
        <f>SUM(E5:E44)</f>
        <v>107</v>
      </c>
      <c r="F45" s="11"/>
      <c r="G45" s="21">
        <f>SUM(G5:G44)</f>
        <v>69</v>
      </c>
    </row>
    <row r="47" spans="1:21" x14ac:dyDescent="0.3">
      <c r="B47" s="32" t="s">
        <v>535</v>
      </c>
      <c r="E47" s="73">
        <f>IFERROR(SUM(I5:I44)/SUMPRODUCT((I5:I44&lt;&gt;"")*E5:E44),"")</f>
        <v>1.0789473684210527</v>
      </c>
    </row>
    <row r="48" spans="1:21" x14ac:dyDescent="0.3">
      <c r="B48" s="38" t="s">
        <v>536</v>
      </c>
    </row>
    <row r="49" spans="2:5" x14ac:dyDescent="0.3">
      <c r="B49" s="88" t="s">
        <v>537</v>
      </c>
      <c r="E49" s="130">
        <f>IFERROR(AVERAGEIF(R5:R44,"&gt;=0"),0)</f>
        <v>5.2857142857142856</v>
      </c>
    </row>
    <row r="50" spans="2:5" x14ac:dyDescent="0.3">
      <c r="B50" s="88" t="s">
        <v>538</v>
      </c>
      <c r="E50" s="130">
        <f>IFERROR(AVERAGEIF(S5:S44,"&gt;=0"),0)</f>
        <v>10.714285714285714</v>
      </c>
    </row>
    <row r="100" spans="4:4" x14ac:dyDescent="0.3">
      <c r="D100">
        <f>E45</f>
        <v>107</v>
      </c>
    </row>
  </sheetData>
  <dataValidations count="5">
    <dataValidation type="list" allowBlank="1" errorTitle="Приоритет" error="Выберите: High, Medium или Low" promptTitle="Приоритет" prompt="Выберите приоритет из списка" sqref="D5:D44" xr:uid="{00000000-0002-0000-1300-000000000000}">
      <formula1>"High,Medium,Low"</formula1>
    </dataValidation>
    <dataValidation type="list" allowBlank="1" errorTitle="Статус" error="Выберите: To Do, В работе или Готово" promptTitle="Статус" prompt="Выберите статус из списка" sqref="F5:F44" xr:uid="{00000000-0002-0000-1300-000001000000}">
      <formula1>"To Do,В работе,Готово"</formula1>
    </dataValidation>
    <dataValidation type="list" allowBlank="1" sqref="K5:K44 N5:N44" xr:uid="{00000000-0002-0000-1300-000002000000}">
      <formula1>"Нет,Да"</formula1>
    </dataValidation>
    <dataValidation type="list" allowBlank="1" sqref="M5 M6 M7 M8 M9 M10 M11 M12 M13 M14 M15 M16 M17 M18 M19 M20 M21 M22 M23 M24 M25 M26 M27 M28 M29 M30 M31 M32 M33 M34 M35 M36 M37 M38 M39 M40 M41 M42 M43 M44" xr:uid="{00000000-0002-0000-1300-000003000000}">
      <formula1>"1,2,3,4,5,6,7,8,9,10,11"</formula1>
    </dataValidation>
    <dataValidation type="list" allowBlank="1" sqref="U5 U6 U7 U8 U9 U10 U11 U12 U13 U14 U15 U16 U17 U18 U19 U20 U21 U22 U23 U24 U25 U26 U27 U28 U29 U30 U31 U32 U33 U34 U35 U36 U37 U38 U39 U40 U41 U42 U43 U44" xr:uid="{00000000-0002-0000-1300-000004000000}">
      <formula1>"История,Задача,Тех.долг"</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32"/>
  <sheetViews>
    <sheetView showGridLines="0" workbookViewId="0">
      <pane ySplit="6" topLeftCell="A10" activePane="bottomLeft" state="frozen"/>
      <selection pane="bottomLeft" activeCell="R18" sqref="R18"/>
    </sheetView>
  </sheetViews>
  <sheetFormatPr defaultRowHeight="14.4" x14ac:dyDescent="0.3"/>
  <cols>
    <col min="1" max="1" width="19.33203125" customWidth="1"/>
    <col min="2" max="2" width="10" customWidth="1"/>
    <col min="3" max="3" width="20" customWidth="1"/>
    <col min="4" max="4" width="18" customWidth="1"/>
  </cols>
  <sheetData>
    <row r="1" spans="1:4" ht="17.399999999999999" customHeight="1" x14ac:dyDescent="0.3">
      <c r="A1" s="1" t="s">
        <v>539</v>
      </c>
    </row>
    <row r="2" spans="1:4" x14ac:dyDescent="0.3">
      <c r="A2" s="2" t="s">
        <v>540</v>
      </c>
    </row>
    <row r="3" spans="1:4" x14ac:dyDescent="0.3">
      <c r="A3" s="14" t="s">
        <v>541</v>
      </c>
      <c r="B3" s="25">
        <f>SUMIF(Бэклог!$M$5:$M$44,Параметры!$B$13,Бэклог!$E$5:$E$44)</f>
        <v>29</v>
      </c>
    </row>
    <row r="4" spans="1:4" x14ac:dyDescent="0.3">
      <c r="A4" s="14" t="s">
        <v>542</v>
      </c>
      <c r="B4" s="15">
        <f>SUMIF('Дорожная карта'!$A$6:$A$16,Параметры!$B$13,'Дорожная карта'!$E$6:$E$16)</f>
        <v>10</v>
      </c>
    </row>
    <row r="6" spans="1:4" ht="27.6" customHeight="1" x14ac:dyDescent="0.3">
      <c r="A6" s="3" t="s">
        <v>543</v>
      </c>
      <c r="B6" s="3" t="s">
        <v>235</v>
      </c>
      <c r="C6" s="3" t="s">
        <v>544</v>
      </c>
      <c r="D6" s="3" t="s">
        <v>545</v>
      </c>
    </row>
    <row r="7" spans="1:4" x14ac:dyDescent="0.3">
      <c r="A7" s="9">
        <v>0</v>
      </c>
      <c r="B7" s="22">
        <f>WORKDAY(Параметры!$B$6,A7)</f>
        <v>46237</v>
      </c>
      <c r="C7" s="23">
        <f t="shared" ref="C7:C17" si="0">$B$3*($B$4-A7)/$B$4</f>
        <v>29</v>
      </c>
      <c r="D7" s="24">
        <f>$B$3</f>
        <v>29</v>
      </c>
    </row>
    <row r="8" spans="1:4" x14ac:dyDescent="0.3">
      <c r="A8" s="9">
        <v>1</v>
      </c>
      <c r="B8" s="22">
        <f>WORKDAY(Параметры!$B$6,A8)</f>
        <v>46238</v>
      </c>
      <c r="C8" s="23">
        <f t="shared" si="0"/>
        <v>26.1</v>
      </c>
      <c r="D8" s="24">
        <f>ROUND($B$3*0.98,1)</f>
        <v>28.4</v>
      </c>
    </row>
    <row r="9" spans="1:4" x14ac:dyDescent="0.3">
      <c r="A9" s="9">
        <v>2</v>
      </c>
      <c r="B9" s="22">
        <f>WORKDAY(Параметры!$B$6,A9)</f>
        <v>46239</v>
      </c>
      <c r="C9" s="23">
        <f t="shared" si="0"/>
        <v>23.2</v>
      </c>
      <c r="D9" s="24">
        <f>ROUND($B$3*0.9,1)</f>
        <v>26.1</v>
      </c>
    </row>
    <row r="10" spans="1:4" x14ac:dyDescent="0.3">
      <c r="A10" s="9">
        <v>3</v>
      </c>
      <c r="B10" s="22">
        <f>WORKDAY(Параметры!$B$6,A10)</f>
        <v>46240</v>
      </c>
      <c r="C10" s="23">
        <f t="shared" si="0"/>
        <v>20.3</v>
      </c>
      <c r="D10" s="24">
        <f>ROUND($B$3*0.86,1)</f>
        <v>24.9</v>
      </c>
    </row>
    <row r="11" spans="1:4" x14ac:dyDescent="0.3">
      <c r="A11" s="9">
        <v>4</v>
      </c>
      <c r="B11" s="22">
        <f>WORKDAY(Параметры!$B$6,A11)</f>
        <v>46241</v>
      </c>
      <c r="C11" s="23">
        <f t="shared" si="0"/>
        <v>17.399999999999999</v>
      </c>
      <c r="D11" s="24">
        <f>ROUND($B$3*0.72,1)</f>
        <v>20.9</v>
      </c>
    </row>
    <row r="12" spans="1:4" x14ac:dyDescent="0.3">
      <c r="A12" s="9">
        <v>5</v>
      </c>
      <c r="B12" s="22">
        <f>WORKDAY(Параметры!$B$6,A12)</f>
        <v>46244</v>
      </c>
      <c r="C12" s="23">
        <f t="shared" si="0"/>
        <v>14.5</v>
      </c>
      <c r="D12" s="24">
        <f>ROUND($B$3*0.6,1)</f>
        <v>17.399999999999999</v>
      </c>
    </row>
    <row r="13" spans="1:4" x14ac:dyDescent="0.3">
      <c r="A13" s="9">
        <v>6</v>
      </c>
      <c r="B13" s="22">
        <f>WORKDAY(Параметры!$B$6,A13)</f>
        <v>46245</v>
      </c>
      <c r="C13" s="23">
        <f t="shared" si="0"/>
        <v>11.6</v>
      </c>
      <c r="D13" s="24">
        <f>ROUND($B$3*0.55,1)</f>
        <v>16</v>
      </c>
    </row>
    <row r="14" spans="1:4" x14ac:dyDescent="0.3">
      <c r="A14" s="9">
        <v>7</v>
      </c>
      <c r="B14" s="22">
        <f>WORKDAY(Параметры!$B$6,A14)</f>
        <v>46246</v>
      </c>
      <c r="C14" s="23">
        <f t="shared" si="0"/>
        <v>8.6999999999999993</v>
      </c>
      <c r="D14" s="24">
        <f>ROUND($B$3*0.4,1)</f>
        <v>11.6</v>
      </c>
    </row>
    <row r="15" spans="1:4" x14ac:dyDescent="0.3">
      <c r="A15" s="9">
        <v>8</v>
      </c>
      <c r="B15" s="22">
        <f>WORKDAY(Параметры!$B$6,A15)</f>
        <v>46247</v>
      </c>
      <c r="C15" s="23">
        <f t="shared" si="0"/>
        <v>5.8</v>
      </c>
      <c r="D15" s="24">
        <f>ROUND($B$3*0.28,1)</f>
        <v>8.1</v>
      </c>
    </row>
    <row r="16" spans="1:4" x14ac:dyDescent="0.3">
      <c r="A16" s="9">
        <v>9</v>
      </c>
      <c r="B16" s="22">
        <f>WORKDAY(Параметры!$B$6,A16)</f>
        <v>46248</v>
      </c>
      <c r="C16" s="23">
        <f t="shared" si="0"/>
        <v>2.9</v>
      </c>
      <c r="D16" s="24">
        <f>ROUND($B$3*0.12,1)</f>
        <v>3.5</v>
      </c>
    </row>
    <row r="17" spans="1:4" x14ac:dyDescent="0.3">
      <c r="A17" s="9">
        <v>10</v>
      </c>
      <c r="B17" s="22">
        <f>WORKDAY(Параметры!$B$6,A17)</f>
        <v>46251</v>
      </c>
      <c r="C17" s="23">
        <f t="shared" si="0"/>
        <v>0</v>
      </c>
      <c r="D17" s="24">
        <f>ROUND($B$3*0,1)</f>
        <v>0</v>
      </c>
    </row>
    <row r="19" spans="1:4" x14ac:dyDescent="0.3">
      <c r="A19" s="14" t="s">
        <v>546</v>
      </c>
    </row>
    <row r="20" spans="1:4" ht="15.6" customHeight="1" x14ac:dyDescent="0.3">
      <c r="A20" s="91" t="s">
        <v>547</v>
      </c>
    </row>
    <row r="21" spans="1:4" ht="41.4" customHeight="1" x14ac:dyDescent="0.3">
      <c r="A21" s="92" t="s">
        <v>112</v>
      </c>
      <c r="B21" s="92" t="s">
        <v>548</v>
      </c>
      <c r="C21" s="92" t="s">
        <v>549</v>
      </c>
    </row>
    <row r="22" spans="1:4" x14ac:dyDescent="0.3">
      <c r="A22" s="110">
        <v>1</v>
      </c>
      <c r="B22" s="102">
        <f>SUMIFS('Дорожная карта'!$I$6:$I$16,'Дорожная карта'!$A$6:$A$16,"&lt;="&amp;A22)</f>
        <v>17</v>
      </c>
      <c r="C22" s="102">
        <f>SUM(Бэклог!$E$5:$E$44)</f>
        <v>107</v>
      </c>
    </row>
    <row r="23" spans="1:4" x14ac:dyDescent="0.3">
      <c r="A23" s="110">
        <v>2</v>
      </c>
      <c r="B23" s="102">
        <f>SUMIFS('Дорожная карта'!$I$6:$I$16,'Дорожная карта'!$A$6:$A$16,"&lt;="&amp;A23)</f>
        <v>38</v>
      </c>
      <c r="C23" s="102">
        <f>SUM(Бэклог!$E$5:$E$44)</f>
        <v>107</v>
      </c>
    </row>
    <row r="24" spans="1:4" x14ac:dyDescent="0.3">
      <c r="A24" s="110">
        <v>3</v>
      </c>
      <c r="B24" s="102">
        <f>SUMIFS('Дорожная карта'!$I$6:$I$16,'Дорожная карта'!$A$6:$A$16,"&lt;="&amp;A24)</f>
        <v>38</v>
      </c>
      <c r="C24" s="102">
        <f>SUM(Бэклог!$E$5:$E$44)</f>
        <v>107</v>
      </c>
    </row>
    <row r="25" spans="1:4" x14ac:dyDescent="0.3">
      <c r="A25" s="110">
        <v>4</v>
      </c>
      <c r="B25" s="102">
        <f>SUMIFS('Дорожная карта'!$I$6:$I$16,'Дорожная карта'!$A$6:$A$16,"&lt;="&amp;A25)</f>
        <v>38</v>
      </c>
      <c r="C25" s="102">
        <f>SUM(Бэклог!$E$5:$E$44)</f>
        <v>107</v>
      </c>
    </row>
    <row r="26" spans="1:4" x14ac:dyDescent="0.3">
      <c r="A26" s="110">
        <v>5</v>
      </c>
      <c r="B26" s="102">
        <f>SUMIFS('Дорожная карта'!$I$6:$I$16,'Дорожная карта'!$A$6:$A$16,"&lt;="&amp;A26)</f>
        <v>38</v>
      </c>
      <c r="C26" s="102">
        <f>SUM(Бэклог!$E$5:$E$44)</f>
        <v>107</v>
      </c>
    </row>
    <row r="27" spans="1:4" x14ac:dyDescent="0.3">
      <c r="A27" s="110">
        <v>6</v>
      </c>
      <c r="B27" s="102">
        <f>SUMIFS('Дорожная карта'!$I$6:$I$16,'Дорожная карта'!$A$6:$A$16,"&lt;="&amp;A27)</f>
        <v>38</v>
      </c>
      <c r="C27" s="102">
        <f>SUM(Бэклог!$E$5:$E$44)</f>
        <v>107</v>
      </c>
    </row>
    <row r="28" spans="1:4" x14ac:dyDescent="0.3">
      <c r="A28" s="110">
        <v>7</v>
      </c>
      <c r="B28" s="102">
        <f>SUMIFS('Дорожная карта'!$I$6:$I$16,'Дорожная карта'!$A$6:$A$16,"&lt;="&amp;A28)</f>
        <v>38</v>
      </c>
      <c r="C28" s="102">
        <f>SUM(Бэклог!$E$5:$E$44)</f>
        <v>107</v>
      </c>
    </row>
    <row r="29" spans="1:4" x14ac:dyDescent="0.3">
      <c r="A29" s="110">
        <v>8</v>
      </c>
      <c r="B29" s="102">
        <f>SUMIFS('Дорожная карта'!$I$6:$I$16,'Дорожная карта'!$A$6:$A$16,"&lt;="&amp;A29)</f>
        <v>38</v>
      </c>
      <c r="C29" s="102">
        <f>SUM(Бэклог!$E$5:$E$44)</f>
        <v>107</v>
      </c>
    </row>
    <row r="30" spans="1:4" x14ac:dyDescent="0.3">
      <c r="A30" s="110">
        <v>9</v>
      </c>
      <c r="B30" s="102">
        <f>SUMIFS('Дорожная карта'!$I$6:$I$16,'Дорожная карта'!$A$6:$A$16,"&lt;="&amp;A30)</f>
        <v>38</v>
      </c>
      <c r="C30" s="102">
        <f>SUM(Бэклог!$E$5:$E$44)</f>
        <v>107</v>
      </c>
    </row>
    <row r="31" spans="1:4" x14ac:dyDescent="0.3">
      <c r="A31" s="110">
        <v>10</v>
      </c>
      <c r="B31" s="102">
        <f>SUMIFS('Дорожная карта'!$I$6:$I$16,'Дорожная карта'!$A$6:$A$16,"&lt;="&amp;A31)</f>
        <v>38</v>
      </c>
      <c r="C31" s="102">
        <f>SUM(Бэклог!$E$5:$E$44)</f>
        <v>107</v>
      </c>
    </row>
    <row r="32" spans="1:4" x14ac:dyDescent="0.3">
      <c r="A32" s="110">
        <v>11</v>
      </c>
      <c r="B32" s="102">
        <f>SUMIFS('Дорожная карта'!$I$6:$I$16,'Дорожная карта'!$A$6:$A$16,"&lt;="&amp;A32)</f>
        <v>38</v>
      </c>
      <c r="C32" s="102">
        <f>SUM(Бэклог!$E$5:$E$44)</f>
        <v>107</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6"/>
  <sheetViews>
    <sheetView showGridLines="0" workbookViewId="0">
      <pane ySplit="4" topLeftCell="A5" activePane="bottomLeft" state="frozen"/>
      <selection pane="bottomLeft"/>
    </sheetView>
  </sheetViews>
  <sheetFormatPr defaultRowHeight="14.4" x14ac:dyDescent="0.3"/>
  <cols>
    <col min="1" max="1" width="12" customWidth="1"/>
    <col min="2" max="3" width="10" customWidth="1"/>
    <col min="4" max="5" width="12" customWidth="1"/>
    <col min="6" max="6" width="13" customWidth="1"/>
    <col min="7" max="7" width="9" customWidth="1"/>
    <col min="8" max="8" width="11" customWidth="1"/>
    <col min="9" max="9" width="10" customWidth="1"/>
  </cols>
  <sheetData>
    <row r="1" spans="1:9" ht="17.399999999999999" customHeight="1" x14ac:dyDescent="0.3">
      <c r="A1" s="37" t="s">
        <v>550</v>
      </c>
    </row>
    <row r="2" spans="1:9" x14ac:dyDescent="0.3">
      <c r="A2" s="38" t="s">
        <v>551</v>
      </c>
    </row>
    <row r="4" spans="1:9" ht="41.4" customHeight="1" x14ac:dyDescent="0.3">
      <c r="A4" s="39" t="s">
        <v>112</v>
      </c>
      <c r="B4" s="39" t="s">
        <v>552</v>
      </c>
      <c r="C4" s="39" t="s">
        <v>553</v>
      </c>
      <c r="D4" s="39" t="s">
        <v>554</v>
      </c>
      <c r="E4" s="39" t="s">
        <v>555</v>
      </c>
      <c r="F4" s="39" t="s">
        <v>556</v>
      </c>
      <c r="G4" s="92" t="s">
        <v>557</v>
      </c>
      <c r="H4" s="92" t="s">
        <v>558</v>
      </c>
      <c r="I4" s="92" t="s">
        <v>559</v>
      </c>
    </row>
    <row r="5" spans="1:9" x14ac:dyDescent="0.3">
      <c r="A5" s="63" t="s">
        <v>128</v>
      </c>
      <c r="B5" s="64">
        <f>COUNTIF(Баги!$D$5:$D$64,1)</f>
        <v>5</v>
      </c>
      <c r="C5" s="64">
        <f>COUNTIFS(Баги!$D$5:$D$64,1,Баги!$F$5:$F$64,"Закрыт")</f>
        <v>4</v>
      </c>
      <c r="D5" s="64">
        <f>IF(B5="","",B5-C5)</f>
        <v>1</v>
      </c>
      <c r="E5" s="35">
        <f>SUMIF(Баги!$D$5:$D$64,1,Баги!$G$5:$G$64)</f>
        <v>2</v>
      </c>
      <c r="F5" s="36">
        <f>IF(E5="","",IFERROR(E5/'Дорожная карта'!F6,0))</f>
        <v>2.1551724137931032E-2</v>
      </c>
      <c r="G5" s="90">
        <f>COUNTIFS(Баги!$D$5:$D$64,1,Баги!$E$5:$E$64,"Critical")*5+COUNTIFS(Баги!$D$5:$D$64,1,Баги!$E$5:$E$64,"Major")*3+COUNTIFS(Баги!$D$5:$D$64,1,Баги!$E$5:$E$64,"Minor")*1</f>
        <v>15</v>
      </c>
      <c r="H5" s="111">
        <f>IFERROR(B5/'Дорожная карта'!I6,"")</f>
        <v>0.29411764705882354</v>
      </c>
      <c r="I5" s="90">
        <f>COUNTIFS(Баги!$D$5:$D$64,1,Баги!$H$5:$H$64,"Да")</f>
        <v>0</v>
      </c>
    </row>
    <row r="6" spans="1:9" x14ac:dyDescent="0.3">
      <c r="A6" s="63" t="s">
        <v>129</v>
      </c>
      <c r="B6" s="64">
        <f>COUNTIF(Баги!$D$5:$D$64,2)</f>
        <v>6</v>
      </c>
      <c r="C6" s="64">
        <f>COUNTIFS(Баги!$D$5:$D$64,2,Баги!$F$5:$F$64,"Закрыт")</f>
        <v>6</v>
      </c>
      <c r="D6" s="64">
        <f t="shared" ref="D6:D15" si="0">IF(B6="",D5,MAX(0,N(D5)+B6-C6))</f>
        <v>1</v>
      </c>
      <c r="E6" s="35">
        <f>SUMIF(Баги!$D$5:$D$64,2,Баги!$G$5:$G$64)</f>
        <v>1.5</v>
      </c>
      <c r="F6" s="36">
        <f>IF(E6="","",IFERROR(E6/'Дорожная карта'!F7,0))</f>
        <v>1.5756302521008403E-2</v>
      </c>
      <c r="G6" s="90">
        <f>COUNTIFS(Баги!$D$5:$D$64,2,Баги!$E$5:$E$64,"Critical")*5+COUNTIFS(Баги!$D$5:$D$64,2,Баги!$E$5:$E$64,"Major")*3+COUNTIFS(Баги!$D$5:$D$64,2,Баги!$E$5:$E$64,"Minor")*1</f>
        <v>18</v>
      </c>
      <c r="H6" s="111">
        <f>IFERROR(B6/'Дорожная карта'!I7,"")</f>
        <v>0.2857142857142857</v>
      </c>
      <c r="I6" s="90">
        <f>COUNTIFS(Баги!$D$5:$D$64,2,Баги!$H$5:$H$64,"Да")</f>
        <v>1</v>
      </c>
    </row>
    <row r="7" spans="1:9" x14ac:dyDescent="0.3">
      <c r="A7" s="63" t="s">
        <v>130</v>
      </c>
      <c r="B7" s="64">
        <f>COUNTIF(Баги!$D$5:$D$64,3)</f>
        <v>2</v>
      </c>
      <c r="C7" s="64">
        <f>COUNTIFS(Баги!$D$5:$D$64,3,Баги!$F$5:$F$64,"Закрыт")</f>
        <v>0</v>
      </c>
      <c r="D7" s="64">
        <f t="shared" si="0"/>
        <v>3</v>
      </c>
      <c r="E7" s="35">
        <f>SUMIF(Баги!$D$5:$D$64,3,Баги!$G$5:$G$64)</f>
        <v>0</v>
      </c>
      <c r="F7" s="36">
        <f>IF(E7="","",IFERROR(E7/'Дорожная карта'!F8,0))</f>
        <v>0</v>
      </c>
      <c r="G7" s="90">
        <f>COUNTIFS(Баги!$D$5:$D$64,3,Баги!$E$5:$E$64,"Critical")*5+COUNTIFS(Баги!$D$5:$D$64,3,Баги!$E$5:$E$64,"Major")*3+COUNTIFS(Баги!$D$5:$D$64,3,Баги!$E$5:$E$64,"Minor")*1</f>
        <v>4</v>
      </c>
      <c r="H7" s="111" t="str">
        <f>IFERROR(B7/'Дорожная карта'!I8,"")</f>
        <v/>
      </c>
      <c r="I7" s="90">
        <f>COUNTIFS(Баги!$D$5:$D$64,3,Баги!$H$5:$H$64,"Да")</f>
        <v>0</v>
      </c>
    </row>
    <row r="8" spans="1:9" x14ac:dyDescent="0.3">
      <c r="A8" s="63" t="s">
        <v>131</v>
      </c>
      <c r="B8" s="64">
        <f>COUNTIF(Баги!$D$5:$D$64,4)</f>
        <v>0</v>
      </c>
      <c r="C8" s="64">
        <f>COUNTIFS(Баги!$D$5:$D$64,4,Баги!$F$5:$F$64,"Закрыт")</f>
        <v>0</v>
      </c>
      <c r="D8" s="64">
        <f t="shared" si="0"/>
        <v>3</v>
      </c>
      <c r="E8" s="35">
        <f>SUMIF(Баги!$D$5:$D$64,4,Баги!$G$5:$G$64)</f>
        <v>0</v>
      </c>
      <c r="F8" s="36">
        <f>IF(E8="","",IFERROR(E8/'Дорожная карта'!F9,0))</f>
        <v>0</v>
      </c>
      <c r="G8" s="90">
        <f>COUNTIFS(Баги!$D$5:$D$64,4,Баги!$E$5:$E$64,"Critical")*5+COUNTIFS(Баги!$D$5:$D$64,4,Баги!$E$5:$E$64,"Major")*3+COUNTIFS(Баги!$D$5:$D$64,4,Баги!$E$5:$E$64,"Minor")*1</f>
        <v>0</v>
      </c>
      <c r="H8" s="111" t="str">
        <f>IFERROR(B8/'Дорожная карта'!I9,"")</f>
        <v/>
      </c>
      <c r="I8" s="90">
        <f>COUNTIFS(Баги!$D$5:$D$64,4,Баги!$H$5:$H$64,"Да")</f>
        <v>0</v>
      </c>
    </row>
    <row r="9" spans="1:9" x14ac:dyDescent="0.3">
      <c r="A9" s="63" t="s">
        <v>132</v>
      </c>
      <c r="B9" s="64">
        <f>COUNTIF(Баги!$D$5:$D$64,5)</f>
        <v>0</v>
      </c>
      <c r="C9" s="64">
        <f>COUNTIFS(Баги!$D$5:$D$64,5,Баги!$F$5:$F$64,"Закрыт")</f>
        <v>0</v>
      </c>
      <c r="D9" s="64">
        <f t="shared" si="0"/>
        <v>3</v>
      </c>
      <c r="E9" s="35">
        <f>SUMIF(Баги!$D$5:$D$64,5,Баги!$G$5:$G$64)</f>
        <v>0</v>
      </c>
      <c r="F9" s="36">
        <f>IF(E9="","",IFERROR(E9/'Дорожная карта'!F10,0))</f>
        <v>0</v>
      </c>
      <c r="G9" s="90">
        <f>COUNTIFS(Баги!$D$5:$D$64,5,Баги!$E$5:$E$64,"Critical")*5+COUNTIFS(Баги!$D$5:$D$64,5,Баги!$E$5:$E$64,"Major")*3+COUNTIFS(Баги!$D$5:$D$64,5,Баги!$E$5:$E$64,"Minor")*1</f>
        <v>0</v>
      </c>
      <c r="H9" s="111" t="str">
        <f>IFERROR(B9/'Дорожная карта'!I10,"")</f>
        <v/>
      </c>
      <c r="I9" s="90">
        <f>COUNTIFS(Баги!$D$5:$D$64,5,Баги!$H$5:$H$64,"Да")</f>
        <v>0</v>
      </c>
    </row>
    <row r="10" spans="1:9" x14ac:dyDescent="0.3">
      <c r="A10" s="63" t="s">
        <v>133</v>
      </c>
      <c r="B10" s="64">
        <f>COUNTIF(Баги!$D$5:$D$64,6)</f>
        <v>0</v>
      </c>
      <c r="C10" s="64">
        <f>COUNTIFS(Баги!$D$5:$D$64,6,Баги!$F$5:$F$64,"Закрыт")</f>
        <v>0</v>
      </c>
      <c r="D10" s="64">
        <f t="shared" si="0"/>
        <v>3</v>
      </c>
      <c r="E10" s="35">
        <f>SUMIF(Баги!$D$5:$D$64,6,Баги!$G$5:$G$64)</f>
        <v>0</v>
      </c>
      <c r="F10" s="36">
        <f>IF(E10="","",IFERROR(E10/'Дорожная карта'!F11,0))</f>
        <v>0</v>
      </c>
      <c r="G10" s="90">
        <f>COUNTIFS(Баги!$D$5:$D$64,6,Баги!$E$5:$E$64,"Critical")*5+COUNTIFS(Баги!$D$5:$D$64,6,Баги!$E$5:$E$64,"Major")*3+COUNTIFS(Баги!$D$5:$D$64,6,Баги!$E$5:$E$64,"Minor")*1</f>
        <v>0</v>
      </c>
      <c r="H10" s="111" t="str">
        <f>IFERROR(B10/'Дорожная карта'!I11,"")</f>
        <v/>
      </c>
      <c r="I10" s="90">
        <f>COUNTIFS(Баги!$D$5:$D$64,6,Баги!$H$5:$H$64,"Да")</f>
        <v>0</v>
      </c>
    </row>
    <row r="11" spans="1:9" x14ac:dyDescent="0.3">
      <c r="A11" s="63" t="s">
        <v>134</v>
      </c>
      <c r="B11" s="64">
        <f>COUNTIF(Баги!$D$5:$D$64,7)</f>
        <v>0</v>
      </c>
      <c r="C11" s="64">
        <f>COUNTIFS(Баги!$D$5:$D$64,7,Баги!$F$5:$F$64,"Закрыт")</f>
        <v>0</v>
      </c>
      <c r="D11" s="64">
        <f t="shared" si="0"/>
        <v>3</v>
      </c>
      <c r="E11" s="35">
        <f>SUMIF(Баги!$D$5:$D$64,7,Баги!$G$5:$G$64)</f>
        <v>0</v>
      </c>
      <c r="F11" s="36">
        <f>IF(E11="","",IFERROR(E11/'Дорожная карта'!F12,0))</f>
        <v>0</v>
      </c>
      <c r="G11" s="90">
        <f>COUNTIFS(Баги!$D$5:$D$64,7,Баги!$E$5:$E$64,"Critical")*5+COUNTIFS(Баги!$D$5:$D$64,7,Баги!$E$5:$E$64,"Major")*3+COUNTIFS(Баги!$D$5:$D$64,7,Баги!$E$5:$E$64,"Minor")*1</f>
        <v>0</v>
      </c>
      <c r="H11" s="111" t="str">
        <f>IFERROR(B11/'Дорожная карта'!I12,"")</f>
        <v/>
      </c>
      <c r="I11" s="90">
        <f>COUNTIFS(Баги!$D$5:$D$64,7,Баги!$H$5:$H$64,"Да")</f>
        <v>0</v>
      </c>
    </row>
    <row r="12" spans="1:9" x14ac:dyDescent="0.3">
      <c r="A12" s="63" t="s">
        <v>135</v>
      </c>
      <c r="B12" s="64">
        <f>COUNTIF(Баги!$D$5:$D$64,8)</f>
        <v>0</v>
      </c>
      <c r="C12" s="64">
        <f>COUNTIFS(Баги!$D$5:$D$64,8,Баги!$F$5:$F$64,"Закрыт")</f>
        <v>0</v>
      </c>
      <c r="D12" s="64">
        <f t="shared" si="0"/>
        <v>3</v>
      </c>
      <c r="E12" s="35">
        <f>SUMIF(Баги!$D$5:$D$64,8,Баги!$G$5:$G$64)</f>
        <v>0</v>
      </c>
      <c r="F12" s="36">
        <f>IF(E12="","",IFERROR(E12/'Дорожная карта'!F13,0))</f>
        <v>0</v>
      </c>
      <c r="G12" s="90">
        <f>COUNTIFS(Баги!$D$5:$D$64,8,Баги!$E$5:$E$64,"Critical")*5+COUNTIFS(Баги!$D$5:$D$64,8,Баги!$E$5:$E$64,"Major")*3+COUNTIFS(Баги!$D$5:$D$64,8,Баги!$E$5:$E$64,"Minor")*1</f>
        <v>0</v>
      </c>
      <c r="H12" s="111" t="str">
        <f>IFERROR(B12/'Дорожная карта'!I13,"")</f>
        <v/>
      </c>
      <c r="I12" s="90">
        <f>COUNTIFS(Баги!$D$5:$D$64,8,Баги!$H$5:$H$64,"Да")</f>
        <v>0</v>
      </c>
    </row>
    <row r="13" spans="1:9" x14ac:dyDescent="0.3">
      <c r="A13" s="63" t="s">
        <v>136</v>
      </c>
      <c r="B13" s="64">
        <f>COUNTIF(Баги!$D$5:$D$64,9)</f>
        <v>0</v>
      </c>
      <c r="C13" s="64">
        <f>COUNTIFS(Баги!$D$5:$D$64,9,Баги!$F$5:$F$64,"Закрыт")</f>
        <v>0</v>
      </c>
      <c r="D13" s="64">
        <f t="shared" si="0"/>
        <v>3</v>
      </c>
      <c r="E13" s="35">
        <f>SUMIF(Баги!$D$5:$D$64,9,Баги!$G$5:$G$64)</f>
        <v>0</v>
      </c>
      <c r="F13" s="36">
        <f>IF(E13="","",IFERROR(E13/'Дорожная карта'!F14,0))</f>
        <v>0</v>
      </c>
      <c r="G13" s="90">
        <f>COUNTIFS(Баги!$D$5:$D$64,9,Баги!$E$5:$E$64,"Critical")*5+COUNTIFS(Баги!$D$5:$D$64,9,Баги!$E$5:$E$64,"Major")*3+COUNTIFS(Баги!$D$5:$D$64,9,Баги!$E$5:$E$64,"Minor")*1</f>
        <v>0</v>
      </c>
      <c r="H13" s="111" t="str">
        <f>IFERROR(B13/'Дорожная карта'!I14,"")</f>
        <v/>
      </c>
      <c r="I13" s="90">
        <f>COUNTIFS(Баги!$D$5:$D$64,9,Баги!$H$5:$H$64,"Да")</f>
        <v>0</v>
      </c>
    </row>
    <row r="14" spans="1:9" x14ac:dyDescent="0.3">
      <c r="A14" s="63" t="s">
        <v>137</v>
      </c>
      <c r="B14" s="64">
        <f>COUNTIF(Баги!$D$5:$D$64,10)</f>
        <v>0</v>
      </c>
      <c r="C14" s="64">
        <f>COUNTIFS(Баги!$D$5:$D$64,10,Баги!$F$5:$F$64,"Закрыт")</f>
        <v>0</v>
      </c>
      <c r="D14" s="64">
        <f t="shared" si="0"/>
        <v>3</v>
      </c>
      <c r="E14" s="35">
        <f>SUMIF(Баги!$D$5:$D$64,10,Баги!$G$5:$G$64)</f>
        <v>0</v>
      </c>
      <c r="F14" s="36">
        <f>IF(E14="","",IFERROR(E14/'Дорожная карта'!F15,0))</f>
        <v>0</v>
      </c>
      <c r="G14" s="90">
        <f>COUNTIFS(Баги!$D$5:$D$64,10,Баги!$E$5:$E$64,"Critical")*5+COUNTIFS(Баги!$D$5:$D$64,10,Баги!$E$5:$E$64,"Major")*3+COUNTIFS(Баги!$D$5:$D$64,10,Баги!$E$5:$E$64,"Minor")*1</f>
        <v>0</v>
      </c>
      <c r="H14" s="111" t="str">
        <f>IFERROR(B14/'Дорожная карта'!I15,"")</f>
        <v/>
      </c>
      <c r="I14" s="90">
        <f>COUNTIFS(Баги!$D$5:$D$64,10,Баги!$H$5:$H$64,"Да")</f>
        <v>0</v>
      </c>
    </row>
    <row r="15" spans="1:9" x14ac:dyDescent="0.3">
      <c r="A15" s="63" t="s">
        <v>138</v>
      </c>
      <c r="B15" s="64">
        <f>COUNTIF(Баги!$D$5:$D$64,11)</f>
        <v>0</v>
      </c>
      <c r="C15" s="64">
        <f>COUNTIFS(Баги!$D$5:$D$64,11,Баги!$F$5:$F$64,"Закрыт")</f>
        <v>0</v>
      </c>
      <c r="D15" s="64">
        <f t="shared" si="0"/>
        <v>3</v>
      </c>
      <c r="E15" s="35">
        <f>SUMIF(Баги!$D$5:$D$64,11,Баги!$G$5:$G$64)</f>
        <v>0</v>
      </c>
      <c r="F15" s="36">
        <f>IF(E15="","",IFERROR(E15/'Дорожная карта'!F16,0))</f>
        <v>0</v>
      </c>
      <c r="G15" s="90">
        <f>COUNTIFS(Баги!$D$5:$D$64,11,Баги!$E$5:$E$64,"Critical")*5+COUNTIFS(Баги!$D$5:$D$64,11,Баги!$E$5:$E$64,"Major")*3+COUNTIFS(Баги!$D$5:$D$64,11,Баги!$E$5:$E$64,"Minor")*1</f>
        <v>0</v>
      </c>
      <c r="H15" s="111" t="str">
        <f>IFERROR(B15/'Дорожная карта'!I16,"")</f>
        <v/>
      </c>
      <c r="I15" s="90">
        <f>COUNTIFS(Баги!$D$5:$D$64,11,Баги!$H$5:$H$64,"Да")</f>
        <v>0</v>
      </c>
    </row>
    <row r="16" spans="1:9" x14ac:dyDescent="0.3">
      <c r="A16" s="53" t="s">
        <v>494</v>
      </c>
      <c r="B16" s="53">
        <f>SUM(B5:B15)</f>
        <v>13</v>
      </c>
      <c r="C16" s="53">
        <f>SUM(C5:C15)</f>
        <v>10</v>
      </c>
      <c r="D16" s="65"/>
      <c r="E16" s="54">
        <f>SUM(E5:E15)</f>
        <v>3.5</v>
      </c>
      <c r="F16" s="65"/>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P64"/>
  <sheetViews>
    <sheetView showGridLines="0" topLeftCell="F1" workbookViewId="0">
      <pane ySplit="4" topLeftCell="A36" activePane="bottomLeft" state="frozen"/>
      <selection pane="bottomLeft" activeCell="K2" sqref="K2"/>
    </sheetView>
  </sheetViews>
  <sheetFormatPr defaultRowHeight="14.4" x14ac:dyDescent="0.3"/>
  <cols>
    <col min="1" max="1" width="8" customWidth="1"/>
    <col min="2" max="2" width="32" customWidth="1"/>
    <col min="3" max="3" width="10" customWidth="1"/>
    <col min="4" max="4" width="9" customWidth="1"/>
    <col min="5" max="5" width="12" customWidth="1"/>
    <col min="6" max="7" width="11" customWidth="1"/>
    <col min="8" max="8" width="18.109375" customWidth="1"/>
    <col min="9" max="9" width="14" customWidth="1"/>
    <col min="10" max="11" width="8" customWidth="1"/>
    <col min="12" max="13" width="9" customWidth="1"/>
    <col min="14" max="14" width="11" customWidth="1"/>
    <col min="15" max="15" width="10" customWidth="1"/>
    <col min="16" max="16" width="13" hidden="1" customWidth="1"/>
  </cols>
  <sheetData>
    <row r="1" spans="1:16" ht="15.6" customHeight="1" x14ac:dyDescent="0.3">
      <c r="A1" s="58" t="s">
        <v>560</v>
      </c>
    </row>
    <row r="2" spans="1:16" x14ac:dyDescent="0.3">
      <c r="A2" s="38" t="s">
        <v>561</v>
      </c>
    </row>
    <row r="4" spans="1:16" ht="27.6" customHeight="1" x14ac:dyDescent="0.3">
      <c r="A4" s="39" t="s">
        <v>189</v>
      </c>
      <c r="B4" s="39" t="s">
        <v>280</v>
      </c>
      <c r="C4" s="39" t="s">
        <v>386</v>
      </c>
      <c r="D4" s="39" t="s">
        <v>112</v>
      </c>
      <c r="E4" s="39" t="s">
        <v>562</v>
      </c>
      <c r="F4" s="39" t="s">
        <v>121</v>
      </c>
      <c r="G4" s="39" t="s">
        <v>563</v>
      </c>
      <c r="H4" s="92" t="s">
        <v>564</v>
      </c>
      <c r="I4" s="161" t="s">
        <v>565</v>
      </c>
      <c r="J4" s="142" t="s">
        <v>566</v>
      </c>
    </row>
    <row r="5" spans="1:16" ht="27.6" customHeight="1" x14ac:dyDescent="0.3">
      <c r="A5" s="50" t="s">
        <v>567</v>
      </c>
      <c r="B5" s="57" t="s">
        <v>568</v>
      </c>
      <c r="C5" s="50" t="s">
        <v>393</v>
      </c>
      <c r="D5" s="33">
        <v>1</v>
      </c>
      <c r="E5" s="50" t="s">
        <v>569</v>
      </c>
      <c r="F5" s="50" t="s">
        <v>292</v>
      </c>
      <c r="G5" s="71">
        <v>0.5</v>
      </c>
      <c r="H5" s="109" t="s">
        <v>102</v>
      </c>
      <c r="I5" s="175" t="s">
        <v>570</v>
      </c>
      <c r="J5" s="143" t="s">
        <v>112</v>
      </c>
      <c r="K5" s="143" t="s">
        <v>482</v>
      </c>
      <c r="L5" s="143" t="s">
        <v>553</v>
      </c>
      <c r="M5" s="143" t="s">
        <v>571</v>
      </c>
      <c r="N5" s="143" t="s">
        <v>572</v>
      </c>
      <c r="O5" s="143" t="s">
        <v>573</v>
      </c>
    </row>
    <row r="6" spans="1:16" x14ac:dyDescent="0.3">
      <c r="A6" s="50" t="s">
        <v>574</v>
      </c>
      <c r="B6" s="57" t="s">
        <v>575</v>
      </c>
      <c r="C6" s="50" t="s">
        <v>403</v>
      </c>
      <c r="D6" s="33">
        <v>1</v>
      </c>
      <c r="E6" s="50" t="s">
        <v>576</v>
      </c>
      <c r="F6" s="50" t="s">
        <v>292</v>
      </c>
      <c r="G6" s="71">
        <v>0.5</v>
      </c>
      <c r="H6" s="109" t="s">
        <v>102</v>
      </c>
      <c r="I6" s="175" t="s">
        <v>290</v>
      </c>
      <c r="J6" s="144">
        <v>1</v>
      </c>
      <c r="K6" s="144">
        <f t="shared" ref="K6:K16" si="0">COUNTIF($D$5:$D$64,J6)</f>
        <v>5</v>
      </c>
      <c r="L6" s="144">
        <f t="shared" ref="L6:L16" si="1">COUNTIFS($D$5:$D$64,J6,$F$5:$F$64,"Закрыт")</f>
        <v>4</v>
      </c>
      <c r="M6" s="144">
        <f t="shared" ref="M6:M16" si="2">K6-L6</f>
        <v>1</v>
      </c>
      <c r="N6" s="145">
        <f t="shared" ref="N6:N16" si="3">IFERROR(L6/K6,"")</f>
        <v>0.8</v>
      </c>
      <c r="O6" s="145">
        <f t="shared" ref="O6:O16" si="4">IFERROR(K6/$K$17,0)</f>
        <v>0.38461538461538464</v>
      </c>
      <c r="P6">
        <f t="shared" ref="P6:P16" si="5">IF(K6=0,NA(),K6)</f>
        <v>5</v>
      </c>
    </row>
    <row r="7" spans="1:16" x14ac:dyDescent="0.3">
      <c r="A7" s="50" t="s">
        <v>577</v>
      </c>
      <c r="B7" s="57" t="s">
        <v>578</v>
      </c>
      <c r="C7" s="50" t="s">
        <v>393</v>
      </c>
      <c r="D7" s="33">
        <v>1</v>
      </c>
      <c r="E7" s="50" t="s">
        <v>569</v>
      </c>
      <c r="F7" s="50" t="s">
        <v>292</v>
      </c>
      <c r="G7" s="71">
        <v>0.5</v>
      </c>
      <c r="H7" s="109" t="s">
        <v>102</v>
      </c>
      <c r="I7" s="175" t="s">
        <v>579</v>
      </c>
      <c r="J7" s="144">
        <v>2</v>
      </c>
      <c r="K7" s="144">
        <f t="shared" si="0"/>
        <v>6</v>
      </c>
      <c r="L7" s="144">
        <f t="shared" si="1"/>
        <v>6</v>
      </c>
      <c r="M7" s="144">
        <f t="shared" si="2"/>
        <v>0</v>
      </c>
      <c r="N7" s="145">
        <f t="shared" si="3"/>
        <v>1</v>
      </c>
      <c r="O7" s="145">
        <f t="shared" si="4"/>
        <v>0.46153846153846156</v>
      </c>
      <c r="P7">
        <f t="shared" si="5"/>
        <v>6</v>
      </c>
    </row>
    <row r="8" spans="1:16" ht="27.6" customHeight="1" x14ac:dyDescent="0.3">
      <c r="A8" s="50" t="s">
        <v>580</v>
      </c>
      <c r="B8" s="57" t="s">
        <v>581</v>
      </c>
      <c r="C8" s="50" t="s">
        <v>403</v>
      </c>
      <c r="D8" s="33">
        <v>1</v>
      </c>
      <c r="E8" s="50" t="s">
        <v>582</v>
      </c>
      <c r="F8" s="50" t="s">
        <v>292</v>
      </c>
      <c r="G8" s="71">
        <v>0.3</v>
      </c>
      <c r="H8" s="109" t="s">
        <v>102</v>
      </c>
      <c r="I8" s="175" t="s">
        <v>583</v>
      </c>
      <c r="J8" s="144">
        <v>3</v>
      </c>
      <c r="K8" s="144">
        <f t="shared" si="0"/>
        <v>2</v>
      </c>
      <c r="L8" s="144">
        <f t="shared" si="1"/>
        <v>0</v>
      </c>
      <c r="M8" s="144">
        <f t="shared" si="2"/>
        <v>2</v>
      </c>
      <c r="N8" s="145">
        <f t="shared" si="3"/>
        <v>0</v>
      </c>
      <c r="O8" s="145">
        <f t="shared" si="4"/>
        <v>0.15384615384615385</v>
      </c>
      <c r="P8">
        <f t="shared" si="5"/>
        <v>2</v>
      </c>
    </row>
    <row r="9" spans="1:16" x14ac:dyDescent="0.3">
      <c r="A9" s="50" t="s">
        <v>584</v>
      </c>
      <c r="B9" s="57" t="s">
        <v>585</v>
      </c>
      <c r="C9" s="50" t="s">
        <v>395</v>
      </c>
      <c r="D9" s="33">
        <v>1</v>
      </c>
      <c r="E9" s="50" t="s">
        <v>569</v>
      </c>
      <c r="F9" s="50" t="s">
        <v>302</v>
      </c>
      <c r="G9" s="71">
        <v>0.2</v>
      </c>
      <c r="H9" s="109" t="s">
        <v>102</v>
      </c>
      <c r="I9" s="175" t="s">
        <v>570</v>
      </c>
      <c r="J9" s="144">
        <v>4</v>
      </c>
      <c r="K9" s="144">
        <f t="shared" si="0"/>
        <v>0</v>
      </c>
      <c r="L9" s="144">
        <f t="shared" si="1"/>
        <v>0</v>
      </c>
      <c r="M9" s="144">
        <f t="shared" si="2"/>
        <v>0</v>
      </c>
      <c r="N9" s="145" t="str">
        <f t="shared" si="3"/>
        <v/>
      </c>
      <c r="O9" s="145">
        <f t="shared" si="4"/>
        <v>0</v>
      </c>
      <c r="P9" t="e">
        <f t="shared" si="5"/>
        <v>#N/A</v>
      </c>
    </row>
    <row r="10" spans="1:16" x14ac:dyDescent="0.3">
      <c r="A10" s="50" t="s">
        <v>586</v>
      </c>
      <c r="B10" s="57" t="s">
        <v>587</v>
      </c>
      <c r="C10" s="50" t="s">
        <v>395</v>
      </c>
      <c r="D10" s="33">
        <v>2</v>
      </c>
      <c r="E10" s="50" t="s">
        <v>576</v>
      </c>
      <c r="F10" s="50" t="s">
        <v>292</v>
      </c>
      <c r="G10" s="71">
        <v>0.4</v>
      </c>
      <c r="H10" s="109" t="s">
        <v>392</v>
      </c>
      <c r="I10" s="175" t="s">
        <v>290</v>
      </c>
      <c r="J10" s="144">
        <v>5</v>
      </c>
      <c r="K10" s="144">
        <f t="shared" si="0"/>
        <v>0</v>
      </c>
      <c r="L10" s="144">
        <f t="shared" si="1"/>
        <v>0</v>
      </c>
      <c r="M10" s="144">
        <f t="shared" si="2"/>
        <v>0</v>
      </c>
      <c r="N10" s="145" t="str">
        <f t="shared" si="3"/>
        <v/>
      </c>
      <c r="O10" s="145">
        <f t="shared" si="4"/>
        <v>0</v>
      </c>
      <c r="P10" t="e">
        <f t="shared" si="5"/>
        <v>#N/A</v>
      </c>
    </row>
    <row r="11" spans="1:16" ht="27.6" customHeight="1" x14ac:dyDescent="0.3">
      <c r="A11" s="50" t="s">
        <v>588</v>
      </c>
      <c r="B11" s="57" t="s">
        <v>589</v>
      </c>
      <c r="C11" s="50" t="s">
        <v>431</v>
      </c>
      <c r="D11" s="33">
        <v>2</v>
      </c>
      <c r="E11" s="50" t="s">
        <v>569</v>
      </c>
      <c r="F11" s="50" t="s">
        <v>292</v>
      </c>
      <c r="G11" s="71">
        <v>0.3</v>
      </c>
      <c r="H11" s="109" t="s">
        <v>102</v>
      </c>
      <c r="I11" s="175" t="s">
        <v>579</v>
      </c>
      <c r="J11" s="144">
        <v>6</v>
      </c>
      <c r="K11" s="144">
        <f t="shared" si="0"/>
        <v>0</v>
      </c>
      <c r="L11" s="144">
        <f t="shared" si="1"/>
        <v>0</v>
      </c>
      <c r="M11" s="144">
        <f t="shared" si="2"/>
        <v>0</v>
      </c>
      <c r="N11" s="145" t="str">
        <f t="shared" si="3"/>
        <v/>
      </c>
      <c r="O11" s="145">
        <f t="shared" si="4"/>
        <v>0</v>
      </c>
      <c r="P11" t="e">
        <f t="shared" si="5"/>
        <v>#N/A</v>
      </c>
    </row>
    <row r="12" spans="1:16" x14ac:dyDescent="0.3">
      <c r="A12" s="50" t="s">
        <v>590</v>
      </c>
      <c r="B12" s="57" t="s">
        <v>591</v>
      </c>
      <c r="C12" s="50" t="s">
        <v>395</v>
      </c>
      <c r="D12" s="33">
        <v>2</v>
      </c>
      <c r="E12" s="50" t="s">
        <v>576</v>
      </c>
      <c r="F12" s="50" t="s">
        <v>292</v>
      </c>
      <c r="G12" s="71">
        <v>0.3</v>
      </c>
      <c r="H12" s="109" t="s">
        <v>102</v>
      </c>
      <c r="I12" s="175" t="s">
        <v>570</v>
      </c>
      <c r="J12" s="144">
        <v>7</v>
      </c>
      <c r="K12" s="144">
        <f t="shared" si="0"/>
        <v>0</v>
      </c>
      <c r="L12" s="144">
        <f t="shared" si="1"/>
        <v>0</v>
      </c>
      <c r="M12" s="144">
        <f t="shared" si="2"/>
        <v>0</v>
      </c>
      <c r="N12" s="145" t="str">
        <f t="shared" si="3"/>
        <v/>
      </c>
      <c r="O12" s="145">
        <f t="shared" si="4"/>
        <v>0</v>
      </c>
      <c r="P12" t="e">
        <f t="shared" si="5"/>
        <v>#N/A</v>
      </c>
    </row>
    <row r="13" spans="1:16" x14ac:dyDescent="0.3">
      <c r="A13" s="50" t="s">
        <v>592</v>
      </c>
      <c r="B13" s="57" t="s">
        <v>593</v>
      </c>
      <c r="C13" s="50" t="s">
        <v>522</v>
      </c>
      <c r="D13" s="33">
        <v>2</v>
      </c>
      <c r="E13" s="50" t="s">
        <v>569</v>
      </c>
      <c r="F13" s="50" t="s">
        <v>292</v>
      </c>
      <c r="G13" s="71">
        <v>0.2</v>
      </c>
      <c r="H13" s="109" t="s">
        <v>102</v>
      </c>
      <c r="I13" s="175" t="s">
        <v>594</v>
      </c>
      <c r="J13" s="144">
        <v>8</v>
      </c>
      <c r="K13" s="144">
        <f t="shared" si="0"/>
        <v>0</v>
      </c>
      <c r="L13" s="144">
        <f t="shared" si="1"/>
        <v>0</v>
      </c>
      <c r="M13" s="144">
        <f t="shared" si="2"/>
        <v>0</v>
      </c>
      <c r="N13" s="145" t="str">
        <f t="shared" si="3"/>
        <v/>
      </c>
      <c r="O13" s="145">
        <f t="shared" si="4"/>
        <v>0</v>
      </c>
      <c r="P13" t="e">
        <f t="shared" si="5"/>
        <v>#N/A</v>
      </c>
    </row>
    <row r="14" spans="1:16" x14ac:dyDescent="0.3">
      <c r="A14" s="50" t="s">
        <v>595</v>
      </c>
      <c r="B14" s="57" t="s">
        <v>596</v>
      </c>
      <c r="C14" s="50" t="s">
        <v>403</v>
      </c>
      <c r="D14" s="33">
        <v>2</v>
      </c>
      <c r="E14" s="50" t="s">
        <v>582</v>
      </c>
      <c r="F14" s="50" t="s">
        <v>292</v>
      </c>
      <c r="G14" s="71">
        <v>0.1</v>
      </c>
      <c r="H14" s="109" t="s">
        <v>102</v>
      </c>
      <c r="I14" s="175" t="s">
        <v>290</v>
      </c>
      <c r="J14" s="144">
        <v>9</v>
      </c>
      <c r="K14" s="144">
        <f t="shared" si="0"/>
        <v>0</v>
      </c>
      <c r="L14" s="144">
        <f t="shared" si="1"/>
        <v>0</v>
      </c>
      <c r="M14" s="144">
        <f t="shared" si="2"/>
        <v>0</v>
      </c>
      <c r="N14" s="145" t="str">
        <f t="shared" si="3"/>
        <v/>
      </c>
      <c r="O14" s="145">
        <f t="shared" si="4"/>
        <v>0</v>
      </c>
      <c r="P14" t="e">
        <f t="shared" si="5"/>
        <v>#N/A</v>
      </c>
    </row>
    <row r="15" spans="1:16" x14ac:dyDescent="0.3">
      <c r="A15" s="50" t="s">
        <v>597</v>
      </c>
      <c r="B15" s="57" t="s">
        <v>598</v>
      </c>
      <c r="C15" s="50" t="s">
        <v>520</v>
      </c>
      <c r="D15" s="33">
        <v>2</v>
      </c>
      <c r="E15" s="50" t="s">
        <v>582</v>
      </c>
      <c r="F15" s="50" t="s">
        <v>292</v>
      </c>
      <c r="G15" s="71">
        <v>0.2</v>
      </c>
      <c r="H15" s="109" t="s">
        <v>102</v>
      </c>
      <c r="I15" s="175" t="s">
        <v>579</v>
      </c>
      <c r="J15" s="144">
        <v>10</v>
      </c>
      <c r="K15" s="144">
        <f t="shared" si="0"/>
        <v>0</v>
      </c>
      <c r="L15" s="144">
        <f t="shared" si="1"/>
        <v>0</v>
      </c>
      <c r="M15" s="144">
        <f t="shared" si="2"/>
        <v>0</v>
      </c>
      <c r="N15" s="145" t="str">
        <f t="shared" si="3"/>
        <v/>
      </c>
      <c r="O15" s="145">
        <f t="shared" si="4"/>
        <v>0</v>
      </c>
      <c r="P15" t="e">
        <f t="shared" si="5"/>
        <v>#N/A</v>
      </c>
    </row>
    <row r="16" spans="1:16" ht="27.6" customHeight="1" x14ac:dyDescent="0.3">
      <c r="A16" s="50" t="s">
        <v>599</v>
      </c>
      <c r="B16" s="57" t="s">
        <v>600</v>
      </c>
      <c r="C16" s="50" t="s">
        <v>394</v>
      </c>
      <c r="D16" s="33">
        <v>3</v>
      </c>
      <c r="E16" s="50" t="s">
        <v>569</v>
      </c>
      <c r="F16" s="50" t="s">
        <v>302</v>
      </c>
      <c r="G16" s="71">
        <v>0</v>
      </c>
      <c r="H16" s="109" t="s">
        <v>102</v>
      </c>
      <c r="I16" s="175" t="s">
        <v>583</v>
      </c>
      <c r="J16" s="144">
        <v>11</v>
      </c>
      <c r="K16" s="144">
        <f t="shared" si="0"/>
        <v>0</v>
      </c>
      <c r="L16" s="144">
        <f t="shared" si="1"/>
        <v>0</v>
      </c>
      <c r="M16" s="144">
        <f t="shared" si="2"/>
        <v>0</v>
      </c>
      <c r="N16" s="145" t="str">
        <f t="shared" si="3"/>
        <v/>
      </c>
      <c r="O16" s="145">
        <f t="shared" si="4"/>
        <v>0</v>
      </c>
      <c r="P16" t="e">
        <f t="shared" si="5"/>
        <v>#N/A</v>
      </c>
    </row>
    <row r="17" spans="1:15" x14ac:dyDescent="0.3">
      <c r="A17" s="50" t="s">
        <v>601</v>
      </c>
      <c r="B17" s="57" t="s">
        <v>602</v>
      </c>
      <c r="C17" s="50" t="s">
        <v>404</v>
      </c>
      <c r="D17" s="33">
        <v>3</v>
      </c>
      <c r="E17" s="50" t="s">
        <v>582</v>
      </c>
      <c r="F17" s="50" t="s">
        <v>302</v>
      </c>
      <c r="G17" s="71">
        <v>0</v>
      </c>
      <c r="H17" s="109" t="s">
        <v>102</v>
      </c>
      <c r="I17" s="175" t="s">
        <v>570</v>
      </c>
      <c r="J17" s="146" t="s">
        <v>494</v>
      </c>
      <c r="K17" s="146">
        <f>SUM(K6:K16)</f>
        <v>13</v>
      </c>
      <c r="L17" s="146">
        <f>SUM(L6:L16)</f>
        <v>10</v>
      </c>
      <c r="M17" s="146">
        <f>SUM(M6:M16)</f>
        <v>3</v>
      </c>
      <c r="N17" s="147">
        <f>IFERROR(L17/K17,0)</f>
        <v>0.76923076923076927</v>
      </c>
      <c r="O17" s="147">
        <f>IFERROR(K17/K17,0)</f>
        <v>1</v>
      </c>
    </row>
    <row r="18" spans="1:15" x14ac:dyDescent="0.3">
      <c r="A18" s="50"/>
      <c r="B18" s="57"/>
      <c r="C18" s="50"/>
      <c r="D18" s="33"/>
      <c r="E18" s="50"/>
      <c r="F18" s="50"/>
      <c r="G18" s="71"/>
      <c r="H18" s="109"/>
      <c r="I18" s="185"/>
    </row>
    <row r="19" spans="1:15" x14ac:dyDescent="0.3">
      <c r="A19" s="50"/>
      <c r="B19" s="57"/>
      <c r="C19" s="50"/>
      <c r="D19" s="33"/>
      <c r="E19" s="50"/>
      <c r="F19" s="50"/>
      <c r="G19" s="71"/>
      <c r="H19" s="109"/>
      <c r="I19" s="185"/>
      <c r="J19" s="14" t="s">
        <v>603</v>
      </c>
      <c r="L19" s="148">
        <f>K17</f>
        <v>13</v>
      </c>
    </row>
    <row r="20" spans="1:15" x14ac:dyDescent="0.3">
      <c r="A20" s="50"/>
      <c r="B20" s="57"/>
      <c r="C20" s="50"/>
      <c r="D20" s="33"/>
      <c r="E20" s="50"/>
      <c r="F20" s="50"/>
      <c r="G20" s="71"/>
      <c r="H20" s="109"/>
      <c r="I20" s="185"/>
      <c r="J20" s="14" t="s">
        <v>604</v>
      </c>
      <c r="L20" s="149">
        <f>IFERROR(L17/K17,0)</f>
        <v>0.76923076923076927</v>
      </c>
    </row>
    <row r="21" spans="1:15" x14ac:dyDescent="0.3">
      <c r="A21" s="50"/>
      <c r="B21" s="57"/>
      <c r="C21" s="50"/>
      <c r="D21" s="33"/>
      <c r="E21" s="50"/>
      <c r="F21" s="50"/>
      <c r="G21" s="71"/>
      <c r="H21" s="109"/>
      <c r="I21" s="185"/>
    </row>
    <row r="22" spans="1:15" x14ac:dyDescent="0.3">
      <c r="A22" s="50"/>
      <c r="B22" s="57"/>
      <c r="C22" s="50"/>
      <c r="D22" s="33"/>
      <c r="E22" s="50"/>
      <c r="F22" s="50"/>
      <c r="G22" s="71"/>
      <c r="H22" s="109"/>
      <c r="I22" s="185"/>
    </row>
    <row r="23" spans="1:15" x14ac:dyDescent="0.3">
      <c r="A23" s="50"/>
      <c r="B23" s="57"/>
      <c r="C23" s="50"/>
      <c r="D23" s="33"/>
      <c r="E23" s="50"/>
      <c r="F23" s="50"/>
      <c r="G23" s="71"/>
      <c r="H23" s="109"/>
      <c r="I23" s="185"/>
    </row>
    <row r="24" spans="1:15" x14ac:dyDescent="0.3">
      <c r="A24" s="50"/>
      <c r="B24" s="57"/>
      <c r="C24" s="50"/>
      <c r="D24" s="33"/>
      <c r="E24" s="50"/>
      <c r="F24" s="50"/>
      <c r="G24" s="71"/>
      <c r="H24" s="109"/>
      <c r="I24" s="185"/>
    </row>
    <row r="25" spans="1:15" x14ac:dyDescent="0.3">
      <c r="A25" s="50"/>
      <c r="B25" s="57"/>
      <c r="C25" s="50"/>
      <c r="D25" s="33"/>
      <c r="E25" s="50"/>
      <c r="F25" s="50"/>
      <c r="G25" s="71"/>
      <c r="H25" s="109"/>
      <c r="I25" s="185"/>
    </row>
    <row r="26" spans="1:15" x14ac:dyDescent="0.3">
      <c r="A26" s="50"/>
      <c r="B26" s="57"/>
      <c r="C26" s="50"/>
      <c r="D26" s="33"/>
      <c r="E26" s="50"/>
      <c r="F26" s="50"/>
      <c r="G26" s="71"/>
      <c r="H26" s="109"/>
      <c r="I26" s="185"/>
    </row>
    <row r="27" spans="1:15" x14ac:dyDescent="0.3">
      <c r="A27" s="50"/>
      <c r="B27" s="57"/>
      <c r="C27" s="50"/>
      <c r="D27" s="33"/>
      <c r="E27" s="50"/>
      <c r="F27" s="50"/>
      <c r="G27" s="71"/>
      <c r="H27" s="109"/>
      <c r="I27" s="185"/>
    </row>
    <row r="28" spans="1:15" x14ac:dyDescent="0.3">
      <c r="A28" s="50"/>
      <c r="B28" s="57"/>
      <c r="C28" s="50"/>
      <c r="D28" s="33"/>
      <c r="E28" s="50"/>
      <c r="F28" s="50"/>
      <c r="G28" s="71"/>
      <c r="H28" s="109"/>
      <c r="I28" s="185"/>
    </row>
    <row r="29" spans="1:15" x14ac:dyDescent="0.3">
      <c r="A29" s="50"/>
      <c r="B29" s="57"/>
      <c r="C29" s="50"/>
      <c r="D29" s="33"/>
      <c r="E29" s="50"/>
      <c r="F29" s="50"/>
      <c r="G29" s="71"/>
      <c r="H29" s="109"/>
      <c r="I29" s="185"/>
    </row>
    <row r="30" spans="1:15" x14ac:dyDescent="0.3">
      <c r="A30" s="50"/>
      <c r="B30" s="57"/>
      <c r="C30" s="50"/>
      <c r="D30" s="33"/>
      <c r="E30" s="50"/>
      <c r="F30" s="50"/>
      <c r="G30" s="71"/>
      <c r="H30" s="109"/>
      <c r="I30" s="185"/>
    </row>
    <row r="31" spans="1:15" x14ac:dyDescent="0.3">
      <c r="A31" s="50"/>
      <c r="B31" s="57"/>
      <c r="C31" s="50"/>
      <c r="D31" s="33"/>
      <c r="E31" s="50"/>
      <c r="F31" s="50"/>
      <c r="G31" s="71"/>
      <c r="H31" s="109"/>
      <c r="I31" s="185"/>
    </row>
    <row r="32" spans="1:15" x14ac:dyDescent="0.3">
      <c r="A32" s="50"/>
      <c r="B32" s="57"/>
      <c r="C32" s="50"/>
      <c r="D32" s="33"/>
      <c r="E32" s="50"/>
      <c r="F32" s="50"/>
      <c r="G32" s="71"/>
      <c r="H32" s="109"/>
      <c r="I32" s="185"/>
    </row>
    <row r="33" spans="1:9" x14ac:dyDescent="0.3">
      <c r="A33" s="50"/>
      <c r="B33" s="57"/>
      <c r="C33" s="50"/>
      <c r="D33" s="33"/>
      <c r="E33" s="50"/>
      <c r="F33" s="50"/>
      <c r="G33" s="71"/>
      <c r="H33" s="109"/>
      <c r="I33" s="185"/>
    </row>
    <row r="34" spans="1:9" x14ac:dyDescent="0.3">
      <c r="A34" s="50"/>
      <c r="B34" s="57"/>
      <c r="C34" s="50"/>
      <c r="D34" s="33"/>
      <c r="E34" s="50"/>
      <c r="F34" s="50"/>
      <c r="G34" s="71"/>
      <c r="H34" s="109"/>
      <c r="I34" s="185"/>
    </row>
    <row r="35" spans="1:9" x14ac:dyDescent="0.3">
      <c r="A35" s="50"/>
      <c r="B35" s="57"/>
      <c r="C35" s="50"/>
      <c r="D35" s="33"/>
      <c r="E35" s="50"/>
      <c r="F35" s="50"/>
      <c r="G35" s="71"/>
      <c r="H35" s="109"/>
      <c r="I35" s="185"/>
    </row>
    <row r="36" spans="1:9" x14ac:dyDescent="0.3">
      <c r="A36" s="50"/>
      <c r="B36" s="57"/>
      <c r="C36" s="50"/>
      <c r="D36" s="33"/>
      <c r="E36" s="50"/>
      <c r="F36" s="50"/>
      <c r="G36" s="71"/>
      <c r="H36" s="109"/>
      <c r="I36" s="185"/>
    </row>
    <row r="37" spans="1:9" x14ac:dyDescent="0.3">
      <c r="A37" s="50"/>
      <c r="B37" s="57"/>
      <c r="C37" s="50"/>
      <c r="D37" s="33"/>
      <c r="E37" s="50"/>
      <c r="F37" s="50"/>
      <c r="G37" s="71"/>
      <c r="H37" s="109"/>
      <c r="I37" s="185"/>
    </row>
    <row r="38" spans="1:9" x14ac:dyDescent="0.3">
      <c r="A38" s="50"/>
      <c r="B38" s="57"/>
      <c r="C38" s="50"/>
      <c r="D38" s="33"/>
      <c r="E38" s="50"/>
      <c r="F38" s="50"/>
      <c r="G38" s="71"/>
      <c r="H38" s="109"/>
      <c r="I38" s="185"/>
    </row>
    <row r="39" spans="1:9" x14ac:dyDescent="0.3">
      <c r="A39" s="50"/>
      <c r="B39" s="57"/>
      <c r="C39" s="50"/>
      <c r="D39" s="33"/>
      <c r="E39" s="50"/>
      <c r="F39" s="50"/>
      <c r="G39" s="71"/>
      <c r="H39" s="109"/>
      <c r="I39" s="185"/>
    </row>
    <row r="40" spans="1:9" x14ac:dyDescent="0.3">
      <c r="A40" s="50"/>
      <c r="B40" s="57"/>
      <c r="C40" s="50"/>
      <c r="D40" s="33"/>
      <c r="E40" s="50"/>
      <c r="F40" s="50"/>
      <c r="G40" s="71"/>
      <c r="H40" s="109"/>
      <c r="I40" s="185"/>
    </row>
    <row r="41" spans="1:9" x14ac:dyDescent="0.3">
      <c r="A41" s="50"/>
      <c r="B41" s="57"/>
      <c r="C41" s="50"/>
      <c r="D41" s="33"/>
      <c r="E41" s="50"/>
      <c r="F41" s="50"/>
      <c r="G41" s="71"/>
      <c r="H41" s="109"/>
      <c r="I41" s="185"/>
    </row>
    <row r="42" spans="1:9" x14ac:dyDescent="0.3">
      <c r="A42" s="50"/>
      <c r="B42" s="57"/>
      <c r="C42" s="50"/>
      <c r="D42" s="33"/>
      <c r="E42" s="50"/>
      <c r="F42" s="50"/>
      <c r="G42" s="71"/>
      <c r="H42" s="109"/>
      <c r="I42" s="185"/>
    </row>
    <row r="43" spans="1:9" x14ac:dyDescent="0.3">
      <c r="A43" s="50"/>
      <c r="B43" s="57"/>
      <c r="C43" s="50"/>
      <c r="D43" s="33"/>
      <c r="E43" s="50"/>
      <c r="F43" s="50"/>
      <c r="G43" s="71"/>
      <c r="H43" s="109"/>
      <c r="I43" s="185"/>
    </row>
    <row r="44" spans="1:9" x14ac:dyDescent="0.3">
      <c r="A44" s="50"/>
      <c r="B44" s="57"/>
      <c r="C44" s="50"/>
      <c r="D44" s="33"/>
      <c r="E44" s="50"/>
      <c r="F44" s="50"/>
      <c r="G44" s="71"/>
      <c r="H44" s="109"/>
      <c r="I44" s="185"/>
    </row>
    <row r="45" spans="1:9" x14ac:dyDescent="0.3">
      <c r="A45" s="50"/>
      <c r="B45" s="57"/>
      <c r="C45" s="50"/>
      <c r="D45" s="33"/>
      <c r="E45" s="50"/>
      <c r="F45" s="50"/>
      <c r="G45" s="71"/>
      <c r="H45" s="109"/>
      <c r="I45" s="185"/>
    </row>
    <row r="46" spans="1:9" x14ac:dyDescent="0.3">
      <c r="A46" s="50"/>
      <c r="B46" s="57"/>
      <c r="C46" s="50"/>
      <c r="D46" s="33"/>
      <c r="E46" s="50"/>
      <c r="F46" s="50"/>
      <c r="G46" s="71"/>
      <c r="H46" s="109"/>
      <c r="I46" s="185"/>
    </row>
    <row r="47" spans="1:9" x14ac:dyDescent="0.3">
      <c r="A47" s="50"/>
      <c r="B47" s="57"/>
      <c r="C47" s="50"/>
      <c r="D47" s="33"/>
      <c r="E47" s="50"/>
      <c r="F47" s="50"/>
      <c r="G47" s="71"/>
      <c r="H47" s="109"/>
      <c r="I47" s="185"/>
    </row>
    <row r="48" spans="1:9" x14ac:dyDescent="0.3">
      <c r="A48" s="50"/>
      <c r="B48" s="57"/>
      <c r="C48" s="50"/>
      <c r="D48" s="33"/>
      <c r="E48" s="50"/>
      <c r="F48" s="50"/>
      <c r="G48" s="71"/>
      <c r="H48" s="109"/>
      <c r="I48" s="185"/>
    </row>
    <row r="49" spans="1:9" x14ac:dyDescent="0.3">
      <c r="A49" s="50"/>
      <c r="B49" s="57"/>
      <c r="C49" s="50"/>
      <c r="D49" s="33"/>
      <c r="E49" s="50"/>
      <c r="F49" s="50"/>
      <c r="G49" s="71"/>
      <c r="H49" s="109"/>
      <c r="I49" s="185"/>
    </row>
    <row r="50" spans="1:9" x14ac:dyDescent="0.3">
      <c r="A50" s="50"/>
      <c r="B50" s="57"/>
      <c r="C50" s="50"/>
      <c r="D50" s="33"/>
      <c r="E50" s="50"/>
      <c r="F50" s="50"/>
      <c r="G50" s="71"/>
      <c r="H50" s="109"/>
      <c r="I50" s="185"/>
    </row>
    <row r="51" spans="1:9" x14ac:dyDescent="0.3">
      <c r="A51" s="50"/>
      <c r="B51" s="57"/>
      <c r="C51" s="50"/>
      <c r="D51" s="33"/>
      <c r="E51" s="50"/>
      <c r="F51" s="50"/>
      <c r="G51" s="71"/>
      <c r="H51" s="109"/>
      <c r="I51" s="185"/>
    </row>
    <row r="52" spans="1:9" x14ac:dyDescent="0.3">
      <c r="A52" s="50"/>
      <c r="B52" s="57"/>
      <c r="C52" s="50"/>
      <c r="D52" s="33"/>
      <c r="E52" s="50"/>
      <c r="F52" s="50"/>
      <c r="G52" s="71"/>
      <c r="H52" s="109"/>
      <c r="I52" s="185"/>
    </row>
    <row r="53" spans="1:9" x14ac:dyDescent="0.3">
      <c r="A53" s="50"/>
      <c r="B53" s="57"/>
      <c r="C53" s="50"/>
      <c r="D53" s="33"/>
      <c r="E53" s="50"/>
      <c r="F53" s="50"/>
      <c r="G53" s="71"/>
      <c r="H53" s="109"/>
      <c r="I53" s="185"/>
    </row>
    <row r="54" spans="1:9" x14ac:dyDescent="0.3">
      <c r="A54" s="50"/>
      <c r="B54" s="57"/>
      <c r="C54" s="50"/>
      <c r="D54" s="33"/>
      <c r="E54" s="50"/>
      <c r="F54" s="50"/>
      <c r="G54" s="71"/>
      <c r="H54" s="109"/>
      <c r="I54" s="185"/>
    </row>
    <row r="55" spans="1:9" x14ac:dyDescent="0.3">
      <c r="A55" s="50"/>
      <c r="B55" s="57"/>
      <c r="C55" s="50"/>
      <c r="D55" s="33"/>
      <c r="E55" s="50"/>
      <c r="F55" s="50"/>
      <c r="G55" s="71"/>
      <c r="H55" s="109"/>
      <c r="I55" s="185"/>
    </row>
    <row r="56" spans="1:9" x14ac:dyDescent="0.3">
      <c r="A56" s="50"/>
      <c r="B56" s="57"/>
      <c r="C56" s="50"/>
      <c r="D56" s="33"/>
      <c r="E56" s="50"/>
      <c r="F56" s="50"/>
      <c r="G56" s="71"/>
      <c r="H56" s="109"/>
      <c r="I56" s="185"/>
    </row>
    <row r="57" spans="1:9" x14ac:dyDescent="0.3">
      <c r="A57" s="50"/>
      <c r="B57" s="57"/>
      <c r="C57" s="50"/>
      <c r="D57" s="33"/>
      <c r="E57" s="50"/>
      <c r="F57" s="50"/>
      <c r="G57" s="71"/>
      <c r="H57" s="109"/>
      <c r="I57" s="185"/>
    </row>
    <row r="58" spans="1:9" x14ac:dyDescent="0.3">
      <c r="A58" s="50"/>
      <c r="B58" s="57"/>
      <c r="C58" s="50"/>
      <c r="D58" s="33"/>
      <c r="E58" s="50"/>
      <c r="F58" s="50"/>
      <c r="G58" s="71"/>
      <c r="H58" s="109"/>
      <c r="I58" s="185"/>
    </row>
    <row r="59" spans="1:9" x14ac:dyDescent="0.3">
      <c r="A59" s="50"/>
      <c r="B59" s="57"/>
      <c r="C59" s="50"/>
      <c r="D59" s="33"/>
      <c r="E59" s="50"/>
      <c r="F59" s="50"/>
      <c r="G59" s="71"/>
      <c r="H59" s="109"/>
      <c r="I59" s="185"/>
    </row>
    <row r="60" spans="1:9" x14ac:dyDescent="0.3">
      <c r="A60" s="50"/>
      <c r="B60" s="57"/>
      <c r="C60" s="50"/>
      <c r="D60" s="33"/>
      <c r="E60" s="50"/>
      <c r="F60" s="50"/>
      <c r="G60" s="71"/>
      <c r="H60" s="109"/>
      <c r="I60" s="185"/>
    </row>
    <row r="61" spans="1:9" x14ac:dyDescent="0.3">
      <c r="A61" s="50"/>
      <c r="B61" s="57"/>
      <c r="C61" s="50"/>
      <c r="D61" s="33"/>
      <c r="E61" s="50"/>
      <c r="F61" s="50"/>
      <c r="G61" s="71"/>
      <c r="H61" s="109"/>
      <c r="I61" s="185"/>
    </row>
    <row r="62" spans="1:9" x14ac:dyDescent="0.3">
      <c r="A62" s="50"/>
      <c r="B62" s="57"/>
      <c r="C62" s="50"/>
      <c r="D62" s="33"/>
      <c r="E62" s="50"/>
      <c r="F62" s="50"/>
      <c r="G62" s="71"/>
      <c r="H62" s="109"/>
      <c r="I62" s="185"/>
    </row>
    <row r="63" spans="1:9" x14ac:dyDescent="0.3">
      <c r="A63" s="50"/>
      <c r="B63" s="57"/>
      <c r="C63" s="50"/>
      <c r="D63" s="33"/>
      <c r="E63" s="50"/>
      <c r="F63" s="50"/>
      <c r="G63" s="71"/>
      <c r="H63" s="109"/>
      <c r="I63" s="185"/>
    </row>
    <row r="64" spans="1:9" x14ac:dyDescent="0.3">
      <c r="A64" s="50"/>
      <c r="B64" s="57"/>
      <c r="C64" s="50"/>
      <c r="D64" s="33"/>
      <c r="E64" s="50"/>
      <c r="F64" s="50"/>
      <c r="G64" s="71"/>
      <c r="H64" s="109"/>
      <c r="I64" s="185"/>
    </row>
  </sheetData>
  <dataValidations count="4">
    <dataValidation type="list" allowBlank="1" sqref="E5 E6 E7 E8 E9 E10 E11 E12 E13 E14 E15 E16 E17 E18 E19 E20 E21 E22 E23 E24 E25 E26 E27 E28 E29 E30 E31 E32 E33 E34 E35 E36 E37 E38 E39 E40 E41 E42 E43 E44 E45 E46 E47 E48 E49 E50 E51 E52 E53 E54 E55 E56 E57 E58 E59 E60 E61 E62 E63 E64" xr:uid="{00000000-0002-0000-1600-000000000000}">
      <formula1>"Critical,Major,Minor"</formula1>
    </dataValidation>
    <dataValidation type="list" allowBlank="1" sqref="F5 F6 F7 F8 F9 F10 F11 F12 F13 F14 F15 F16 F17 F18 F19 F20 F21 F22 F23 F24 F25 F26 F27 F28 F29 F30 F31 F32 F33 F34 F35 F36 F37 F38 F39 F40 F41 F42 F43 F44 F45 F46 F47 F48 F49 F50 F51 F52 F53 F54 F55 F56 F57 F58 F59 F60 F61 F62 F63 F64" xr:uid="{00000000-0002-0000-1600-000001000000}">
      <formula1>"Открыт,Закрыт"</formula1>
    </dataValidation>
    <dataValidation type="list" allowBlank="1" sqref="H5 H6 H7 H8 H9 H10 H11 H12 H13 H14 H15 H16 H17 H18 H19 H20 H21 H22 H23 H24 H25 H26 H27 H28 H29 H30 H31 H32 H33 H34 H35 H36 H37 H38 H39 H40 H41 H42 H43 H44 H45 H46 H47 H48 H49 H50 H51 H52 H53 H54 H55 H56 H57 H58 H59 H60 H61 H62 H63 H64" xr:uid="{00000000-0002-0000-1600-000002000000}">
      <formula1>"Нет,Да"</formula1>
    </dataValidation>
    <dataValidation type="list" allowBlank="1" sqref="I5 I6 I7 I8 I9 I10 I11 I12 I13 I14 I15 I16 I17 I18 I19 I20 I21 I22 I23 I24 I25 I26 I27 I28 I29 I30 I31 I32 I33 I34 I35 I36 I37 I38 I39 I40 I41 I42 I43 I44 I45 I46 I47 I48 I49 I50 I51 I52 I53 I54 I55 I56 I57 I58 I59 I60 I61 I62 I63 I64" xr:uid="{00000000-0002-0000-1600-000003000000}">
      <formula1>"Интеграция,Код,Требования,Тестирование,Данные,Инфраструктура"</formula1>
    </dataValidation>
  </dataValidations>
  <pageMargins left="0.75" right="0.75" top="1" bottom="1" header="0.5" footer="0.5"/>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21"/>
  <sheetViews>
    <sheetView showGridLines="0" workbookViewId="0">
      <pane ySplit="4" topLeftCell="A5" activePane="bottomLeft" state="frozen"/>
      <selection pane="bottomLeft" activeCell="U11" sqref="U11"/>
    </sheetView>
  </sheetViews>
  <sheetFormatPr defaultRowHeight="14.4" x14ac:dyDescent="0.3"/>
  <cols>
    <col min="1" max="1" width="8" customWidth="1"/>
    <col min="2" max="5" width="10" customWidth="1"/>
  </cols>
  <sheetData>
    <row r="1" spans="1:5" ht="17.399999999999999" customHeight="1" x14ac:dyDescent="0.3">
      <c r="A1" s="37" t="s">
        <v>605</v>
      </c>
    </row>
    <row r="2" spans="1:5" x14ac:dyDescent="0.3">
      <c r="A2" s="38" t="s">
        <v>606</v>
      </c>
    </row>
    <row r="4" spans="1:5" x14ac:dyDescent="0.3">
      <c r="A4" s="39" t="s">
        <v>543</v>
      </c>
      <c r="B4" s="39" t="s">
        <v>519</v>
      </c>
      <c r="C4" s="39" t="s">
        <v>251</v>
      </c>
      <c r="D4" s="39" t="s">
        <v>248</v>
      </c>
      <c r="E4" s="39" t="s">
        <v>482</v>
      </c>
    </row>
    <row r="5" spans="1:5" x14ac:dyDescent="0.3">
      <c r="A5" s="47">
        <v>0</v>
      </c>
      <c r="B5" s="50">
        <v>8</v>
      </c>
      <c r="C5" s="50">
        <v>0</v>
      </c>
      <c r="D5" s="50">
        <v>0</v>
      </c>
      <c r="E5" s="74">
        <f t="shared" ref="E5:E15" si="0">SUM(B5:D5)</f>
        <v>8</v>
      </c>
    </row>
    <row r="6" spans="1:5" x14ac:dyDescent="0.3">
      <c r="A6" s="47">
        <v>1</v>
      </c>
      <c r="B6" s="50">
        <v>7</v>
      </c>
      <c r="C6" s="50">
        <v>1</v>
      </c>
      <c r="D6" s="50">
        <v>0</v>
      </c>
      <c r="E6" s="74">
        <f t="shared" si="0"/>
        <v>8</v>
      </c>
    </row>
    <row r="7" spans="1:5" x14ac:dyDescent="0.3">
      <c r="A7" s="47">
        <v>2</v>
      </c>
      <c r="B7" s="50">
        <v>6</v>
      </c>
      <c r="C7" s="50">
        <v>2</v>
      </c>
      <c r="D7" s="50">
        <v>0</v>
      </c>
      <c r="E7" s="74">
        <f t="shared" si="0"/>
        <v>8</v>
      </c>
    </row>
    <row r="8" spans="1:5" x14ac:dyDescent="0.3">
      <c r="A8" s="47">
        <v>3</v>
      </c>
      <c r="B8" s="50">
        <v>5</v>
      </c>
      <c r="C8" s="50">
        <v>2</v>
      </c>
      <c r="D8" s="50">
        <v>1</v>
      </c>
      <c r="E8" s="74">
        <f t="shared" si="0"/>
        <v>8</v>
      </c>
    </row>
    <row r="9" spans="1:5" x14ac:dyDescent="0.3">
      <c r="A9" s="47">
        <v>4</v>
      </c>
      <c r="B9" s="50">
        <v>4</v>
      </c>
      <c r="C9" s="50">
        <v>3</v>
      </c>
      <c r="D9" s="50">
        <v>1</v>
      </c>
      <c r="E9" s="74">
        <f t="shared" si="0"/>
        <v>8</v>
      </c>
    </row>
    <row r="10" spans="1:5" x14ac:dyDescent="0.3">
      <c r="A10" s="47">
        <v>5</v>
      </c>
      <c r="B10" s="50">
        <v>3</v>
      </c>
      <c r="C10" s="50">
        <v>3</v>
      </c>
      <c r="D10" s="50">
        <v>2</v>
      </c>
      <c r="E10" s="74">
        <f t="shared" si="0"/>
        <v>8</v>
      </c>
    </row>
    <row r="11" spans="1:5" x14ac:dyDescent="0.3">
      <c r="A11" s="47">
        <v>6</v>
      </c>
      <c r="B11" s="50">
        <v>3</v>
      </c>
      <c r="C11" s="50">
        <v>2</v>
      </c>
      <c r="D11" s="50">
        <v>3</v>
      </c>
      <c r="E11" s="74">
        <f t="shared" si="0"/>
        <v>8</v>
      </c>
    </row>
    <row r="12" spans="1:5" x14ac:dyDescent="0.3">
      <c r="A12" s="47">
        <v>7</v>
      </c>
      <c r="B12" s="50">
        <v>2</v>
      </c>
      <c r="C12" s="50">
        <v>2</v>
      </c>
      <c r="D12" s="50">
        <v>4</v>
      </c>
      <c r="E12" s="74">
        <f t="shared" si="0"/>
        <v>8</v>
      </c>
    </row>
    <row r="13" spans="1:5" x14ac:dyDescent="0.3">
      <c r="A13" s="47">
        <v>8</v>
      </c>
      <c r="B13" s="50">
        <v>1</v>
      </c>
      <c r="C13" s="50">
        <v>2</v>
      </c>
      <c r="D13" s="50">
        <v>5</v>
      </c>
      <c r="E13" s="74">
        <f t="shared" si="0"/>
        <v>8</v>
      </c>
    </row>
    <row r="14" spans="1:5" x14ac:dyDescent="0.3">
      <c r="A14" s="47">
        <v>9</v>
      </c>
      <c r="B14" s="50">
        <v>1</v>
      </c>
      <c r="C14" s="50">
        <v>1</v>
      </c>
      <c r="D14" s="50">
        <v>6</v>
      </c>
      <c r="E14" s="74">
        <f t="shared" si="0"/>
        <v>8</v>
      </c>
    </row>
    <row r="15" spans="1:5" x14ac:dyDescent="0.3">
      <c r="A15" s="47">
        <v>10</v>
      </c>
      <c r="B15" s="50">
        <v>0</v>
      </c>
      <c r="C15" s="50">
        <v>0</v>
      </c>
      <c r="D15" s="50">
        <v>8</v>
      </c>
      <c r="E15" s="74">
        <f t="shared" si="0"/>
        <v>8</v>
      </c>
    </row>
    <row r="18" spans="1:3" x14ac:dyDescent="0.3">
      <c r="A18" s="14" t="s">
        <v>607</v>
      </c>
      <c r="C18" s="109">
        <v>4</v>
      </c>
    </row>
    <row r="19" spans="1:3" x14ac:dyDescent="0.3">
      <c r="A19" s="14" t="s">
        <v>608</v>
      </c>
      <c r="C19" s="112">
        <f>MAX(C5:C15)</f>
        <v>3</v>
      </c>
    </row>
    <row r="20" spans="1:3" x14ac:dyDescent="0.3">
      <c r="A20" s="14" t="s">
        <v>609</v>
      </c>
      <c r="C20" s="112" t="str">
        <f>IF(C19&gt;C18,"Превышен","OK")</f>
        <v>OK</v>
      </c>
    </row>
    <row r="21" spans="1:3" x14ac:dyDescent="0.3">
      <c r="A21" s="82" t="s">
        <v>610</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53"/>
  <sheetViews>
    <sheetView showGridLines="0" workbookViewId="0"/>
  </sheetViews>
  <sheetFormatPr defaultRowHeight="14.4" x14ac:dyDescent="0.3"/>
  <cols>
    <col min="1" max="1" width="30" customWidth="1"/>
    <col min="2" max="2" width="12" customWidth="1"/>
    <col min="3" max="3" width="14" customWidth="1"/>
    <col min="5" max="5" width="9" customWidth="1"/>
    <col min="6" max="6" width="15" customWidth="1"/>
    <col min="7" max="7" width="14" customWidth="1"/>
  </cols>
  <sheetData>
    <row r="1" spans="1:6" ht="17.399999999999999" customHeight="1" x14ac:dyDescent="0.3">
      <c r="A1" s="163" t="s">
        <v>611</v>
      </c>
    </row>
    <row r="2" spans="1:6" x14ac:dyDescent="0.3">
      <c r="E2" s="164" t="s">
        <v>612</v>
      </c>
    </row>
    <row r="3" spans="1:6" ht="15.6" customHeight="1" x14ac:dyDescent="0.3">
      <c r="A3" s="176" t="s">
        <v>613</v>
      </c>
      <c r="E3" s="186">
        <v>1</v>
      </c>
      <c r="F3" s="186">
        <f>'Дорожная карта'!I6</f>
        <v>17</v>
      </c>
    </row>
    <row r="4" spans="1:6" x14ac:dyDescent="0.3">
      <c r="A4" s="187" t="s">
        <v>50</v>
      </c>
      <c r="C4" s="183">
        <f>IFERROR(AVERAGE('Дорожная карта'!$I$6:$I$16),0)</f>
        <v>19</v>
      </c>
      <c r="E4" s="186">
        <v>2</v>
      </c>
      <c r="F4" s="186">
        <f>'Дорожная карта'!I7</f>
        <v>21</v>
      </c>
    </row>
    <row r="5" spans="1:6" x14ac:dyDescent="0.3">
      <c r="A5" s="187" t="s">
        <v>614</v>
      </c>
      <c r="C5" s="178" t="str">
        <f>IFERROR(MIN('Дорожная карта'!$I$6:$I$16),0)&amp;" / "&amp;IFERROR(MAX('Дорожная карта'!$I$6:$I$16),0)</f>
        <v>17 / 21</v>
      </c>
      <c r="E5" s="186">
        <v>3</v>
      </c>
      <c r="F5" s="186" t="str">
        <f>'Дорожная карта'!I8</f>
        <v/>
      </c>
    </row>
    <row r="6" spans="1:6" x14ac:dyDescent="0.3">
      <c r="A6" s="187" t="s">
        <v>615</v>
      </c>
      <c r="C6" s="183">
        <f>IFERROR(STDEV('Дорожная карта'!$I$6:$I$16),0)</f>
        <v>2.8284271247461903</v>
      </c>
      <c r="E6" s="186">
        <v>4</v>
      </c>
      <c r="F6" s="186" t="str">
        <f>'Дорожная карта'!I9</f>
        <v/>
      </c>
    </row>
    <row r="7" spans="1:6" x14ac:dyDescent="0.3">
      <c r="A7" s="187" t="s">
        <v>616</v>
      </c>
      <c r="C7" s="168">
        <f>IFERROR(STDEV('Дорожная карта'!$I$6:$I$16)/AVERAGE('Дорожная карта'!$I$6:$I$16),0)</f>
        <v>0.14886458551295739</v>
      </c>
      <c r="E7" s="186">
        <v>5</v>
      </c>
      <c r="F7" s="186" t="str">
        <f>'Дорожная карта'!I10</f>
        <v/>
      </c>
    </row>
    <row r="8" spans="1:6" x14ac:dyDescent="0.3">
      <c r="A8" s="187" t="s">
        <v>51</v>
      </c>
      <c r="C8" s="168">
        <f>'Дорожная карта'!C22</f>
        <v>0.82386363636363635</v>
      </c>
      <c r="E8" s="186">
        <v>6</v>
      </c>
      <c r="F8" s="186" t="str">
        <f>'Дорожная карта'!I11</f>
        <v/>
      </c>
    </row>
    <row r="9" spans="1:6" x14ac:dyDescent="0.3">
      <c r="E9" s="186">
        <v>7</v>
      </c>
      <c r="F9" s="186" t="str">
        <f>'Дорожная карта'!I12</f>
        <v/>
      </c>
    </row>
    <row r="10" spans="1:6" ht="15.6" customHeight="1" x14ac:dyDescent="0.3">
      <c r="A10" s="176" t="s">
        <v>617</v>
      </c>
      <c r="E10" s="186">
        <v>8</v>
      </c>
      <c r="F10" s="186" t="str">
        <f>'Дорожная карта'!I13</f>
        <v/>
      </c>
    </row>
    <row r="11" spans="1:6" ht="27.6" customHeight="1" x14ac:dyDescent="0.3">
      <c r="A11" s="161" t="s">
        <v>112</v>
      </c>
      <c r="B11" s="161" t="s">
        <v>618</v>
      </c>
      <c r="E11" s="186">
        <v>9</v>
      </c>
      <c r="F11" s="186" t="str">
        <f>'Дорожная карта'!I14</f>
        <v/>
      </c>
    </row>
    <row r="12" spans="1:6" x14ac:dyDescent="0.3">
      <c r="A12" s="177">
        <v>1</v>
      </c>
      <c r="B12" s="162">
        <f>COUNTIFS(Бэклог!$M$5:$M$44,1,Бэклог!$F$5:$F$44,"Готово")</f>
        <v>3</v>
      </c>
      <c r="E12" s="186">
        <v>10</v>
      </c>
      <c r="F12" s="186" t="str">
        <f>'Дорожная карта'!I15</f>
        <v/>
      </c>
    </row>
    <row r="13" spans="1:6" x14ac:dyDescent="0.3">
      <c r="A13" s="177">
        <v>2</v>
      </c>
      <c r="B13" s="162">
        <f>COUNTIFS(Бэклог!$M$5:$M$44,2,Бэклог!$F$5:$F$44,"Готово")</f>
        <v>4</v>
      </c>
      <c r="E13" s="186">
        <v>11</v>
      </c>
      <c r="F13" s="186" t="str">
        <f>'Дорожная карта'!I16</f>
        <v/>
      </c>
    </row>
    <row r="14" spans="1:6" x14ac:dyDescent="0.3">
      <c r="A14" s="177">
        <v>3</v>
      </c>
      <c r="B14" s="162">
        <f>COUNTIFS(Бэклог!$M$5:$M$44,3,Бэклог!$F$5:$F$44,"Готово")</f>
        <v>0</v>
      </c>
    </row>
    <row r="15" spans="1:6" x14ac:dyDescent="0.3">
      <c r="A15" s="177">
        <v>4</v>
      </c>
      <c r="B15" s="162">
        <f>COUNTIFS(Бэклог!$M$5:$M$44,4,Бэклог!$F$5:$F$44,"Готово")</f>
        <v>0</v>
      </c>
    </row>
    <row r="16" spans="1:6" x14ac:dyDescent="0.3">
      <c r="A16" s="177">
        <v>5</v>
      </c>
      <c r="B16" s="162">
        <f>COUNTIFS(Бэклог!$M$5:$M$44,5,Бэклог!$F$5:$F$44,"Готово")</f>
        <v>0</v>
      </c>
    </row>
    <row r="17" spans="1:7" x14ac:dyDescent="0.3">
      <c r="A17" s="177">
        <v>6</v>
      </c>
      <c r="B17" s="162">
        <f>COUNTIFS(Бэклог!$M$5:$M$44,6,Бэклог!$F$5:$F$44,"Готово")</f>
        <v>0</v>
      </c>
      <c r="E17" s="164" t="s">
        <v>619</v>
      </c>
    </row>
    <row r="18" spans="1:7" ht="27.6" customHeight="1" x14ac:dyDescent="0.3">
      <c r="A18" s="177">
        <v>7</v>
      </c>
      <c r="B18" s="162">
        <f>COUNTIFS(Бэклог!$M$5:$M$44,7,Бэклог!$F$5:$F$44,"Готово")</f>
        <v>0</v>
      </c>
      <c r="E18" s="161" t="s">
        <v>112</v>
      </c>
      <c r="F18" s="161" t="s">
        <v>620</v>
      </c>
      <c r="G18" s="161" t="s">
        <v>621</v>
      </c>
    </row>
    <row r="19" spans="1:7" x14ac:dyDescent="0.3">
      <c r="A19" s="177">
        <v>8</v>
      </c>
      <c r="B19" s="162">
        <f>COUNTIFS(Бэклог!$M$5:$M$44,8,Бэклог!$F$5:$F$44,"Готово")</f>
        <v>0</v>
      </c>
      <c r="E19" s="188">
        <v>1</v>
      </c>
      <c r="F19" s="188">
        <f>SUMIFS('Дорожная карта'!$I$6:$I$16,'Дорожная карта'!$A$6:$A$16,"&lt;="&amp;E19)</f>
        <v>17</v>
      </c>
      <c r="G19" s="188">
        <f>SUM(Бэклог!$E$5:$E$44)</f>
        <v>107</v>
      </c>
    </row>
    <row r="20" spans="1:7" x14ac:dyDescent="0.3">
      <c r="A20" s="177">
        <v>9</v>
      </c>
      <c r="B20" s="162">
        <f>COUNTIFS(Бэклог!$M$5:$M$44,9,Бэклог!$F$5:$F$44,"Готово")</f>
        <v>0</v>
      </c>
      <c r="E20" s="188">
        <v>2</v>
      </c>
      <c r="F20" s="188">
        <f>SUMIFS('Дорожная карта'!$I$6:$I$16,'Дорожная карта'!$A$6:$A$16,"&lt;="&amp;E20)</f>
        <v>38</v>
      </c>
      <c r="G20" s="188">
        <f>SUM(Бэклог!$E$5:$E$44)</f>
        <v>107</v>
      </c>
    </row>
    <row r="21" spans="1:7" x14ac:dyDescent="0.3">
      <c r="A21" s="177">
        <v>10</v>
      </c>
      <c r="B21" s="162">
        <f>COUNTIFS(Бэклог!$M$5:$M$44,10,Бэклог!$F$5:$F$44,"Готово")</f>
        <v>0</v>
      </c>
      <c r="E21" s="188">
        <v>3</v>
      </c>
      <c r="F21" s="188">
        <f>SUMIFS('Дорожная карта'!$I$6:$I$16,'Дорожная карта'!$A$6:$A$16,"&lt;="&amp;E21)</f>
        <v>38</v>
      </c>
      <c r="G21" s="188">
        <f>SUM(Бэклог!$E$5:$E$44)</f>
        <v>107</v>
      </c>
    </row>
    <row r="22" spans="1:7" x14ac:dyDescent="0.3">
      <c r="A22" s="177">
        <v>11</v>
      </c>
      <c r="B22" s="162">
        <f>COUNTIFS(Бэклог!$M$5:$M$44,11,Бэклог!$F$5:$F$44,"Готово")</f>
        <v>0</v>
      </c>
      <c r="E22" s="188">
        <v>4</v>
      </c>
      <c r="F22" s="188">
        <f>SUMIFS('Дорожная карта'!$I$6:$I$16,'Дорожная карта'!$A$6:$A$16,"&lt;="&amp;E22)</f>
        <v>38</v>
      </c>
      <c r="G22" s="188">
        <f>SUM(Бэклог!$E$5:$E$44)</f>
        <v>107</v>
      </c>
    </row>
    <row r="23" spans="1:7" x14ac:dyDescent="0.3">
      <c r="E23" s="188">
        <v>5</v>
      </c>
      <c r="F23" s="188">
        <f>SUMIFS('Дорожная карта'!$I$6:$I$16,'Дорожная карта'!$A$6:$A$16,"&lt;="&amp;E23)</f>
        <v>38</v>
      </c>
      <c r="G23" s="188">
        <f>SUM(Бэклог!$E$5:$E$44)</f>
        <v>107</v>
      </c>
    </row>
    <row r="24" spans="1:7" ht="15.6" customHeight="1" x14ac:dyDescent="0.3">
      <c r="A24" s="176" t="s">
        <v>622</v>
      </c>
      <c r="E24" s="188">
        <v>6</v>
      </c>
      <c r="F24" s="188">
        <f>SUMIFS('Дорожная карта'!$I$6:$I$16,'Дорожная карта'!$A$6:$A$16,"&lt;="&amp;E24)</f>
        <v>38</v>
      </c>
      <c r="G24" s="188">
        <f>SUM(Бэклог!$E$5:$E$44)</f>
        <v>107</v>
      </c>
    </row>
    <row r="25" spans="1:7" x14ac:dyDescent="0.3">
      <c r="A25" s="187" t="s">
        <v>623</v>
      </c>
      <c r="C25" s="189">
        <f>COUNTA(Баги!$A$5:$A$64)</f>
        <v>13</v>
      </c>
      <c r="E25" s="188">
        <v>7</v>
      </c>
      <c r="F25" s="188">
        <f>SUMIFS('Дорожная карта'!$I$6:$I$16,'Дорожная карта'!$A$6:$A$16,"&lt;="&amp;E25)</f>
        <v>38</v>
      </c>
      <c r="G25" s="188">
        <f>SUM(Бэклог!$E$5:$E$44)</f>
        <v>107</v>
      </c>
    </row>
    <row r="26" spans="1:7" x14ac:dyDescent="0.3">
      <c r="A26" s="187" t="s">
        <v>624</v>
      </c>
      <c r="C26" s="189">
        <f>COUNTIF(Баги!$F$5:$F$64,"Закрыт")</f>
        <v>10</v>
      </c>
      <c r="E26" s="188">
        <v>8</v>
      </c>
      <c r="F26" s="188">
        <f>SUMIFS('Дорожная карта'!$I$6:$I$16,'Дорожная карта'!$A$6:$A$16,"&lt;="&amp;E26)</f>
        <v>38</v>
      </c>
      <c r="G26" s="188">
        <f>SUM(Бэклог!$E$5:$E$44)</f>
        <v>107</v>
      </c>
    </row>
    <row r="27" spans="1:7" x14ac:dyDescent="0.3">
      <c r="A27" s="187" t="s">
        <v>625</v>
      </c>
      <c r="C27" s="168">
        <f>IFERROR(COUNTIF(Баги!$F$5:$F$64,"Закрыт")/COUNTA(Баги!$A$5:$A$64),0)</f>
        <v>0.76923076923076927</v>
      </c>
      <c r="E27" s="188">
        <v>9</v>
      </c>
      <c r="F27" s="188">
        <f>SUMIFS('Дорожная карта'!$I$6:$I$16,'Дорожная карта'!$A$6:$A$16,"&lt;="&amp;E27)</f>
        <v>38</v>
      </c>
      <c r="G27" s="188">
        <f>SUM(Бэклог!$E$5:$E$44)</f>
        <v>107</v>
      </c>
    </row>
    <row r="28" spans="1:7" x14ac:dyDescent="0.3">
      <c r="A28" s="187" t="s">
        <v>626</v>
      </c>
      <c r="C28" s="189">
        <f>COUNTIF(Баги!$H$5:$H$64,"Да")</f>
        <v>1</v>
      </c>
      <c r="E28" s="188">
        <v>10</v>
      </c>
      <c r="F28" s="188">
        <f>SUMIFS('Дорожная карта'!$I$6:$I$16,'Дорожная карта'!$A$6:$A$16,"&lt;="&amp;E28)</f>
        <v>38</v>
      </c>
      <c r="G28" s="188">
        <f>SUM(Бэклог!$E$5:$E$44)</f>
        <v>107</v>
      </c>
    </row>
    <row r="29" spans="1:7" x14ac:dyDescent="0.3">
      <c r="A29" s="187" t="s">
        <v>627</v>
      </c>
      <c r="C29" s="189">
        <f>COUNTIF(Баги!$F$5:$F$64,"Открыт")</f>
        <v>3</v>
      </c>
      <c r="E29" s="188">
        <v>11</v>
      </c>
      <c r="F29" s="188">
        <f>SUMIFS('Дорожная карта'!$I$6:$I$16,'Дорожная карта'!$A$6:$A$16,"&lt;="&amp;E29)</f>
        <v>38</v>
      </c>
      <c r="G29" s="188">
        <f>SUM(Бэклог!$E$5:$E$44)</f>
        <v>107</v>
      </c>
    </row>
    <row r="31" spans="1:7" ht="15.6" customHeight="1" x14ac:dyDescent="0.3">
      <c r="A31" s="176" t="s">
        <v>628</v>
      </c>
    </row>
    <row r="32" spans="1:7" x14ac:dyDescent="0.3">
      <c r="A32" s="187" t="s">
        <v>52</v>
      </c>
      <c r="C32" s="183">
        <f>'Дорожная карта'!F20</f>
        <v>61</v>
      </c>
    </row>
    <row r="33" spans="1:3" x14ac:dyDescent="0.3">
      <c r="A33" s="187" t="s">
        <v>629</v>
      </c>
      <c r="C33" s="189">
        <f>IFERROR(ROUNDUP('Дорожная карта'!F20/MAX('Дорожная карта'!$I$6:$I$16),0),0)</f>
        <v>3</v>
      </c>
    </row>
    <row r="34" spans="1:3" x14ac:dyDescent="0.3">
      <c r="A34" s="187" t="s">
        <v>630</v>
      </c>
      <c r="C34" s="189">
        <f>IFERROR(ROUNDUP('Дорожная карта'!F20/AVERAGE('Дорожная карта'!$I$6:$I$16),0),0)</f>
        <v>4</v>
      </c>
    </row>
    <row r="35" spans="1:3" x14ac:dyDescent="0.3">
      <c r="A35" s="187" t="s">
        <v>631</v>
      </c>
      <c r="C35" s="189">
        <f>IFERROR(ROUNDUP('Дорожная карта'!F20/MIN('Дорожная карта'!$I$6:$I$16),0),0)</f>
        <v>4</v>
      </c>
    </row>
    <row r="36" spans="1:3" x14ac:dyDescent="0.3">
      <c r="A36" s="164" t="s">
        <v>632</v>
      </c>
    </row>
    <row r="38" spans="1:3" ht="15.6" customHeight="1" x14ac:dyDescent="0.3">
      <c r="A38" s="176" t="s">
        <v>633</v>
      </c>
    </row>
    <row r="39" spans="1:3" x14ac:dyDescent="0.3">
      <c r="A39" s="187" t="s">
        <v>634</v>
      </c>
      <c r="C39" s="168">
        <f>MIN(1,'Дорожная карта'!C22)</f>
        <v>0.82386363636363635</v>
      </c>
    </row>
    <row r="40" spans="1:3" x14ac:dyDescent="0.3">
      <c r="A40" s="187" t="s">
        <v>635</v>
      </c>
      <c r="C40" s="168">
        <f>Параметры!B29</f>
        <v>0</v>
      </c>
    </row>
    <row r="41" spans="1:3" x14ac:dyDescent="0.3">
      <c r="A41" s="187" t="s">
        <v>636</v>
      </c>
      <c r="C41" s="168">
        <f>1-MIN(1,ABS(Бэклог!E47-1))</f>
        <v>0.92105263157894735</v>
      </c>
    </row>
    <row r="42" spans="1:3" x14ac:dyDescent="0.3">
      <c r="A42" s="187" t="s">
        <v>637</v>
      </c>
      <c r="C42" s="168">
        <f>1-MIN(1,COUNTIF(Баги!$F$5:$F$64,"Открыт")/5)</f>
        <v>0.4</v>
      </c>
    </row>
    <row r="43" spans="1:3" x14ac:dyDescent="0.3">
      <c r="A43" s="187" t="s">
        <v>638</v>
      </c>
      <c r="C43" s="168">
        <f>AVERAGE(C39:C42)</f>
        <v>0.53622906698564587</v>
      </c>
    </row>
    <row r="44" spans="1:3" x14ac:dyDescent="0.3">
      <c r="A44" s="187" t="s">
        <v>121</v>
      </c>
      <c r="C44" s="178" t="str">
        <f>IF(C43&gt;=0.8,"Здоров",IF(C43&gt;=0.6,"Внимание","Риск"))</f>
        <v>Риск</v>
      </c>
    </row>
    <row r="46" spans="1:3" ht="15.6" customHeight="1" x14ac:dyDescent="0.3">
      <c r="A46" s="176" t="s">
        <v>639</v>
      </c>
    </row>
    <row r="47" spans="1:3" x14ac:dyDescent="0.3">
      <c r="A47" s="161" t="s">
        <v>565</v>
      </c>
      <c r="B47" s="161" t="s">
        <v>316</v>
      </c>
      <c r="C47" s="161" t="s">
        <v>640</v>
      </c>
    </row>
    <row r="48" spans="1:3" x14ac:dyDescent="0.3">
      <c r="A48" s="190" t="s">
        <v>570</v>
      </c>
      <c r="B48" s="162">
        <f>COUNTIF(Баги!$I$5:$I$64,A48)</f>
        <v>4</v>
      </c>
      <c r="C48" s="169">
        <f>IFERROR(SUM($B$48:B48)/SUM($B$48:$B$53),0)</f>
        <v>0.30769230769230771</v>
      </c>
    </row>
    <row r="49" spans="1:3" x14ac:dyDescent="0.3">
      <c r="A49" s="190" t="s">
        <v>290</v>
      </c>
      <c r="B49" s="162">
        <f>COUNTIF(Баги!$I$5:$I$64,A49)</f>
        <v>3</v>
      </c>
      <c r="C49" s="169">
        <f>IFERROR(SUM($B$48:B49)/SUM($B$48:$B$53),0)</f>
        <v>0.53846153846153844</v>
      </c>
    </row>
    <row r="50" spans="1:3" x14ac:dyDescent="0.3">
      <c r="A50" s="190" t="s">
        <v>579</v>
      </c>
      <c r="B50" s="162">
        <f>COUNTIF(Баги!$I$5:$I$64,A50)</f>
        <v>3</v>
      </c>
      <c r="C50" s="169">
        <f>IFERROR(SUM($B$48:B50)/SUM($B$48:$B$53),0)</f>
        <v>0.76923076923076927</v>
      </c>
    </row>
    <row r="51" spans="1:3" x14ac:dyDescent="0.3">
      <c r="A51" s="190" t="s">
        <v>583</v>
      </c>
      <c r="B51" s="162">
        <f>COUNTIF(Баги!$I$5:$I$64,A51)</f>
        <v>2</v>
      </c>
      <c r="C51" s="169">
        <f>IFERROR(SUM($B$48:B51)/SUM($B$48:$B$53),0)</f>
        <v>0.92307692307692313</v>
      </c>
    </row>
    <row r="52" spans="1:3" x14ac:dyDescent="0.3">
      <c r="A52" s="190" t="s">
        <v>594</v>
      </c>
      <c r="B52" s="162">
        <f>COUNTIF(Баги!$I$5:$I$64,A52)</f>
        <v>1</v>
      </c>
      <c r="C52" s="169">
        <f>IFERROR(SUM($B$48:B52)/SUM($B$48:$B$53),0)</f>
        <v>1</v>
      </c>
    </row>
    <row r="53" spans="1:3" x14ac:dyDescent="0.3">
      <c r="A53" s="190" t="s">
        <v>311</v>
      </c>
      <c r="B53" s="162">
        <f>COUNTIF(Баги!$I$5:$I$64,A53)</f>
        <v>0</v>
      </c>
      <c r="C53" s="169">
        <f>IFERROR(SUM($B$48:B53)/SUM($B$48:$B$53),0)</f>
        <v>1</v>
      </c>
    </row>
  </sheetData>
  <pageMargins left="0.75" right="0.75" top="1" bottom="1" header="0.5" footer="0.5"/>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29"/>
  <sheetViews>
    <sheetView showGridLines="0" workbookViewId="0">
      <pane ySplit="9" topLeftCell="A10" activePane="bottomLeft" state="frozen"/>
      <selection pane="bottomLeft"/>
    </sheetView>
  </sheetViews>
  <sheetFormatPr defaultRowHeight="14.4" x14ac:dyDescent="0.3"/>
  <cols>
    <col min="1" max="1" width="10" customWidth="1"/>
    <col min="2" max="2" width="11" customWidth="1"/>
    <col min="3" max="5" width="8" customWidth="1"/>
    <col min="7" max="7" width="13" hidden="1" customWidth="1"/>
  </cols>
  <sheetData>
    <row r="1" spans="1:7" ht="17.399999999999999" customHeight="1" x14ac:dyDescent="0.3">
      <c r="A1" s="163" t="s">
        <v>641</v>
      </c>
    </row>
    <row r="2" spans="1:7" x14ac:dyDescent="0.3">
      <c r="A2" s="164" t="s">
        <v>642</v>
      </c>
    </row>
    <row r="4" spans="1:7" x14ac:dyDescent="0.3">
      <c r="A4" s="14" t="s">
        <v>643</v>
      </c>
      <c r="B4" s="197">
        <f>IFERROR(AVERAGE(Бэклог!$R$5:$R$44),0)</f>
        <v>5.2857142857142856</v>
      </c>
    </row>
    <row r="5" spans="1:7" x14ac:dyDescent="0.3">
      <c r="A5" s="14" t="s">
        <v>644</v>
      </c>
      <c r="B5" s="197">
        <f>IFERROR(STDEV(Бэклог!$R$5:$R$44),0)</f>
        <v>2.8115408417381924</v>
      </c>
    </row>
    <row r="6" spans="1:7" x14ac:dyDescent="0.3">
      <c r="A6" s="14" t="s">
        <v>645</v>
      </c>
      <c r="B6" s="197">
        <f>B4+3*B5</f>
        <v>13.720336810928863</v>
      </c>
    </row>
    <row r="7" spans="1:7" x14ac:dyDescent="0.3">
      <c r="A7" s="14" t="s">
        <v>646</v>
      </c>
      <c r="B7" s="197">
        <f>MAX(0,B4-3*B5)</f>
        <v>0</v>
      </c>
    </row>
    <row r="9" spans="1:7" x14ac:dyDescent="0.3">
      <c r="A9" s="161" t="s">
        <v>386</v>
      </c>
      <c r="B9" s="161" t="s">
        <v>647</v>
      </c>
      <c r="C9" s="161" t="s">
        <v>648</v>
      </c>
      <c r="D9" s="161" t="s">
        <v>649</v>
      </c>
      <c r="E9" s="161" t="s">
        <v>650</v>
      </c>
      <c r="G9" t="s">
        <v>647</v>
      </c>
    </row>
    <row r="10" spans="1:7" x14ac:dyDescent="0.3">
      <c r="A10" s="177" t="str">
        <f>IF(Бэклог!A5="","",Бэклог!A5)</f>
        <v>T-01</v>
      </c>
      <c r="B10" s="162">
        <f>IF(Бэклог!R5="","",Бэклог!R5)</f>
        <v>3</v>
      </c>
      <c r="C10" s="177">
        <f t="shared" ref="C10:C29" si="0">$B$4</f>
        <v>5.2857142857142856</v>
      </c>
      <c r="D10" s="177">
        <f t="shared" ref="D10:D29" si="1">$B$6</f>
        <v>13.720336810928863</v>
      </c>
      <c r="E10" s="177">
        <f t="shared" ref="E10:E29" si="2">$B$7</f>
        <v>0</v>
      </c>
      <c r="G10">
        <f>IF(Бэклог!R5="",NA(),Бэклог!R5)</f>
        <v>3</v>
      </c>
    </row>
    <row r="11" spans="1:7" x14ac:dyDescent="0.3">
      <c r="A11" s="177" t="str">
        <f>IF(Бэклог!A6="","",Бэклог!A6)</f>
        <v>T-02</v>
      </c>
      <c r="B11" s="162">
        <f>IF(Бэклог!R6="","",Бэклог!R6)</f>
        <v>8</v>
      </c>
      <c r="C11" s="177">
        <f t="shared" si="0"/>
        <v>5.2857142857142856</v>
      </c>
      <c r="D11" s="177">
        <f t="shared" si="1"/>
        <v>13.720336810928863</v>
      </c>
      <c r="E11" s="177">
        <f t="shared" si="2"/>
        <v>0</v>
      </c>
      <c r="G11">
        <f>IF(Бэклог!R6="",NA(),Бэклог!R6)</f>
        <v>8</v>
      </c>
    </row>
    <row r="12" spans="1:7" x14ac:dyDescent="0.3">
      <c r="A12" s="177" t="str">
        <f>IF(Бэклог!A7="","",Бэклог!A7)</f>
        <v>T-09</v>
      </c>
      <c r="B12" s="162">
        <f>IF(Бэклог!R7="","",Бэклог!R7)</f>
        <v>2</v>
      </c>
      <c r="C12" s="177">
        <f t="shared" si="0"/>
        <v>5.2857142857142856</v>
      </c>
      <c r="D12" s="177">
        <f t="shared" si="1"/>
        <v>13.720336810928863</v>
      </c>
      <c r="E12" s="177">
        <f t="shared" si="2"/>
        <v>0</v>
      </c>
      <c r="G12">
        <f>IF(Бэклог!R7="",NA(),Бэклог!R7)</f>
        <v>2</v>
      </c>
    </row>
    <row r="13" spans="1:7" x14ac:dyDescent="0.3">
      <c r="A13" s="177" t="str">
        <f>IF(Бэклог!A8="","",Бэклог!A8)</f>
        <v>T-10</v>
      </c>
      <c r="B13" s="162" t="str">
        <f>IF(Бэклог!R8="","",Бэклог!R8)</f>
        <v/>
      </c>
      <c r="C13" s="177">
        <f t="shared" si="0"/>
        <v>5.2857142857142856</v>
      </c>
      <c r="D13" s="177">
        <f t="shared" si="1"/>
        <v>13.720336810928863</v>
      </c>
      <c r="E13" s="177">
        <f t="shared" si="2"/>
        <v>0</v>
      </c>
      <c r="G13" t="e">
        <f>IF(Бэклог!R8="",NA(),Бэклог!R8)</f>
        <v>#N/A</v>
      </c>
    </row>
    <row r="14" spans="1:7" x14ac:dyDescent="0.3">
      <c r="A14" s="177" t="str">
        <f>IF(Бэклог!A9="","",Бэклог!A9)</f>
        <v>T-03</v>
      </c>
      <c r="B14" s="162">
        <f>IF(Бэклог!R9="","",Бэклог!R9)</f>
        <v>7</v>
      </c>
      <c r="C14" s="177">
        <f t="shared" si="0"/>
        <v>5.2857142857142856</v>
      </c>
      <c r="D14" s="177">
        <f t="shared" si="1"/>
        <v>13.720336810928863</v>
      </c>
      <c r="E14" s="177">
        <f t="shared" si="2"/>
        <v>0</v>
      </c>
      <c r="G14">
        <f>IF(Бэклог!R9="",NA(),Бэклог!R9)</f>
        <v>7</v>
      </c>
    </row>
    <row r="15" spans="1:7" x14ac:dyDescent="0.3">
      <c r="A15" s="177" t="str">
        <f>IF(Бэклог!A10="","",Бэклог!A10)</f>
        <v>T-04</v>
      </c>
      <c r="B15" s="162">
        <f>IF(Бэклог!R10="","",Бэклог!R10)</f>
        <v>2</v>
      </c>
      <c r="C15" s="177">
        <f t="shared" si="0"/>
        <v>5.2857142857142856</v>
      </c>
      <c r="D15" s="177">
        <f t="shared" si="1"/>
        <v>13.720336810928863</v>
      </c>
      <c r="E15" s="177">
        <f t="shared" si="2"/>
        <v>0</v>
      </c>
      <c r="G15">
        <f>IF(Бэклог!R10="",NA(),Бэклог!R10)</f>
        <v>2</v>
      </c>
    </row>
    <row r="16" spans="1:7" x14ac:dyDescent="0.3">
      <c r="A16" s="177" t="str">
        <f>IF(Бэклог!A11="","",Бэклог!A11)</f>
        <v>T-08</v>
      </c>
      <c r="B16" s="162">
        <f>IF(Бэклог!R11="","",Бэклог!R11)</f>
        <v>7</v>
      </c>
      <c r="C16" s="177">
        <f t="shared" si="0"/>
        <v>5.2857142857142856</v>
      </c>
      <c r="D16" s="177">
        <f t="shared" si="1"/>
        <v>13.720336810928863</v>
      </c>
      <c r="E16" s="177">
        <f t="shared" si="2"/>
        <v>0</v>
      </c>
      <c r="G16">
        <f>IF(Бэклог!R11="",NA(),Бэклог!R11)</f>
        <v>7</v>
      </c>
    </row>
    <row r="17" spans="1:7" x14ac:dyDescent="0.3">
      <c r="A17" s="177" t="str">
        <f>IF(Бэклог!A12="","",Бэклог!A12)</f>
        <v>T-11</v>
      </c>
      <c r="B17" s="162">
        <f>IF(Бэклог!R12="","",Бэклог!R12)</f>
        <v>8</v>
      </c>
      <c r="C17" s="177">
        <f t="shared" si="0"/>
        <v>5.2857142857142856</v>
      </c>
      <c r="D17" s="177">
        <f t="shared" si="1"/>
        <v>13.720336810928863</v>
      </c>
      <c r="E17" s="177">
        <f t="shared" si="2"/>
        <v>0</v>
      </c>
      <c r="G17">
        <f>IF(Бэклог!R12="",NA(),Бэклог!R12)</f>
        <v>8</v>
      </c>
    </row>
    <row r="18" spans="1:7" x14ac:dyDescent="0.3">
      <c r="A18" s="177" t="str">
        <f>IF(Бэклог!A13="","",Бэклог!A13)</f>
        <v>T-12</v>
      </c>
      <c r="B18" s="162" t="str">
        <f>IF(Бэклог!R13="","",Бэклог!R13)</f>
        <v/>
      </c>
      <c r="C18" s="177">
        <f t="shared" si="0"/>
        <v>5.2857142857142856</v>
      </c>
      <c r="D18" s="177">
        <f t="shared" si="1"/>
        <v>13.720336810928863</v>
      </c>
      <c r="E18" s="177">
        <f t="shared" si="2"/>
        <v>0</v>
      </c>
      <c r="G18" t="e">
        <f>IF(Бэклог!R13="",NA(),Бэклог!R13)</f>
        <v>#N/A</v>
      </c>
    </row>
    <row r="19" spans="1:7" x14ac:dyDescent="0.3">
      <c r="A19" s="177" t="str">
        <f>IF(Бэклог!A14="","",Бэклог!A14)</f>
        <v>T-05</v>
      </c>
      <c r="B19" s="162" t="str">
        <f>IF(Бэклог!R14="","",Бэклог!R14)</f>
        <v/>
      </c>
      <c r="C19" s="177">
        <f t="shared" si="0"/>
        <v>5.2857142857142856</v>
      </c>
      <c r="D19" s="177">
        <f t="shared" si="1"/>
        <v>13.720336810928863</v>
      </c>
      <c r="E19" s="177">
        <f t="shared" si="2"/>
        <v>0</v>
      </c>
      <c r="G19" t="e">
        <f>IF(Бэклог!R14="",NA(),Бэклог!R14)</f>
        <v>#N/A</v>
      </c>
    </row>
    <row r="20" spans="1:7" x14ac:dyDescent="0.3">
      <c r="A20" s="177" t="str">
        <f>IF(Бэклог!A15="","",Бэклог!A15)</f>
        <v>T-06</v>
      </c>
      <c r="B20" s="162" t="str">
        <f>IF(Бэклог!R15="","",Бэклог!R15)</f>
        <v/>
      </c>
      <c r="C20" s="177">
        <f t="shared" si="0"/>
        <v>5.2857142857142856</v>
      </c>
      <c r="D20" s="177">
        <f t="shared" si="1"/>
        <v>13.720336810928863</v>
      </c>
      <c r="E20" s="177">
        <f t="shared" si="2"/>
        <v>0</v>
      </c>
      <c r="G20" t="e">
        <f>IF(Бэклог!R15="",NA(),Бэклог!R15)</f>
        <v>#N/A</v>
      </c>
    </row>
    <row r="21" spans="1:7" x14ac:dyDescent="0.3">
      <c r="A21" s="177" t="str">
        <f>IF(Бэклог!A16="","",Бэклог!A16)</f>
        <v>T-07</v>
      </c>
      <c r="B21" s="162" t="str">
        <f>IF(Бэклог!R16="","",Бэклог!R16)</f>
        <v/>
      </c>
      <c r="C21" s="177">
        <f t="shared" si="0"/>
        <v>5.2857142857142856</v>
      </c>
      <c r="D21" s="177">
        <f t="shared" si="1"/>
        <v>13.720336810928863</v>
      </c>
      <c r="E21" s="177">
        <f t="shared" si="2"/>
        <v>0</v>
      </c>
      <c r="G21" t="e">
        <f>IF(Бэклог!R16="",NA(),Бэклог!R16)</f>
        <v>#N/A</v>
      </c>
    </row>
    <row r="22" spans="1:7" x14ac:dyDescent="0.3">
      <c r="A22" s="177" t="str">
        <f>IF(Бэклог!A17="","",Бэклог!A17)</f>
        <v>T-13</v>
      </c>
      <c r="B22" s="162" t="str">
        <f>IF(Бэклог!R17="","",Бэклог!R17)</f>
        <v/>
      </c>
      <c r="C22" s="177">
        <f t="shared" si="0"/>
        <v>5.2857142857142856</v>
      </c>
      <c r="D22" s="177">
        <f t="shared" si="1"/>
        <v>13.720336810928863</v>
      </c>
      <c r="E22" s="177">
        <f t="shared" si="2"/>
        <v>0</v>
      </c>
      <c r="G22" t="e">
        <f>IF(Бэклог!R17="",NA(),Бэклог!R17)</f>
        <v>#N/A</v>
      </c>
    </row>
    <row r="23" spans="1:7" x14ac:dyDescent="0.3">
      <c r="A23" s="177" t="str">
        <f>IF(Бэклог!A18="","",Бэклог!A18)</f>
        <v>T-14</v>
      </c>
      <c r="B23" s="162" t="str">
        <f>IF(Бэклог!R18="","",Бэклог!R18)</f>
        <v/>
      </c>
      <c r="C23" s="177">
        <f t="shared" si="0"/>
        <v>5.2857142857142856</v>
      </c>
      <c r="D23" s="177">
        <f t="shared" si="1"/>
        <v>13.720336810928863</v>
      </c>
      <c r="E23" s="177">
        <f t="shared" si="2"/>
        <v>0</v>
      </c>
      <c r="G23" t="e">
        <f>IF(Бэклог!R18="",NA(),Бэклог!R18)</f>
        <v>#N/A</v>
      </c>
    </row>
    <row r="24" spans="1:7" x14ac:dyDescent="0.3">
      <c r="A24" s="177" t="str">
        <f>IF(Бэклог!A19="","",Бэклог!A19)</f>
        <v>T-15</v>
      </c>
      <c r="B24" s="162" t="str">
        <f>IF(Бэклог!R19="","",Бэклог!R19)</f>
        <v/>
      </c>
      <c r="C24" s="177">
        <f t="shared" si="0"/>
        <v>5.2857142857142856</v>
      </c>
      <c r="D24" s="177">
        <f t="shared" si="1"/>
        <v>13.720336810928863</v>
      </c>
      <c r="E24" s="177">
        <f t="shared" si="2"/>
        <v>0</v>
      </c>
      <c r="G24" t="e">
        <f>IF(Бэклог!R19="",NA(),Бэклог!R19)</f>
        <v>#N/A</v>
      </c>
    </row>
    <row r="25" spans="1:7" x14ac:dyDescent="0.3">
      <c r="A25" s="177" t="str">
        <f>IF(Бэклог!A20="","",Бэклог!A20)</f>
        <v>T-16</v>
      </c>
      <c r="B25" s="162" t="str">
        <f>IF(Бэклог!R20="","",Бэклог!R20)</f>
        <v/>
      </c>
      <c r="C25" s="177">
        <f t="shared" si="0"/>
        <v>5.2857142857142856</v>
      </c>
      <c r="D25" s="177">
        <f t="shared" si="1"/>
        <v>13.720336810928863</v>
      </c>
      <c r="E25" s="177">
        <f t="shared" si="2"/>
        <v>0</v>
      </c>
      <c r="G25" t="e">
        <f>IF(Бэклог!R20="",NA(),Бэклог!R20)</f>
        <v>#N/A</v>
      </c>
    </row>
    <row r="26" spans="1:7" x14ac:dyDescent="0.3">
      <c r="A26" s="177" t="str">
        <f>IF(Бэклог!A21="","",Бэклог!A21)</f>
        <v>T-17</v>
      </c>
      <c r="B26" s="162" t="str">
        <f>IF(Бэклог!R21="","",Бэклог!R21)</f>
        <v/>
      </c>
      <c r="C26" s="177">
        <f t="shared" si="0"/>
        <v>5.2857142857142856</v>
      </c>
      <c r="D26" s="177">
        <f t="shared" si="1"/>
        <v>13.720336810928863</v>
      </c>
      <c r="E26" s="177">
        <f t="shared" si="2"/>
        <v>0</v>
      </c>
      <c r="G26" t="e">
        <f>IF(Бэклог!R21="",NA(),Бэклог!R21)</f>
        <v>#N/A</v>
      </c>
    </row>
    <row r="27" spans="1:7" x14ac:dyDescent="0.3">
      <c r="A27" s="177" t="str">
        <f>IF(Бэклог!A22="","",Бэклог!A22)</f>
        <v>T-18</v>
      </c>
      <c r="B27" s="162" t="str">
        <f>IF(Бэклог!R22="","",Бэклог!R22)</f>
        <v/>
      </c>
      <c r="C27" s="177">
        <f t="shared" si="0"/>
        <v>5.2857142857142856</v>
      </c>
      <c r="D27" s="177">
        <f t="shared" si="1"/>
        <v>13.720336810928863</v>
      </c>
      <c r="E27" s="177">
        <f t="shared" si="2"/>
        <v>0</v>
      </c>
      <c r="G27" t="e">
        <f>IF(Бэклог!R22="",NA(),Бэклог!R22)</f>
        <v>#N/A</v>
      </c>
    </row>
    <row r="28" spans="1:7" x14ac:dyDescent="0.3">
      <c r="A28" s="177" t="str">
        <f>IF(Бэклог!A23="","",Бэклог!A23)</f>
        <v>T-19</v>
      </c>
      <c r="B28" s="162" t="str">
        <f>IF(Бэклог!R23="","",Бэклог!R23)</f>
        <v/>
      </c>
      <c r="C28" s="177">
        <f t="shared" si="0"/>
        <v>5.2857142857142856</v>
      </c>
      <c r="D28" s="177">
        <f t="shared" si="1"/>
        <v>13.720336810928863</v>
      </c>
      <c r="E28" s="177">
        <f t="shared" si="2"/>
        <v>0</v>
      </c>
      <c r="G28" t="e">
        <f>IF(Бэклог!R23="",NA(),Бэклог!R23)</f>
        <v>#N/A</v>
      </c>
    </row>
    <row r="29" spans="1:7" x14ac:dyDescent="0.3">
      <c r="A29" s="177" t="str">
        <f>IF(Бэклог!A24="","",Бэклог!A24)</f>
        <v>T-20</v>
      </c>
      <c r="B29" s="162" t="str">
        <f>IF(Бэклог!R24="","",Бэклог!R24)</f>
        <v/>
      </c>
      <c r="C29" s="177">
        <f t="shared" si="0"/>
        <v>5.2857142857142856</v>
      </c>
      <c r="D29" s="177">
        <f t="shared" si="1"/>
        <v>13.720336810928863</v>
      </c>
      <c r="E29" s="177">
        <f t="shared" si="2"/>
        <v>0</v>
      </c>
      <c r="G29" t="e">
        <f>IF(Бэклог!R24="",NA(),Бэклог!R24)</f>
        <v>#N/A</v>
      </c>
    </row>
  </sheetData>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8"/>
  <sheetViews>
    <sheetView showGridLines="0" workbookViewId="0">
      <pane ySplit="4" topLeftCell="A5" activePane="bottomLeft" state="frozen"/>
      <selection pane="bottomLeft"/>
    </sheetView>
  </sheetViews>
  <sheetFormatPr defaultRowHeight="14.4" x14ac:dyDescent="0.3"/>
  <cols>
    <col min="1" max="1" width="5" customWidth="1"/>
    <col min="2" max="2" width="30" customWidth="1"/>
    <col min="3" max="4" width="10" customWidth="1"/>
    <col min="5" max="5" width="8" customWidth="1"/>
    <col min="6" max="6" width="11" customWidth="1"/>
    <col min="7" max="7" width="26" customWidth="1"/>
    <col min="8" max="8" width="13" customWidth="1"/>
    <col min="9" max="9" width="12" customWidth="1"/>
  </cols>
  <sheetData>
    <row r="1" spans="1:9" ht="17.399999999999999" customHeight="1" x14ac:dyDescent="0.3">
      <c r="A1" s="37" t="s">
        <v>651</v>
      </c>
    </row>
    <row r="2" spans="1:9" x14ac:dyDescent="0.3">
      <c r="A2" s="38" t="s">
        <v>652</v>
      </c>
    </row>
    <row r="4" spans="1:9" ht="41.4" customHeight="1" x14ac:dyDescent="0.3">
      <c r="A4" s="39" t="s">
        <v>653</v>
      </c>
      <c r="B4" s="39" t="s">
        <v>417</v>
      </c>
      <c r="C4" s="39" t="s">
        <v>654</v>
      </c>
      <c r="D4" s="39" t="s">
        <v>655</v>
      </c>
      <c r="E4" s="39" t="s">
        <v>656</v>
      </c>
      <c r="F4" s="39" t="s">
        <v>657</v>
      </c>
      <c r="G4" s="39" t="s">
        <v>658</v>
      </c>
      <c r="H4" s="39" t="s">
        <v>416</v>
      </c>
      <c r="I4" s="39" t="s">
        <v>121</v>
      </c>
    </row>
    <row r="5" spans="1:9" ht="27.6" customHeight="1" x14ac:dyDescent="0.3">
      <c r="A5" s="47">
        <v>1</v>
      </c>
      <c r="B5" s="57" t="s">
        <v>659</v>
      </c>
      <c r="C5" s="50">
        <v>4</v>
      </c>
      <c r="D5" s="50">
        <v>5</v>
      </c>
      <c r="E5" s="74">
        <f>C5*D5</f>
        <v>20</v>
      </c>
      <c r="F5" s="47" t="str">
        <f>IF(E5&gt;=15,"Высокий",IF(E5&gt;=8,"Средний","Низкий"))</f>
        <v>Высокий</v>
      </c>
      <c r="G5" s="57" t="s">
        <v>660</v>
      </c>
      <c r="H5" s="50" t="s">
        <v>264</v>
      </c>
      <c r="I5" s="50" t="s">
        <v>302</v>
      </c>
    </row>
    <row r="6" spans="1:9" ht="27.6" customHeight="1" x14ac:dyDescent="0.3">
      <c r="A6" s="47">
        <v>2</v>
      </c>
      <c r="B6" s="57" t="s">
        <v>661</v>
      </c>
      <c r="C6" s="50">
        <v>5</v>
      </c>
      <c r="D6" s="50">
        <v>3</v>
      </c>
      <c r="E6" s="74">
        <f>C6*D6</f>
        <v>15</v>
      </c>
      <c r="F6" s="47" t="str">
        <f>IF(E6&gt;=15,"Высокий",IF(E6&gt;=8,"Средний","Низкий"))</f>
        <v>Высокий</v>
      </c>
      <c r="G6" s="57" t="s">
        <v>662</v>
      </c>
      <c r="H6" s="50" t="s">
        <v>474</v>
      </c>
      <c r="I6" s="50" t="s">
        <v>302</v>
      </c>
    </row>
    <row r="7" spans="1:9" x14ac:dyDescent="0.3">
      <c r="A7" s="47">
        <v>3</v>
      </c>
      <c r="B7" s="57" t="s">
        <v>663</v>
      </c>
      <c r="C7" s="50">
        <v>3</v>
      </c>
      <c r="D7" s="50">
        <v>4</v>
      </c>
      <c r="E7" s="74">
        <f>C7*D7</f>
        <v>12</v>
      </c>
      <c r="F7" s="47" t="str">
        <f>IF(E7&gt;=15,"Высокий",IF(E7&gt;=8,"Средний","Низкий"))</f>
        <v>Средний</v>
      </c>
      <c r="G7" s="57" t="s">
        <v>664</v>
      </c>
      <c r="H7" s="50" t="s">
        <v>270</v>
      </c>
      <c r="I7" s="50" t="s">
        <v>302</v>
      </c>
    </row>
    <row r="8" spans="1:9" ht="27.6" customHeight="1" x14ac:dyDescent="0.3">
      <c r="A8" s="47">
        <v>4</v>
      </c>
      <c r="B8" s="57" t="s">
        <v>665</v>
      </c>
      <c r="C8" s="50">
        <v>2</v>
      </c>
      <c r="D8" s="50">
        <v>4</v>
      </c>
      <c r="E8" s="74">
        <f>C8*D8</f>
        <v>8</v>
      </c>
      <c r="F8" s="47" t="str">
        <f>IF(E8&gt;=15,"Высокий",IF(E8&gt;=8,"Средний","Низкий"))</f>
        <v>Средний</v>
      </c>
      <c r="G8" s="57" t="s">
        <v>666</v>
      </c>
      <c r="H8" s="50" t="s">
        <v>275</v>
      </c>
      <c r="I8" s="50" t="s">
        <v>667</v>
      </c>
    </row>
  </sheetData>
  <conditionalFormatting sqref="E5:E8">
    <cfRule type="cellIs" dxfId="5" priority="1" operator="greaterThanOrEqual">
      <formula>15</formula>
    </cfRule>
    <cfRule type="cellIs" dxfId="4" priority="2" operator="between">
      <formula>8</formula>
      <formula>14</formula>
    </cfRule>
    <cfRule type="cellIs" dxfId="3" priority="3" operator="lessThan">
      <formula>8</formula>
    </cfRule>
  </conditionalFormatting>
  <dataValidations count="1">
    <dataValidation type="list" allowBlank="1" sqref="I5 I6 I7 I8" xr:uid="{00000000-0002-0000-1A00-000000000000}">
      <formula1>"Открыт,Наблюдение,Закрыт"</formula1>
    </dataValidation>
  </dataValidations>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20"/>
  <sheetViews>
    <sheetView showGridLines="0" topLeftCell="A32" workbookViewId="0"/>
  </sheetViews>
  <sheetFormatPr defaultRowHeight="14.4" x14ac:dyDescent="0.3"/>
  <cols>
    <col min="1" max="1" width="16" customWidth="1"/>
    <col min="2" max="2" width="34" customWidth="1"/>
    <col min="3" max="3" width="7" customWidth="1"/>
    <col min="4" max="4" width="8" customWidth="1"/>
    <col min="5" max="5" width="7" customWidth="1"/>
    <col min="6" max="6" width="11" customWidth="1"/>
    <col min="7" max="7" width="26" customWidth="1"/>
    <col min="8" max="8" width="13" customWidth="1"/>
    <col min="9" max="9" width="11" customWidth="1"/>
  </cols>
  <sheetData>
    <row r="1" spans="1:9" ht="17.399999999999999" customHeight="1" x14ac:dyDescent="0.3">
      <c r="A1" s="150" t="s">
        <v>668</v>
      </c>
    </row>
    <row r="3" spans="1:9" ht="15.6" customHeight="1" x14ac:dyDescent="0.3">
      <c r="A3" s="151" t="s">
        <v>669</v>
      </c>
    </row>
    <row r="4" spans="1:9" x14ac:dyDescent="0.3">
      <c r="A4" s="152" t="s">
        <v>196</v>
      </c>
      <c r="B4" s="152" t="s">
        <v>417</v>
      </c>
      <c r="C4" s="152" t="s">
        <v>670</v>
      </c>
      <c r="D4" s="152" t="s">
        <v>671</v>
      </c>
      <c r="E4" s="152" t="s">
        <v>656</v>
      </c>
      <c r="F4" s="152" t="s">
        <v>657</v>
      </c>
      <c r="G4" s="152" t="s">
        <v>658</v>
      </c>
      <c r="H4" s="152" t="s">
        <v>416</v>
      </c>
      <c r="I4" s="152" t="s">
        <v>121</v>
      </c>
    </row>
    <row r="5" spans="1:9" ht="27.6" customHeight="1" x14ac:dyDescent="0.3">
      <c r="A5" s="153">
        <f>RANK(Риски!E5,Риски!$E$5:$E$8)</f>
        <v>1</v>
      </c>
      <c r="B5" s="154" t="str">
        <f>Риски!B5</f>
        <v>Зависимость от внешнего API оплаты</v>
      </c>
      <c r="C5" s="155">
        <f>Риски!C5</f>
        <v>4</v>
      </c>
      <c r="D5" s="155">
        <f>Риски!D5</f>
        <v>5</v>
      </c>
      <c r="E5" s="153">
        <f>Риски!E5</f>
        <v>20</v>
      </c>
      <c r="F5" s="155" t="str">
        <f>Риски!F5</f>
        <v>Высокий</v>
      </c>
      <c r="G5" s="154" t="str">
        <f>Риски!G5</f>
        <v>Мок-сервис + ранняя интеграция</v>
      </c>
      <c r="H5" s="155" t="str">
        <f>Риски!H5</f>
        <v>Иванов А.</v>
      </c>
      <c r="I5" s="155" t="str">
        <f>Риски!I5</f>
        <v>Открыт</v>
      </c>
    </row>
    <row r="6" spans="1:9" ht="27.6" customHeight="1" x14ac:dyDescent="0.3">
      <c r="A6" s="153">
        <f>RANK(Риски!E6,Риски!$E$5:$E$8)</f>
        <v>2</v>
      </c>
      <c r="B6" s="154" t="str">
        <f>Риски!B6</f>
        <v>Отпуска в декабре (Спринт 11)</v>
      </c>
      <c r="C6" s="155">
        <f>Риски!C6</f>
        <v>5</v>
      </c>
      <c r="D6" s="155">
        <f>Риски!D6</f>
        <v>3</v>
      </c>
      <c r="E6" s="153">
        <f>Риски!E6</f>
        <v>15</v>
      </c>
      <c r="F6" s="155" t="str">
        <f>Риски!F6</f>
        <v>Высокий</v>
      </c>
      <c r="G6" s="154" t="str">
        <f>Риски!G6</f>
        <v>Сокращённый объём, буфер</v>
      </c>
      <c r="H6" s="155" t="str">
        <f>Риски!H6</f>
        <v>Орлова Е.</v>
      </c>
      <c r="I6" s="155" t="str">
        <f>Риски!I6</f>
        <v>Открыт</v>
      </c>
    </row>
    <row r="7" spans="1:9" x14ac:dyDescent="0.3">
      <c r="A7" s="153">
        <f>RANK(Риски!E7,Риски!$E$5:$E$8)</f>
        <v>3</v>
      </c>
      <c r="B7" s="154" t="str">
        <f>Риски!B7</f>
        <v>Недооценка интеграции</v>
      </c>
      <c r="C7" s="155">
        <f>Риски!C7</f>
        <v>3</v>
      </c>
      <c r="D7" s="155">
        <f>Риски!D7</f>
        <v>4</v>
      </c>
      <c r="E7" s="153">
        <f>Риски!E7</f>
        <v>12</v>
      </c>
      <c r="F7" s="155" t="str">
        <f>Риски!F7</f>
        <v>Средний</v>
      </c>
      <c r="G7" s="154" t="str">
        <f>Риски!G7</f>
        <v>Спайк на оценку</v>
      </c>
      <c r="H7" s="155" t="str">
        <f>Риски!H7</f>
        <v>Кузнецов Д.</v>
      </c>
      <c r="I7" s="155" t="str">
        <f>Риски!I7</f>
        <v>Открыт</v>
      </c>
    </row>
    <row r="8" spans="1:9" ht="27.6" customHeight="1" x14ac:dyDescent="0.3">
      <c r="A8" s="153">
        <f>RANK(Риски!E8,Риски!$E$5:$E$8)</f>
        <v>4</v>
      </c>
      <c r="B8" s="154" t="str">
        <f>Риски!B8</f>
        <v>Текучесть в QA</v>
      </c>
      <c r="C8" s="155">
        <f>Риски!C8</f>
        <v>2</v>
      </c>
      <c r="D8" s="155">
        <f>Риски!D8</f>
        <v>4</v>
      </c>
      <c r="E8" s="153">
        <f>Риски!E8</f>
        <v>8</v>
      </c>
      <c r="F8" s="155" t="str">
        <f>Риски!F8</f>
        <v>Средний</v>
      </c>
      <c r="G8" s="154" t="str">
        <f>Риски!G8</f>
        <v>Кросс-ревью, документация</v>
      </c>
      <c r="H8" s="155" t="str">
        <f>Риски!H8</f>
        <v>Сидоров К.</v>
      </c>
      <c r="I8" s="155" t="str">
        <f>Риски!I8</f>
        <v>Наблюдение</v>
      </c>
    </row>
    <row r="10" spans="1:9" ht="15.6" customHeight="1" x14ac:dyDescent="0.3">
      <c r="A10" s="151" t="s">
        <v>672</v>
      </c>
    </row>
    <row r="11" spans="1:9" ht="27.6" customHeight="1" x14ac:dyDescent="0.3">
      <c r="A11" s="156" t="s">
        <v>673</v>
      </c>
      <c r="B11" s="156">
        <v>1</v>
      </c>
      <c r="C11" s="156">
        <v>2</v>
      </c>
      <c r="D11" s="156">
        <v>3</v>
      </c>
      <c r="E11" s="156">
        <v>4</v>
      </c>
      <c r="F11" s="156">
        <v>5</v>
      </c>
    </row>
    <row r="12" spans="1:9" x14ac:dyDescent="0.3">
      <c r="A12" s="156">
        <v>5</v>
      </c>
      <c r="B12" s="157" t="str">
        <f>IF(COUNTIFS(Риски!$C$5:$C$8,1,Риски!$D$5:$D$8,5)=0,"",COUNTIFS(Риски!$C$5:$C$8,1,Риски!$D$5:$D$8,5))</f>
        <v/>
      </c>
      <c r="C12" s="158" t="str">
        <f>IF(COUNTIFS(Риски!$C$5:$C$8,2,Риски!$D$5:$D$8,5)=0,"",COUNTIFS(Риски!$C$5:$C$8,2,Риски!$D$5:$D$8,5))</f>
        <v/>
      </c>
      <c r="D12" s="159" t="str">
        <f>IF(COUNTIFS(Риски!$C$5:$C$8,3,Риски!$D$5:$D$8,5)=0,"",COUNTIFS(Риски!$C$5:$C$8,3,Риски!$D$5:$D$8,5))</f>
        <v/>
      </c>
      <c r="E12" s="159">
        <f>IF(COUNTIFS(Риски!$C$5:$C$8,4,Риски!$D$5:$D$8,5)=0,"",COUNTIFS(Риски!$C$5:$C$8,4,Риски!$D$5:$D$8,5))</f>
        <v>1</v>
      </c>
      <c r="F12" s="159" t="str">
        <f>IF(COUNTIFS(Риски!$C$5:$C$8,5,Риски!$D$5:$D$8,5)=0,"",COUNTIFS(Риски!$C$5:$C$8,5,Риски!$D$5:$D$8,5))</f>
        <v/>
      </c>
    </row>
    <row r="13" spans="1:9" x14ac:dyDescent="0.3">
      <c r="A13" s="156">
        <v>4</v>
      </c>
      <c r="B13" s="157" t="str">
        <f>IF(COUNTIFS(Риски!$C$5:$C$8,1,Риски!$D$5:$D$8,4)=0,"",COUNTIFS(Риски!$C$5:$C$8,1,Риски!$D$5:$D$8,4))</f>
        <v/>
      </c>
      <c r="C13" s="158">
        <f>IF(COUNTIFS(Риски!$C$5:$C$8,2,Риски!$D$5:$D$8,4)=0,"",COUNTIFS(Риски!$C$5:$C$8,2,Риски!$D$5:$D$8,4))</f>
        <v>1</v>
      </c>
      <c r="D13" s="158">
        <f>IF(COUNTIFS(Риски!$C$5:$C$8,3,Риски!$D$5:$D$8,4)=0,"",COUNTIFS(Риски!$C$5:$C$8,3,Риски!$D$5:$D$8,4))</f>
        <v>1</v>
      </c>
      <c r="E13" s="159" t="str">
        <f>IF(COUNTIFS(Риски!$C$5:$C$8,4,Риски!$D$5:$D$8,4)=0,"",COUNTIFS(Риски!$C$5:$C$8,4,Риски!$D$5:$D$8,4))</f>
        <v/>
      </c>
      <c r="F13" s="159" t="str">
        <f>IF(COUNTIFS(Риски!$C$5:$C$8,5,Риски!$D$5:$D$8,4)=0,"",COUNTIFS(Риски!$C$5:$C$8,5,Риски!$D$5:$D$8,4))</f>
        <v/>
      </c>
    </row>
    <row r="14" spans="1:9" x14ac:dyDescent="0.3">
      <c r="A14" s="156">
        <v>3</v>
      </c>
      <c r="B14" s="157" t="str">
        <f>IF(COUNTIFS(Риски!$C$5:$C$8,1,Риски!$D$5:$D$8,3)=0,"",COUNTIFS(Риски!$C$5:$C$8,1,Риски!$D$5:$D$8,3))</f>
        <v/>
      </c>
      <c r="C14" s="157" t="str">
        <f>IF(COUNTIFS(Риски!$C$5:$C$8,2,Риски!$D$5:$D$8,3)=0,"",COUNTIFS(Риски!$C$5:$C$8,2,Риски!$D$5:$D$8,3))</f>
        <v/>
      </c>
      <c r="D14" s="158" t="str">
        <f>IF(COUNTIFS(Риски!$C$5:$C$8,3,Риски!$D$5:$D$8,3)=0,"",COUNTIFS(Риски!$C$5:$C$8,3,Риски!$D$5:$D$8,3))</f>
        <v/>
      </c>
      <c r="E14" s="158" t="str">
        <f>IF(COUNTIFS(Риски!$C$5:$C$8,4,Риски!$D$5:$D$8,3)=0,"",COUNTIFS(Риски!$C$5:$C$8,4,Риски!$D$5:$D$8,3))</f>
        <v/>
      </c>
      <c r="F14" s="159">
        <f>IF(COUNTIFS(Риски!$C$5:$C$8,5,Риски!$D$5:$D$8,3)=0,"",COUNTIFS(Риски!$C$5:$C$8,5,Риски!$D$5:$D$8,3))</f>
        <v>1</v>
      </c>
    </row>
    <row r="15" spans="1:9" x14ac:dyDescent="0.3">
      <c r="A15" s="156">
        <v>2</v>
      </c>
      <c r="B15" s="157" t="str">
        <f>IF(COUNTIFS(Риски!$C$5:$C$8,1,Риски!$D$5:$D$8,2)=0,"",COUNTIFS(Риски!$C$5:$C$8,1,Риски!$D$5:$D$8,2))</f>
        <v/>
      </c>
      <c r="C15" s="157" t="str">
        <f>IF(COUNTIFS(Риски!$C$5:$C$8,2,Риски!$D$5:$D$8,2)=0,"",COUNTIFS(Риски!$C$5:$C$8,2,Риски!$D$5:$D$8,2))</f>
        <v/>
      </c>
      <c r="D15" s="157" t="str">
        <f>IF(COUNTIFS(Риски!$C$5:$C$8,3,Риски!$D$5:$D$8,2)=0,"",COUNTIFS(Риски!$C$5:$C$8,3,Риски!$D$5:$D$8,2))</f>
        <v/>
      </c>
      <c r="E15" s="158" t="str">
        <f>IF(COUNTIFS(Риски!$C$5:$C$8,4,Риски!$D$5:$D$8,2)=0,"",COUNTIFS(Риски!$C$5:$C$8,4,Риски!$D$5:$D$8,2))</f>
        <v/>
      </c>
      <c r="F15" s="158" t="str">
        <f>IF(COUNTIFS(Риски!$C$5:$C$8,5,Риски!$D$5:$D$8,2)=0,"",COUNTIFS(Риски!$C$5:$C$8,5,Риски!$D$5:$D$8,2))</f>
        <v/>
      </c>
    </row>
    <row r="16" spans="1:9" x14ac:dyDescent="0.3">
      <c r="A16" s="156">
        <v>1</v>
      </c>
      <c r="B16" s="157" t="str">
        <f>IF(COUNTIFS(Риски!$C$5:$C$8,1,Риски!$D$5:$D$8,1)=0,"",COUNTIFS(Риски!$C$5:$C$8,1,Риски!$D$5:$D$8,1))</f>
        <v/>
      </c>
      <c r="C16" s="157" t="str">
        <f>IF(COUNTIFS(Риски!$C$5:$C$8,2,Риски!$D$5:$D$8,1)=0,"",COUNTIFS(Риски!$C$5:$C$8,2,Риски!$D$5:$D$8,1))</f>
        <v/>
      </c>
      <c r="D16" s="157" t="str">
        <f>IF(COUNTIFS(Риски!$C$5:$C$8,3,Риски!$D$5:$D$8,1)=0,"",COUNTIFS(Риски!$C$5:$C$8,3,Риски!$D$5:$D$8,1))</f>
        <v/>
      </c>
      <c r="E16" s="157" t="str">
        <f>IF(COUNTIFS(Риски!$C$5:$C$8,4,Риски!$D$5:$D$8,1)=0,"",COUNTIFS(Риски!$C$5:$C$8,4,Риски!$D$5:$D$8,1))</f>
        <v/>
      </c>
      <c r="F16" s="157" t="str">
        <f>IF(COUNTIFS(Риски!$C$5:$C$8,5,Риски!$D$5:$D$8,1)=0,"",COUNTIFS(Риски!$C$5:$C$8,5,Риски!$D$5:$D$8,1))</f>
        <v/>
      </c>
    </row>
    <row r="17" spans="1:1" x14ac:dyDescent="0.3">
      <c r="A17" s="160" t="s">
        <v>674</v>
      </c>
    </row>
    <row r="18" spans="1:1" x14ac:dyDescent="0.3">
      <c r="A18" s="160" t="s">
        <v>675</v>
      </c>
    </row>
    <row r="20" spans="1:1" ht="15.6" customHeight="1" x14ac:dyDescent="0.3">
      <c r="A20" s="151" t="s">
        <v>676</v>
      </c>
    </row>
  </sheetData>
  <pageMargins left="0.75" right="0.75" top="1" bottom="1" header="0.5" footer="0.5"/>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23"/>
  <sheetViews>
    <sheetView showGridLines="0" workbookViewId="0">
      <pane ySplit="4" topLeftCell="A5" activePane="bottomLeft" state="frozen"/>
      <selection pane="bottomLeft" activeCell="S12" sqref="S12"/>
    </sheetView>
  </sheetViews>
  <sheetFormatPr defaultRowHeight="14.4" x14ac:dyDescent="0.3"/>
  <cols>
    <col min="1" max="1" width="28.33203125" customWidth="1"/>
    <col min="2" max="3" width="10" customWidth="1"/>
    <col min="4" max="4" width="11" customWidth="1"/>
    <col min="5" max="5" width="13" customWidth="1"/>
    <col min="6" max="6" width="10" customWidth="1"/>
  </cols>
  <sheetData>
    <row r="1" spans="1:6" ht="17.399999999999999" customHeight="1" x14ac:dyDescent="0.3">
      <c r="A1" s="37" t="s">
        <v>677</v>
      </c>
    </row>
    <row r="2" spans="1:6" x14ac:dyDescent="0.3">
      <c r="A2" s="38" t="s">
        <v>678</v>
      </c>
    </row>
    <row r="4" spans="1:6" ht="27.6" customHeight="1" x14ac:dyDescent="0.3">
      <c r="A4" s="39" t="s">
        <v>388</v>
      </c>
      <c r="B4" s="39" t="s">
        <v>242</v>
      </c>
      <c r="C4" s="39" t="s">
        <v>679</v>
      </c>
      <c r="D4" s="39" t="s">
        <v>680</v>
      </c>
      <c r="E4" s="92" t="s">
        <v>346</v>
      </c>
      <c r="F4" s="92" t="s">
        <v>45</v>
      </c>
    </row>
    <row r="5" spans="1:6" x14ac:dyDescent="0.3">
      <c r="A5" s="63" t="s">
        <v>264</v>
      </c>
      <c r="B5" s="64">
        <f>COUNTIFS(Бэклог!$C$5:$C$44,A5,Бэклог!$M$5:$M$44,Параметры!$B$13)</f>
        <v>1</v>
      </c>
      <c r="C5" s="35">
        <f>SUMIFS(Бэклог!$E$5:$E$44,Бэклог!$C$5:$C$44,A5,Бэклог!$M$5:$M$44,Параметры!$B$13)</f>
        <v>5</v>
      </c>
      <c r="D5" s="36">
        <f t="shared" ref="D5:D17" si="0">IFERROR(C5/SUM($C$5:$C$17),0)</f>
        <v>0.17241379310344829</v>
      </c>
      <c r="E5" s="102">
        <f>SUMIFS(Капасити!$H$5:$H$147,Капасити!$B$5:$B$147,A5,Капасити!$A$5:$A$147,Параметры!$B$13)</f>
        <v>8</v>
      </c>
      <c r="F5" s="103">
        <f t="shared" ref="F5:F18" si="1">IFERROR(C5/E5,0)</f>
        <v>0.625</v>
      </c>
    </row>
    <row r="6" spans="1:6" x14ac:dyDescent="0.3">
      <c r="A6" s="63" t="s">
        <v>267</v>
      </c>
      <c r="B6" s="64">
        <f>COUNTIFS(Бэклог!$C$5:$C$44,A6,Бэклог!$M$5:$M$44,Параметры!$B$13)</f>
        <v>0</v>
      </c>
      <c r="C6" s="35">
        <f>SUMIFS(Бэклог!$E$5:$E$44,Бэклог!$C$5:$C$44,A6,Бэклог!$M$5:$M$44,Параметры!$B$13)</f>
        <v>0</v>
      </c>
      <c r="D6" s="36">
        <f t="shared" si="0"/>
        <v>0</v>
      </c>
      <c r="E6" s="102">
        <f>SUMIFS(Капасити!$H$5:$H$147,Капасити!$B$5:$B$147,A6,Капасити!$A$5:$A$147,Параметры!$B$13)</f>
        <v>8</v>
      </c>
      <c r="F6" s="103">
        <f t="shared" si="1"/>
        <v>0</v>
      </c>
    </row>
    <row r="7" spans="1:6" x14ac:dyDescent="0.3">
      <c r="A7" s="63" t="s">
        <v>275</v>
      </c>
      <c r="B7" s="64">
        <f>COUNTIFS(Бэклог!$C$5:$C$44,A7,Бэклог!$M$5:$M$44,Параметры!$B$13)</f>
        <v>1</v>
      </c>
      <c r="C7" s="35">
        <f>SUMIFS(Бэклог!$E$5:$E$44,Бэклог!$C$5:$C$44,A7,Бэклог!$M$5:$M$44,Параметры!$B$13)</f>
        <v>5</v>
      </c>
      <c r="D7" s="36">
        <f t="shared" si="0"/>
        <v>0.17241379310344829</v>
      </c>
      <c r="E7" s="102">
        <f>SUMIFS(Капасити!$H$5:$H$147,Капасити!$B$5:$B$147,A7,Капасити!$A$5:$A$147,Параметры!$B$13)</f>
        <v>6.4</v>
      </c>
      <c r="F7" s="103">
        <f t="shared" si="1"/>
        <v>0.78125</v>
      </c>
    </row>
    <row r="8" spans="1:6" x14ac:dyDescent="0.3">
      <c r="A8" s="63" t="s">
        <v>270</v>
      </c>
      <c r="B8" s="64">
        <f>COUNTIFS(Бэклог!$C$5:$C$44,A8,Бэклог!$M$5:$M$44,Параметры!$B$13)</f>
        <v>1</v>
      </c>
      <c r="C8" s="35">
        <f>SUMIFS(Бэклог!$E$5:$E$44,Бэклог!$C$5:$C$44,A8,Бэклог!$M$5:$M$44,Параметры!$B$13)</f>
        <v>3</v>
      </c>
      <c r="D8" s="36">
        <f t="shared" si="0"/>
        <v>0.10344827586206896</v>
      </c>
      <c r="E8" s="102">
        <f>SUMIFS(Капасити!$H$5:$H$147,Капасити!$B$5:$B$147,A8,Капасити!$A$5:$A$147,Параметры!$B$13)</f>
        <v>8</v>
      </c>
      <c r="F8" s="103">
        <f t="shared" si="1"/>
        <v>0.375</v>
      </c>
    </row>
    <row r="9" spans="1:6" x14ac:dyDescent="0.3">
      <c r="A9" s="63" t="s">
        <v>474</v>
      </c>
      <c r="B9" s="64">
        <f>COUNTIFS(Бэклог!$C$5:$C$44,A9,Бэклог!$M$5:$M$44,Параметры!$B$13)</f>
        <v>1</v>
      </c>
      <c r="C9" s="35">
        <f>SUMIFS(Бэклог!$E$5:$E$44,Бэклог!$C$5:$C$44,A9,Бэклог!$M$5:$M$44,Параметры!$B$13)</f>
        <v>3</v>
      </c>
      <c r="D9" s="36">
        <f t="shared" si="0"/>
        <v>0.10344827586206896</v>
      </c>
      <c r="E9" s="102">
        <f>SUMIFS(Капасити!$H$5:$H$147,Капасити!$B$5:$B$147,A9,Капасити!$A$5:$A$147,Параметры!$B$13)</f>
        <v>4</v>
      </c>
      <c r="F9" s="103">
        <f t="shared" si="1"/>
        <v>0.75</v>
      </c>
    </row>
    <row r="10" spans="1:6" x14ac:dyDescent="0.3">
      <c r="A10" s="63" t="s">
        <v>475</v>
      </c>
      <c r="B10" s="64">
        <f>COUNTIFS(Бэклог!$C$5:$C$44,A10,Бэклог!$M$5:$M$44,Параметры!$B$13)</f>
        <v>0</v>
      </c>
      <c r="C10" s="35">
        <f>SUMIFS(Бэклог!$E$5:$E$44,Бэклог!$C$5:$C$44,A10,Бэклог!$M$5:$M$44,Параметры!$B$13)</f>
        <v>0</v>
      </c>
      <c r="D10" s="36">
        <f t="shared" si="0"/>
        <v>0</v>
      </c>
      <c r="E10" s="102">
        <f>SUMIFS(Капасити!$H$5:$H$147,Капасити!$B$5:$B$147,A10,Капасити!$A$5:$A$147,Параметры!$B$13)</f>
        <v>8</v>
      </c>
      <c r="F10" s="103">
        <f t="shared" si="1"/>
        <v>0</v>
      </c>
    </row>
    <row r="11" spans="1:6" x14ac:dyDescent="0.3">
      <c r="A11" s="63" t="s">
        <v>476</v>
      </c>
      <c r="B11" s="64">
        <f>COUNTIFS(Бэклог!$C$5:$C$44,A11,Бэклог!$M$5:$M$44,Параметры!$B$13)</f>
        <v>1</v>
      </c>
      <c r="C11" s="35">
        <f>SUMIFS(Бэклог!$E$5:$E$44,Бэклог!$C$5:$C$44,A11,Бэклог!$M$5:$M$44,Параметры!$B$13)</f>
        <v>8</v>
      </c>
      <c r="D11" s="36">
        <f t="shared" si="0"/>
        <v>0.27586206896551724</v>
      </c>
      <c r="E11" s="102">
        <f>SUMIFS(Капасити!$H$5:$H$147,Капасити!$B$5:$B$147,A11,Капасити!$A$5:$A$147,Параметры!$B$13)</f>
        <v>8</v>
      </c>
      <c r="F11" s="103">
        <f t="shared" si="1"/>
        <v>1</v>
      </c>
    </row>
    <row r="12" spans="1:6" x14ac:dyDescent="0.3">
      <c r="A12" s="63" t="s">
        <v>477</v>
      </c>
      <c r="B12" s="64">
        <f>COUNTIFS(Бэклог!$C$5:$C$44,A12,Бэклог!$M$5:$M$44,Параметры!$B$13)</f>
        <v>0</v>
      </c>
      <c r="C12" s="35">
        <f>SUMIFS(Бэклог!$E$5:$E$44,Бэклог!$C$5:$C$44,A12,Бэклог!$M$5:$M$44,Параметры!$B$13)</f>
        <v>0</v>
      </c>
      <c r="D12" s="36">
        <f t="shared" si="0"/>
        <v>0</v>
      </c>
      <c r="E12" s="102">
        <f>SUMIFS(Капасити!$H$5:$H$147,Капасити!$B$5:$B$147,A12,Капасити!$A$5:$A$147,Параметры!$B$13)</f>
        <v>8</v>
      </c>
      <c r="F12" s="103">
        <f t="shared" si="1"/>
        <v>0</v>
      </c>
    </row>
    <row r="13" spans="1:6" x14ac:dyDescent="0.3">
      <c r="A13" s="63" t="s">
        <v>478</v>
      </c>
      <c r="B13" s="64">
        <f>COUNTIFS(Бэклог!$C$5:$C$44,A13,Бэклог!$M$5:$M$44,Параметры!$B$13)</f>
        <v>0</v>
      </c>
      <c r="C13" s="35">
        <f>SUMIFS(Бэклог!$E$5:$E$44,Бэклог!$C$5:$C$44,A13,Бэклог!$M$5:$M$44,Параметры!$B$13)</f>
        <v>0</v>
      </c>
      <c r="D13" s="36">
        <f t="shared" si="0"/>
        <v>0</v>
      </c>
      <c r="E13" s="102">
        <f>SUMIFS(Капасити!$H$5:$H$147,Капасити!$B$5:$B$147,A13,Капасити!$A$5:$A$147,Параметры!$B$13)</f>
        <v>6.4</v>
      </c>
      <c r="F13" s="103">
        <f t="shared" si="1"/>
        <v>0</v>
      </c>
    </row>
    <row r="14" spans="1:6" x14ac:dyDescent="0.3">
      <c r="A14" s="63" t="s">
        <v>479</v>
      </c>
      <c r="B14" s="64">
        <f>COUNTIFS(Бэклог!$C$5:$C$44,A14,Бэклог!$M$5:$M$44,Параметры!$B$13)</f>
        <v>0</v>
      </c>
      <c r="C14" s="35">
        <f>SUMIFS(Бэклог!$E$5:$E$44,Бэклог!$C$5:$C$44,A14,Бэклог!$M$5:$M$44,Параметры!$B$13)</f>
        <v>0</v>
      </c>
      <c r="D14" s="36">
        <f t="shared" si="0"/>
        <v>0</v>
      </c>
      <c r="E14" s="102">
        <f>SUMIFS(Капасити!$H$5:$H$147,Капасити!$B$5:$B$147,A14,Капасити!$A$5:$A$147,Параметры!$B$13)</f>
        <v>8</v>
      </c>
      <c r="F14" s="103">
        <f t="shared" si="1"/>
        <v>0</v>
      </c>
    </row>
    <row r="15" spans="1:6" x14ac:dyDescent="0.3">
      <c r="A15" s="63" t="s">
        <v>480</v>
      </c>
      <c r="B15" s="64">
        <f>COUNTIFS(Бэклог!$C$5:$C$44,A15,Бэклог!$M$5:$M$44,Параметры!$B$13)</f>
        <v>0</v>
      </c>
      <c r="C15" s="35">
        <f>SUMIFS(Бэклог!$E$5:$E$44,Бэклог!$C$5:$C$44,A15,Бэклог!$M$5:$M$44,Параметры!$B$13)</f>
        <v>0</v>
      </c>
      <c r="D15" s="36">
        <f t="shared" si="0"/>
        <v>0</v>
      </c>
      <c r="E15" s="102">
        <f>SUMIFS(Капасити!$H$5:$H$147,Капасити!$B$5:$B$147,A15,Капасити!$A$5:$A$147,Параметры!$B$13)</f>
        <v>8</v>
      </c>
      <c r="F15" s="103">
        <f t="shared" si="1"/>
        <v>0</v>
      </c>
    </row>
    <row r="16" spans="1:6" x14ac:dyDescent="0.3">
      <c r="A16" s="63" t="s">
        <v>481</v>
      </c>
      <c r="B16" s="64">
        <f>COUNTIFS(Бэклог!$C$5:$C$44,A16,Бэклог!$M$5:$M$44,Параметры!$B$13)</f>
        <v>0</v>
      </c>
      <c r="C16" s="35">
        <f>SUMIFS(Бэклог!$E$5:$E$44,Бэклог!$C$5:$C$44,A16,Бэклог!$M$5:$M$44,Параметры!$B$13)</f>
        <v>0</v>
      </c>
      <c r="D16" s="36">
        <f t="shared" si="0"/>
        <v>0</v>
      </c>
      <c r="E16" s="102">
        <f>SUMIFS(Капасити!$H$5:$H$147,Капасити!$B$5:$B$147,A16,Капасити!$A$5:$A$147,Параметры!$B$13)</f>
        <v>6.4</v>
      </c>
      <c r="F16" s="103">
        <f t="shared" si="1"/>
        <v>0</v>
      </c>
    </row>
    <row r="17" spans="1:6" x14ac:dyDescent="0.3">
      <c r="A17" s="63" t="s">
        <v>483</v>
      </c>
      <c r="B17" s="64">
        <f>COUNTIFS(Бэклог!$C$5:$C$44,A17,Бэклог!$M$5:$M$44,Параметры!$B$13)</f>
        <v>1</v>
      </c>
      <c r="C17" s="35">
        <f>SUMIFS(Бэклог!$E$5:$E$44,Бэклог!$C$5:$C$44,A17,Бэклог!$M$5:$M$44,Параметры!$B$13)</f>
        <v>5</v>
      </c>
      <c r="D17" s="36">
        <f t="shared" si="0"/>
        <v>0.17241379310344829</v>
      </c>
      <c r="E17" s="102">
        <f>SUMIFS(Капасити!$H$5:$H$147,Капасити!$B$5:$B$147,A17,Капасити!$A$5:$A$147,Параметры!$B$13)</f>
        <v>8</v>
      </c>
      <c r="F17" s="103">
        <f t="shared" si="1"/>
        <v>0.625</v>
      </c>
    </row>
    <row r="18" spans="1:6" x14ac:dyDescent="0.3">
      <c r="A18" s="53" t="s">
        <v>494</v>
      </c>
      <c r="B18" s="53">
        <f>SUM(B5:B17)</f>
        <v>6</v>
      </c>
      <c r="C18" s="54">
        <f>SUM(C5:C17)</f>
        <v>29</v>
      </c>
      <c r="D18" s="65"/>
      <c r="E18" s="104">
        <f>SUM(E5:E17)</f>
        <v>95.2</v>
      </c>
      <c r="F18" s="105">
        <f t="shared" si="1"/>
        <v>0.30462184873949577</v>
      </c>
    </row>
    <row r="20" spans="1:6" ht="15.6" customHeight="1" x14ac:dyDescent="0.3">
      <c r="A20" s="58" t="s">
        <v>681</v>
      </c>
    </row>
    <row r="21" spans="1:6" x14ac:dyDescent="0.3">
      <c r="A21" s="32" t="s">
        <v>59</v>
      </c>
      <c r="B21" s="35">
        <f>COUNTIF(Бэклог!$K$5:$K$44,"Да")</f>
        <v>1</v>
      </c>
    </row>
    <row r="22" spans="1:6" x14ac:dyDescent="0.3">
      <c r="A22" s="32" t="s">
        <v>682</v>
      </c>
      <c r="B22" s="35">
        <f>SUM(Бэклог!$L$5:$L$44)</f>
        <v>1</v>
      </c>
    </row>
    <row r="23" spans="1:6" x14ac:dyDescent="0.3">
      <c r="A23" s="32" t="s">
        <v>683</v>
      </c>
      <c r="B23" s="35">
        <f>IFERROR(AVERAGEIF(Бэклог!$K$5:$K$44,"Да",Бэклог!$L$5:$L$44),0)</f>
        <v>1</v>
      </c>
    </row>
  </sheetData>
  <conditionalFormatting sqref="F5:F17">
    <cfRule type="cellIs" dxfId="2" priority="1" operator="greaterThan">
      <formula>1</formula>
    </cfRule>
    <cfRule type="cellIs" dxfId="1" priority="2" operator="between">
      <formula>0.9</formula>
      <formula>1</formula>
    </cfRule>
    <cfRule type="cellIs" dxfId="0" priority="3" operator="lessThan">
      <formula>0.9</formula>
    </cfRule>
  </conditionalFormatting>
  <pageMargins left="0.75" right="0.75" top="1" bottom="1" header="0.5" footer="0.5"/>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pane ySplit="6" topLeftCell="A7" activePane="bottomLeft" state="frozen"/>
      <selection pane="bottomLeft"/>
    </sheetView>
  </sheetViews>
  <sheetFormatPr defaultRowHeight="14.4" x14ac:dyDescent="0.3"/>
  <cols>
    <col min="1" max="1" width="10" customWidth="1"/>
    <col min="2" max="2" width="11" customWidth="1"/>
    <col min="3" max="3" width="12" customWidth="1"/>
    <col min="4" max="5" width="9" customWidth="1"/>
    <col min="6" max="6" width="13" hidden="1" customWidth="1"/>
  </cols>
  <sheetData>
    <row r="1" spans="1:6" ht="17.399999999999999" customHeight="1" x14ac:dyDescent="0.3">
      <c r="A1" s="213" t="s">
        <v>684</v>
      </c>
    </row>
    <row r="2" spans="1:6" x14ac:dyDescent="0.3">
      <c r="A2" s="214" t="s">
        <v>685</v>
      </c>
    </row>
    <row r="3" spans="1:6" x14ac:dyDescent="0.3">
      <c r="A3" s="14" t="s">
        <v>686</v>
      </c>
      <c r="C3" s="215">
        <v>21</v>
      </c>
    </row>
    <row r="4" spans="1:6" x14ac:dyDescent="0.3">
      <c r="A4" s="14" t="s">
        <v>687</v>
      </c>
      <c r="C4" s="216">
        <f>IFERROR(AVERAGEIF(D7:D26,"&gt;=0"),0)</f>
        <v>18.5</v>
      </c>
    </row>
    <row r="6" spans="1:6" ht="27.6" customHeight="1" x14ac:dyDescent="0.3">
      <c r="A6" s="217" t="s">
        <v>386</v>
      </c>
      <c r="B6" s="217" t="s">
        <v>506</v>
      </c>
      <c r="C6" s="217" t="s">
        <v>688</v>
      </c>
      <c r="D6" s="217" t="s">
        <v>689</v>
      </c>
      <c r="E6" s="217" t="s">
        <v>690</v>
      </c>
      <c r="F6" t="s">
        <v>689</v>
      </c>
    </row>
    <row r="7" spans="1:6" x14ac:dyDescent="0.3">
      <c r="A7" s="218" t="str">
        <f>IF(Бэклог!A5="","",Бэклог!A5)</f>
        <v>T-01</v>
      </c>
      <c r="B7" s="219">
        <f>IF(Бэклог!P5="","",Бэклог!P5)</f>
        <v>46237</v>
      </c>
      <c r="C7" s="219">
        <f>IFERROR(SUMPRODUCT((Релизы!$C$5:$C$9&lt;=Бэклог!M5)*(Релизы!$D$5:$D$9&gt;=Бэклог!M5)*Релизы!$E$5:$E$9),0)</f>
        <v>46262</v>
      </c>
      <c r="D7" s="220">
        <f t="shared" ref="D7:D26" si="0">IF(AND(B7&lt;&gt;"",C7&gt;0),C7-B7,"")</f>
        <v>25</v>
      </c>
      <c r="E7" s="221">
        <f t="shared" ref="E7:E26" si="1">$C$3</f>
        <v>21</v>
      </c>
      <c r="F7" s="186">
        <f t="shared" ref="F7:F26" si="2">IF(D7="",NA(),D7)</f>
        <v>25</v>
      </c>
    </row>
    <row r="8" spans="1:6" x14ac:dyDescent="0.3">
      <c r="A8" s="218" t="str">
        <f>IF(Бэклог!A6="","",Бэклог!A6)</f>
        <v>T-02</v>
      </c>
      <c r="B8" s="219">
        <f>IF(Бэклог!P6="","",Бэклог!P6)</f>
        <v>46238</v>
      </c>
      <c r="C8" s="219">
        <f>IFERROR(SUMPRODUCT((Релизы!$C$5:$C$9&lt;=Бэклог!M6)*(Релизы!$D$5:$D$9&gt;=Бэклог!M6)*Релизы!$E$5:$E$9),0)</f>
        <v>46262</v>
      </c>
      <c r="D8" s="220">
        <f t="shared" si="0"/>
        <v>24</v>
      </c>
      <c r="E8" s="221">
        <f t="shared" si="1"/>
        <v>21</v>
      </c>
      <c r="F8" s="186">
        <f t="shared" si="2"/>
        <v>24</v>
      </c>
    </row>
    <row r="9" spans="1:6" x14ac:dyDescent="0.3">
      <c r="A9" s="218" t="str">
        <f>IF(Бэклог!A7="","",Бэклог!A7)</f>
        <v>T-09</v>
      </c>
      <c r="B9" s="219">
        <f>IF(Бэклог!P7="","",Бэклог!P7)</f>
        <v>46237</v>
      </c>
      <c r="C9" s="219">
        <f>IFERROR(SUMPRODUCT((Релизы!$C$5:$C$9&lt;=Бэклог!M7)*(Релизы!$D$5:$D$9&gt;=Бэклог!M7)*Релизы!$E$5:$E$9),0)</f>
        <v>46262</v>
      </c>
      <c r="D9" s="220">
        <f t="shared" si="0"/>
        <v>25</v>
      </c>
      <c r="E9" s="221">
        <f t="shared" si="1"/>
        <v>21</v>
      </c>
      <c r="F9" s="186">
        <f t="shared" si="2"/>
        <v>25</v>
      </c>
    </row>
    <row r="10" spans="1:6" x14ac:dyDescent="0.3">
      <c r="A10" s="218" t="str">
        <f>IF(Бэклог!A8="","",Бэклог!A8)</f>
        <v>T-10</v>
      </c>
      <c r="B10" s="219">
        <f>IF(Бэклог!P8="","",Бэклог!P8)</f>
        <v>46239</v>
      </c>
      <c r="C10" s="219">
        <f>IFERROR(SUMPRODUCT((Релизы!$C$5:$C$9&lt;=Бэклог!M8)*(Релизы!$D$5:$D$9&gt;=Бэклог!M8)*Релизы!$E$5:$E$9),0)</f>
        <v>46262</v>
      </c>
      <c r="D10" s="220">
        <f t="shared" si="0"/>
        <v>23</v>
      </c>
      <c r="E10" s="221">
        <f t="shared" si="1"/>
        <v>21</v>
      </c>
      <c r="F10" s="186">
        <f t="shared" si="2"/>
        <v>23</v>
      </c>
    </row>
    <row r="11" spans="1:6" x14ac:dyDescent="0.3">
      <c r="A11" s="218" t="str">
        <f>IF(Бэклог!A9="","",Бэклог!A9)</f>
        <v>T-03</v>
      </c>
      <c r="B11" s="219">
        <f>IF(Бэклог!P9="","",Бэклог!P9)</f>
        <v>46251</v>
      </c>
      <c r="C11" s="219">
        <f>IFERROR(SUMPRODUCT((Релизы!$C$5:$C$9&lt;=Бэклог!M9)*(Релизы!$D$5:$D$9&gt;=Бэклог!M9)*Релизы!$E$5:$E$9),0)</f>
        <v>46262</v>
      </c>
      <c r="D11" s="220">
        <f t="shared" si="0"/>
        <v>11</v>
      </c>
      <c r="E11" s="221">
        <f t="shared" si="1"/>
        <v>21</v>
      </c>
      <c r="F11" s="186">
        <f t="shared" si="2"/>
        <v>11</v>
      </c>
    </row>
    <row r="12" spans="1:6" x14ac:dyDescent="0.3">
      <c r="A12" s="218" t="str">
        <f>IF(Бэклог!A10="","",Бэклог!A10)</f>
        <v>T-04</v>
      </c>
      <c r="B12" s="219">
        <f>IF(Бэклог!P10="","",Бэклог!P10)</f>
        <v>46252</v>
      </c>
      <c r="C12" s="219">
        <f>IFERROR(SUMPRODUCT((Релизы!$C$5:$C$9&lt;=Бэклог!M10)*(Релизы!$D$5:$D$9&gt;=Бэклог!M10)*Релизы!$E$5:$E$9),0)</f>
        <v>46262</v>
      </c>
      <c r="D12" s="220">
        <f t="shared" si="0"/>
        <v>10</v>
      </c>
      <c r="E12" s="221">
        <f t="shared" si="1"/>
        <v>21</v>
      </c>
      <c r="F12" s="186">
        <f t="shared" si="2"/>
        <v>10</v>
      </c>
    </row>
    <row r="13" spans="1:6" x14ac:dyDescent="0.3">
      <c r="A13" s="218" t="str">
        <f>IF(Бэклог!A11="","",Бэклог!A11)</f>
        <v>T-08</v>
      </c>
      <c r="B13" s="219">
        <f>IF(Бэклог!P11="","",Бэклог!P11)</f>
        <v>46253</v>
      </c>
      <c r="C13" s="219">
        <f>IFERROR(SUMPRODUCT((Релизы!$C$5:$C$9&lt;=Бэклог!M11)*(Релизы!$D$5:$D$9&gt;=Бэклог!M11)*Релизы!$E$5:$E$9),0)</f>
        <v>46262</v>
      </c>
      <c r="D13" s="220">
        <f t="shared" si="0"/>
        <v>9</v>
      </c>
      <c r="E13" s="221">
        <f t="shared" si="1"/>
        <v>21</v>
      </c>
      <c r="F13" s="186">
        <f t="shared" si="2"/>
        <v>9</v>
      </c>
    </row>
    <row r="14" spans="1:6" x14ac:dyDescent="0.3">
      <c r="A14" s="218" t="str">
        <f>IF(Бэклог!A12="","",Бэклог!A12)</f>
        <v>T-11</v>
      </c>
      <c r="B14" s="219">
        <f>IF(Бэклог!P12="","",Бэклог!P12)</f>
        <v>46251</v>
      </c>
      <c r="C14" s="219">
        <f>IFERROR(SUMPRODUCT((Релизы!$C$5:$C$9&lt;=Бэклог!M12)*(Релизы!$D$5:$D$9&gt;=Бэклог!M12)*Релизы!$E$5:$E$9),0)</f>
        <v>46262</v>
      </c>
      <c r="D14" s="220">
        <f t="shared" si="0"/>
        <v>11</v>
      </c>
      <c r="E14" s="221">
        <f t="shared" si="1"/>
        <v>21</v>
      </c>
      <c r="F14" s="186">
        <f t="shared" si="2"/>
        <v>11</v>
      </c>
    </row>
    <row r="15" spans="1:6" x14ac:dyDescent="0.3">
      <c r="A15" s="218" t="str">
        <f>IF(Бэклог!A13="","",Бэклог!A13)</f>
        <v>T-12</v>
      </c>
      <c r="B15" s="219" t="str">
        <f>IF(Бэклог!P13="","",Бэклог!P13)</f>
        <v/>
      </c>
      <c r="C15" s="219">
        <f>IFERROR(SUMPRODUCT((Релизы!$C$5:$C$9&lt;=Бэклог!M13)*(Релизы!$D$5:$D$9&gt;=Бэклог!M13)*Релизы!$E$5:$E$9),0)</f>
        <v>46262</v>
      </c>
      <c r="D15" s="220" t="str">
        <f t="shared" si="0"/>
        <v/>
      </c>
      <c r="E15" s="221">
        <f t="shared" si="1"/>
        <v>21</v>
      </c>
      <c r="F15" s="186" t="e">
        <f t="shared" si="2"/>
        <v>#N/A</v>
      </c>
    </row>
    <row r="16" spans="1:6" x14ac:dyDescent="0.3">
      <c r="A16" s="218" t="str">
        <f>IF(Бэклог!A14="","",Бэклог!A14)</f>
        <v>T-05</v>
      </c>
      <c r="B16" s="219">
        <f>IF(Бэклог!P14="","",Бэклог!P14)</f>
        <v>46267</v>
      </c>
      <c r="C16" s="219">
        <f>IFERROR(SUMPRODUCT((Релизы!$C$5:$C$9&lt;=Бэклог!M14)*(Релизы!$D$5:$D$9&gt;=Бэклог!M14)*Релизы!$E$5:$E$9),0)</f>
        <v>46290</v>
      </c>
      <c r="D16" s="220">
        <f t="shared" si="0"/>
        <v>23</v>
      </c>
      <c r="E16" s="221">
        <f t="shared" si="1"/>
        <v>21</v>
      </c>
      <c r="F16" s="186">
        <f t="shared" si="2"/>
        <v>23</v>
      </c>
    </row>
    <row r="17" spans="1:6" x14ac:dyDescent="0.3">
      <c r="A17" s="218" t="str">
        <f>IF(Бэклог!A15="","",Бэклог!A15)</f>
        <v>T-06</v>
      </c>
      <c r="B17" s="219" t="str">
        <f>IF(Бэклог!P15="","",Бэклог!P15)</f>
        <v/>
      </c>
      <c r="C17" s="219">
        <f>IFERROR(SUMPRODUCT((Релизы!$C$5:$C$9&lt;=Бэклог!M15)*(Релизы!$D$5:$D$9&gt;=Бэклог!M15)*Релизы!$E$5:$E$9),0)</f>
        <v>46290</v>
      </c>
      <c r="D17" s="220" t="str">
        <f t="shared" si="0"/>
        <v/>
      </c>
      <c r="E17" s="221">
        <f t="shared" si="1"/>
        <v>21</v>
      </c>
      <c r="F17" s="186" t="e">
        <f t="shared" si="2"/>
        <v>#N/A</v>
      </c>
    </row>
    <row r="18" spans="1:6" x14ac:dyDescent="0.3">
      <c r="A18" s="218" t="str">
        <f>IF(Бэклог!A16="","",Бэклог!A16)</f>
        <v>T-07</v>
      </c>
      <c r="B18" s="219" t="str">
        <f>IF(Бэклог!P16="","",Бэклог!P16)</f>
        <v/>
      </c>
      <c r="C18" s="219">
        <f>IFERROR(SUMPRODUCT((Релизы!$C$5:$C$9&lt;=Бэклог!M16)*(Релизы!$D$5:$D$9&gt;=Бэклог!M16)*Релизы!$E$5:$E$9),0)</f>
        <v>46290</v>
      </c>
      <c r="D18" s="220" t="str">
        <f t="shared" si="0"/>
        <v/>
      </c>
      <c r="E18" s="221">
        <f t="shared" si="1"/>
        <v>21</v>
      </c>
      <c r="F18" s="186" t="e">
        <f t="shared" si="2"/>
        <v>#N/A</v>
      </c>
    </row>
    <row r="19" spans="1:6" x14ac:dyDescent="0.3">
      <c r="A19" s="218" t="str">
        <f>IF(Бэклог!A17="","",Бэклог!A17)</f>
        <v>T-13</v>
      </c>
      <c r="B19" s="219">
        <f>IF(Бэклог!P17="","",Бэклог!P17)</f>
        <v>46266</v>
      </c>
      <c r="C19" s="219">
        <f>IFERROR(SUMPRODUCT((Релизы!$C$5:$C$9&lt;=Бэклог!M17)*(Релизы!$D$5:$D$9&gt;=Бэклог!M17)*Релизы!$E$5:$E$9),0)</f>
        <v>46290</v>
      </c>
      <c r="D19" s="220">
        <f t="shared" si="0"/>
        <v>24</v>
      </c>
      <c r="E19" s="221">
        <f t="shared" si="1"/>
        <v>21</v>
      </c>
      <c r="F19" s="186">
        <f t="shared" si="2"/>
        <v>24</v>
      </c>
    </row>
    <row r="20" spans="1:6" x14ac:dyDescent="0.3">
      <c r="A20" s="218" t="str">
        <f>IF(Бэклог!A18="","",Бэклог!A18)</f>
        <v>T-14</v>
      </c>
      <c r="B20" s="219" t="str">
        <f>IF(Бэклог!P18="","",Бэклог!P18)</f>
        <v/>
      </c>
      <c r="C20" s="219">
        <f>IFERROR(SUMPRODUCT((Релизы!$C$5:$C$9&lt;=Бэклог!M18)*(Релизы!$D$5:$D$9&gt;=Бэклог!M18)*Релизы!$E$5:$E$9),0)</f>
        <v>46290</v>
      </c>
      <c r="D20" s="220" t="str">
        <f t="shared" si="0"/>
        <v/>
      </c>
      <c r="E20" s="221">
        <f t="shared" si="1"/>
        <v>21</v>
      </c>
      <c r="F20" s="186" t="e">
        <f t="shared" si="2"/>
        <v>#N/A</v>
      </c>
    </row>
    <row r="21" spans="1:6" x14ac:dyDescent="0.3">
      <c r="A21" s="218" t="str">
        <f>IF(Бэклог!A19="","",Бэклог!A19)</f>
        <v>T-15</v>
      </c>
      <c r="B21" s="219" t="str">
        <f>IF(Бэклог!P19="","",Бэклог!P19)</f>
        <v/>
      </c>
      <c r="C21" s="219">
        <f>IFERROR(SUMPRODUCT((Релизы!$C$5:$C$9&lt;=Бэклог!M19)*(Релизы!$D$5:$D$9&gt;=Бэклог!M19)*Релизы!$E$5:$E$9),0)</f>
        <v>46290</v>
      </c>
      <c r="D21" s="220" t="str">
        <f t="shared" si="0"/>
        <v/>
      </c>
      <c r="E21" s="221">
        <f t="shared" si="1"/>
        <v>21</v>
      </c>
      <c r="F21" s="186" t="e">
        <f t="shared" si="2"/>
        <v>#N/A</v>
      </c>
    </row>
    <row r="22" spans="1:6" x14ac:dyDescent="0.3">
      <c r="A22" s="218" t="str">
        <f>IF(Бэклог!A20="","",Бэклог!A20)</f>
        <v>T-16</v>
      </c>
      <c r="B22" s="219" t="str">
        <f>IF(Бэклог!P20="","",Бэклог!P20)</f>
        <v/>
      </c>
      <c r="C22" s="219">
        <f>IFERROR(SUMPRODUCT((Релизы!$C$5:$C$9&lt;=Бэклог!M20)*(Релизы!$D$5:$D$9&gt;=Бэклог!M20)*Релизы!$E$5:$E$9),0)</f>
        <v>46290</v>
      </c>
      <c r="D22" s="220" t="str">
        <f t="shared" si="0"/>
        <v/>
      </c>
      <c r="E22" s="221">
        <f t="shared" si="1"/>
        <v>21</v>
      </c>
      <c r="F22" s="186" t="e">
        <f t="shared" si="2"/>
        <v>#N/A</v>
      </c>
    </row>
    <row r="23" spans="1:6" x14ac:dyDescent="0.3">
      <c r="A23" s="218" t="str">
        <f>IF(Бэклог!A21="","",Бэклог!A21)</f>
        <v>T-17</v>
      </c>
      <c r="B23" s="219" t="str">
        <f>IF(Бэклог!P21="","",Бэклог!P21)</f>
        <v/>
      </c>
      <c r="C23" s="219">
        <f>IFERROR(SUMPRODUCT((Релизы!$C$5:$C$9&lt;=Бэклог!M21)*(Релизы!$D$5:$D$9&gt;=Бэклог!M21)*Релизы!$E$5:$E$9),0)</f>
        <v>46290</v>
      </c>
      <c r="D23" s="220" t="str">
        <f t="shared" si="0"/>
        <v/>
      </c>
      <c r="E23" s="221">
        <f t="shared" si="1"/>
        <v>21</v>
      </c>
      <c r="F23" s="186" t="e">
        <f t="shared" si="2"/>
        <v>#N/A</v>
      </c>
    </row>
    <row r="24" spans="1:6" x14ac:dyDescent="0.3">
      <c r="A24" s="218" t="str">
        <f>IF(Бэклог!A22="","",Бэклог!A22)</f>
        <v>T-18</v>
      </c>
      <c r="B24" s="219" t="str">
        <f>IF(Бэклог!P22="","",Бэклог!P22)</f>
        <v/>
      </c>
      <c r="C24" s="219">
        <f>IFERROR(SUMPRODUCT((Релизы!$C$5:$C$9&lt;=Бэклог!M22)*(Релизы!$D$5:$D$9&gt;=Бэклог!M22)*Релизы!$E$5:$E$9),0)</f>
        <v>46290</v>
      </c>
      <c r="D24" s="220" t="str">
        <f t="shared" si="0"/>
        <v/>
      </c>
      <c r="E24" s="221">
        <f t="shared" si="1"/>
        <v>21</v>
      </c>
      <c r="F24" s="186" t="e">
        <f t="shared" si="2"/>
        <v>#N/A</v>
      </c>
    </row>
    <row r="25" spans="1:6" x14ac:dyDescent="0.3">
      <c r="A25" s="218" t="str">
        <f>IF(Бэклог!A23="","",Бэклог!A23)</f>
        <v>T-19</v>
      </c>
      <c r="B25" s="219" t="str">
        <f>IF(Бэклог!P23="","",Бэклог!P23)</f>
        <v/>
      </c>
      <c r="C25" s="219">
        <f>IFERROR(SUMPRODUCT((Релизы!$C$5:$C$9&lt;=Бэклог!M23)*(Релизы!$D$5:$D$9&gt;=Бэклог!M23)*Релизы!$E$5:$E$9),0)</f>
        <v>46318</v>
      </c>
      <c r="D25" s="220" t="str">
        <f t="shared" si="0"/>
        <v/>
      </c>
      <c r="E25" s="221">
        <f t="shared" si="1"/>
        <v>21</v>
      </c>
      <c r="F25" s="186" t="e">
        <f t="shared" si="2"/>
        <v>#N/A</v>
      </c>
    </row>
    <row r="26" spans="1:6" x14ac:dyDescent="0.3">
      <c r="A26" s="218" t="str">
        <f>IF(Бэклог!A24="","",Бэклог!A24)</f>
        <v>T-20</v>
      </c>
      <c r="B26" s="219" t="str">
        <f>IF(Бэклог!P24="","",Бэклог!P24)</f>
        <v/>
      </c>
      <c r="C26" s="219">
        <f>IFERROR(SUMPRODUCT((Релизы!$C$5:$C$9&lt;=Бэклог!M24)*(Релизы!$D$5:$D$9&gt;=Бэклог!M24)*Релизы!$E$5:$E$9),0)</f>
        <v>46318</v>
      </c>
      <c r="D26" s="220" t="str">
        <f t="shared" si="0"/>
        <v/>
      </c>
      <c r="E26" s="221">
        <f t="shared" si="1"/>
        <v>21</v>
      </c>
      <c r="F26" s="186" t="e">
        <f t="shared" si="2"/>
        <v>#N/A</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30</vt:i4>
      </vt:variant>
    </vt:vector>
  </HeadingPairs>
  <TitlesOfParts>
    <vt:vector size="30" baseType="lpstr">
      <vt:lpstr>Дашборды</vt:lpstr>
      <vt:lpstr>Дашборд</vt:lpstr>
      <vt:lpstr>Параметры</vt:lpstr>
      <vt:lpstr>Дорожная карта</vt:lpstr>
      <vt:lpstr>Кварталы</vt:lpstr>
      <vt:lpstr>RICE</vt:lpstr>
      <vt:lpstr>Квартальный roadmap</vt:lpstr>
      <vt:lpstr>Релизы</vt:lpstr>
      <vt:lpstr>Вехи</vt:lpstr>
      <vt:lpstr>Технический долг</vt:lpstr>
      <vt:lpstr>Ретроспективы</vt:lpstr>
      <vt:lpstr>Бюджет</vt:lpstr>
      <vt:lpstr>OKR</vt:lpstr>
      <vt:lpstr>Ёмкость на горизонт</vt:lpstr>
      <vt:lpstr>Гант</vt:lpstr>
      <vt:lpstr>Зависимости</vt:lpstr>
      <vt:lpstr>Капасити</vt:lpstr>
      <vt:lpstr>Календарь</vt:lpstr>
      <vt:lpstr>Загрузка по ролям</vt:lpstr>
      <vt:lpstr>Бэклог</vt:lpstr>
      <vt:lpstr>Сгорание</vt:lpstr>
      <vt:lpstr>Качество</vt:lpstr>
      <vt:lpstr>Баги</vt:lpstr>
      <vt:lpstr>CFD</vt:lpstr>
      <vt:lpstr>Метрики и прогноз</vt:lpstr>
      <vt:lpstr>Cycle time</vt:lpstr>
      <vt:lpstr>Риски</vt:lpstr>
      <vt:lpstr>Матрица рисков</vt:lpstr>
      <vt:lpstr>Распределение</vt:lpstr>
      <vt:lpstr>Time to Market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Андрей Агафонов</cp:lastModifiedBy>
  <dcterms:created xsi:type="dcterms:W3CDTF">2026-07-28T06:56:38Z</dcterms:created>
  <dcterms:modified xsi:type="dcterms:W3CDTF">2026-09-10T13:39:26Z</dcterms:modified>
</cp:coreProperties>
</file>